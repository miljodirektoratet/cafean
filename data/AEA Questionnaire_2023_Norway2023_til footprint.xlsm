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7.xml" ContentType="application/vnd.openxmlformats-officedocument.spreadsheetml.comments+xml"/>
  <Override PartName="/xl/drawings/drawing13.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WB" defaultThemeVersion="124226"/>
  <mc:AlternateContent xmlns:mc="http://schemas.openxmlformats.org/markup-compatibility/2006">
    <mc:Choice Requires="x15">
      <x15ac:absPath xmlns:x15ac="http://schemas.microsoft.com/office/spreadsheetml/2010/11/ac" url="C:\Users\richardw\Documents\GitHub\cafean_python\data\"/>
    </mc:Choice>
  </mc:AlternateContent>
  <xr:revisionPtr revIDLastSave="0" documentId="13_ncr:1_{5D8B4CA2-373B-4791-AE1E-B553D747A367}" xr6:coauthVersionLast="47" xr6:coauthVersionMax="47" xr10:uidLastSave="{00000000-0000-0000-0000-000000000000}"/>
  <bookViews>
    <workbookView xWindow="810" yWindow="-120" windowWidth="37710" windowHeight="16440" tabRatio="823" firstSheet="7" activeTab="18" xr2:uid="{00000000-000D-0000-FFFF-FFFF00000000}"/>
  </bookViews>
  <sheets>
    <sheet name="intro" sheetId="69" r:id="rId1"/>
    <sheet name="structure" sheetId="60" r:id="rId2"/>
    <sheet name="instructions" sheetId="435" r:id="rId3"/>
    <sheet name="Parameter_mapping" sheetId="702" state="hidden" r:id="rId4"/>
    <sheet name="Parameters_SDMX_Converter" sheetId="703" state="hidden" r:id="rId5"/>
    <sheet name="Transcoding" sheetId="704" state="hidden" r:id="rId6"/>
    <sheet name="instructions for ROAD sheets" sheetId="771" r:id="rId7"/>
    <sheet name="footnote instructions" sheetId="734" r:id="rId8"/>
    <sheet name="footnote_list" sheetId="705" r:id="rId9"/>
    <sheet name="Model" sheetId="84" state="hidden" r:id="rId10"/>
    <sheet name="Parameters" sheetId="78" state="hidden" r:id="rId11"/>
    <sheet name="CO2" sheetId="749" r:id="rId12"/>
    <sheet name="Biomass CO2" sheetId="750" r:id="rId13"/>
    <sheet name="N2O" sheetId="751" r:id="rId14"/>
    <sheet name="SF6_NF3" sheetId="755" r:id="rId15"/>
    <sheet name="CH4" sheetId="752" r:id="rId16"/>
    <sheet name="HFC" sheetId="753" r:id="rId17"/>
    <sheet name="PFC" sheetId="754" r:id="rId18"/>
    <sheet name="GHG" sheetId="772" r:id="rId19"/>
    <sheet name="char" sheetId="773" r:id="rId20"/>
  </sheets>
  <functionGroups builtInGroupCount="19"/>
  <definedNames>
    <definedName name="_xlnm._FilterDatabase" localSheetId="12" hidden="1">'Biomass CO2'!$A$1:$AF$107</definedName>
    <definedName name="_xlnm._FilterDatabase" localSheetId="15" hidden="1">'CH4'!$A$1:$AF$106</definedName>
    <definedName name="_xlnm._FilterDatabase" localSheetId="11" hidden="1">'CO2'!$A$1:$AF$107</definedName>
    <definedName name="_xlnm._FilterDatabase" localSheetId="18" hidden="1">GHG!$A$1:$AF$107</definedName>
    <definedName name="_xlnm._FilterDatabase" localSheetId="16" hidden="1">HFC!$A$1:$AF$107</definedName>
    <definedName name="_xlnm._FilterDatabase" localSheetId="9" hidden="1">Model!$A$1:$AF$107</definedName>
    <definedName name="_xlnm._FilterDatabase" localSheetId="13" hidden="1">N2O!$A$1:$AF$106</definedName>
    <definedName name="_xlnm._FilterDatabase" localSheetId="17" hidden="1">PFC!$A$1:$AF$107</definedName>
    <definedName name="_xlnm._FilterDatabase" localSheetId="14" hidden="1">SF6_NF3!$A$1:$AF$107</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F106" i="772" l="1"/>
  <c r="BE106" i="772"/>
  <c r="BD106" i="772"/>
  <c r="BC106" i="772"/>
  <c r="BB106" i="772"/>
  <c r="BA106" i="772"/>
  <c r="AZ106" i="772"/>
  <c r="AY106" i="772"/>
  <c r="AX106" i="772"/>
  <c r="AW106" i="772"/>
  <c r="AV106" i="772"/>
  <c r="AU106" i="772"/>
  <c r="AT106" i="772"/>
  <c r="AS106" i="772"/>
  <c r="AR106" i="772"/>
  <c r="AQ106" i="772"/>
  <c r="AP106" i="772"/>
  <c r="AO106" i="772"/>
  <c r="AN106" i="772"/>
  <c r="AM106" i="772"/>
  <c r="AL106" i="772"/>
  <c r="AK106" i="772"/>
  <c r="AJ106" i="772"/>
  <c r="AI106" i="772"/>
  <c r="AH106" i="772"/>
  <c r="AG106" i="772"/>
  <c r="AF106" i="772"/>
  <c r="BF105" i="772"/>
  <c r="BE105" i="772"/>
  <c r="BD105" i="772"/>
  <c r="BC105" i="772"/>
  <c r="BB105" i="772"/>
  <c r="BA105" i="772"/>
  <c r="AZ105" i="772"/>
  <c r="AY105" i="772"/>
  <c r="AX105" i="772"/>
  <c r="AW105" i="772"/>
  <c r="AV105" i="772"/>
  <c r="AU105" i="772"/>
  <c r="AT105" i="772"/>
  <c r="AS105" i="772"/>
  <c r="AR105" i="772"/>
  <c r="AQ105" i="772"/>
  <c r="AP105" i="772"/>
  <c r="AO105" i="772"/>
  <c r="AN105" i="772"/>
  <c r="AM105" i="772"/>
  <c r="AL105" i="772"/>
  <c r="AK105" i="772"/>
  <c r="AJ105" i="772"/>
  <c r="AI105" i="772"/>
  <c r="AH105" i="772"/>
  <c r="AG105" i="772"/>
  <c r="AF105" i="772"/>
  <c r="BF104" i="772"/>
  <c r="BE104" i="772"/>
  <c r="BD104" i="772"/>
  <c r="BC104" i="772"/>
  <c r="BB104" i="772"/>
  <c r="BA104" i="772"/>
  <c r="AZ104" i="772"/>
  <c r="AY104" i="772"/>
  <c r="AX104" i="772"/>
  <c r="AW104" i="772"/>
  <c r="AV104" i="772"/>
  <c r="AU104" i="772"/>
  <c r="AT104" i="772"/>
  <c r="AS104" i="772"/>
  <c r="AR104" i="772"/>
  <c r="AQ104" i="772"/>
  <c r="AP104" i="772"/>
  <c r="AO104" i="772"/>
  <c r="AN104" i="772"/>
  <c r="AM104" i="772"/>
  <c r="AL104" i="772"/>
  <c r="AK104" i="772"/>
  <c r="AJ104" i="772"/>
  <c r="AI104" i="772"/>
  <c r="AH104" i="772"/>
  <c r="AG104" i="772"/>
  <c r="AF104" i="772"/>
  <c r="BF103" i="772"/>
  <c r="BE103" i="772"/>
  <c r="BD103" i="772"/>
  <c r="BC103" i="772"/>
  <c r="BB103" i="772"/>
  <c r="BA103" i="772"/>
  <c r="AZ103" i="772"/>
  <c r="AY103" i="772"/>
  <c r="AX103" i="772"/>
  <c r="AW103" i="772"/>
  <c r="AV103" i="772"/>
  <c r="AU103" i="772"/>
  <c r="AT103" i="772"/>
  <c r="AS103" i="772"/>
  <c r="AR103" i="772"/>
  <c r="AQ103" i="772"/>
  <c r="AP103" i="772"/>
  <c r="AO103" i="772"/>
  <c r="AN103" i="772"/>
  <c r="AM103" i="772"/>
  <c r="AL103" i="772"/>
  <c r="AK103" i="772"/>
  <c r="AJ103" i="772"/>
  <c r="AI103" i="772"/>
  <c r="AH103" i="772"/>
  <c r="AG103" i="772"/>
  <c r="AF103" i="772"/>
  <c r="BF102" i="772"/>
  <c r="BE102" i="772"/>
  <c r="BD102" i="772"/>
  <c r="BC102" i="772"/>
  <c r="BB102" i="772"/>
  <c r="BA102" i="772"/>
  <c r="AZ102" i="772"/>
  <c r="AY102" i="772"/>
  <c r="AX102" i="772"/>
  <c r="AW102" i="772"/>
  <c r="AV102" i="772"/>
  <c r="AU102" i="772"/>
  <c r="AT102" i="772"/>
  <c r="AS102" i="772"/>
  <c r="AR102" i="772"/>
  <c r="AQ102" i="772"/>
  <c r="AP102" i="772"/>
  <c r="AO102" i="772"/>
  <c r="AN102" i="772"/>
  <c r="AM102" i="772"/>
  <c r="AL102" i="772"/>
  <c r="AK102" i="772"/>
  <c r="AJ102" i="772"/>
  <c r="AI102" i="772"/>
  <c r="AH102" i="772"/>
  <c r="AG102" i="772"/>
  <c r="AF102" i="772"/>
  <c r="BF101" i="772"/>
  <c r="BE101" i="772"/>
  <c r="BD101" i="772"/>
  <c r="BC101" i="772"/>
  <c r="BB101" i="772"/>
  <c r="BA101" i="772"/>
  <c r="AZ101" i="772"/>
  <c r="AY101" i="772"/>
  <c r="AX101" i="772"/>
  <c r="AW101" i="772"/>
  <c r="AV101" i="772"/>
  <c r="AU101" i="772"/>
  <c r="AT101" i="772"/>
  <c r="AS101" i="772"/>
  <c r="AR101" i="772"/>
  <c r="AQ101" i="772"/>
  <c r="AP101" i="772"/>
  <c r="AO101" i="772"/>
  <c r="AN101" i="772"/>
  <c r="AM101" i="772"/>
  <c r="AL101" i="772"/>
  <c r="AK101" i="772"/>
  <c r="AJ101" i="772"/>
  <c r="AI101" i="772"/>
  <c r="AH101" i="772"/>
  <c r="AG101" i="772"/>
  <c r="AF101" i="772"/>
  <c r="BF100" i="772"/>
  <c r="BE100" i="772"/>
  <c r="BD100" i="772"/>
  <c r="BC100" i="772"/>
  <c r="BB100" i="772"/>
  <c r="BA100" i="772"/>
  <c r="AZ100" i="772"/>
  <c r="AY100" i="772"/>
  <c r="AX100" i="772"/>
  <c r="AW100" i="772"/>
  <c r="AV100" i="772"/>
  <c r="AU100" i="772"/>
  <c r="AT100" i="772"/>
  <c r="AS100" i="772"/>
  <c r="AR100" i="772"/>
  <c r="AQ100" i="772"/>
  <c r="AP100" i="772"/>
  <c r="AO100" i="772"/>
  <c r="AN100" i="772"/>
  <c r="AM100" i="772"/>
  <c r="AL100" i="772"/>
  <c r="AK100" i="772"/>
  <c r="AJ100" i="772"/>
  <c r="AI100" i="772"/>
  <c r="AH100" i="772"/>
  <c r="AG100" i="772"/>
  <c r="AF100" i="772"/>
  <c r="BF99" i="772"/>
  <c r="BE99" i="772"/>
  <c r="BD99" i="772"/>
  <c r="BC99" i="772"/>
  <c r="BB99" i="772"/>
  <c r="BA99" i="772"/>
  <c r="AZ99" i="772"/>
  <c r="AY99" i="772"/>
  <c r="AX99" i="772"/>
  <c r="AW99" i="772"/>
  <c r="AV99" i="772"/>
  <c r="AU99" i="772"/>
  <c r="AT99" i="772"/>
  <c r="AS99" i="772"/>
  <c r="AR99" i="772"/>
  <c r="AQ99" i="772"/>
  <c r="AP99" i="772"/>
  <c r="AO99" i="772"/>
  <c r="AN99" i="772"/>
  <c r="AM99" i="772"/>
  <c r="AL99" i="772"/>
  <c r="AK99" i="772"/>
  <c r="AJ99" i="772"/>
  <c r="AI99" i="772"/>
  <c r="AH99" i="772"/>
  <c r="AG99" i="772"/>
  <c r="AF99" i="772"/>
  <c r="BF98" i="772"/>
  <c r="BE98" i="772"/>
  <c r="BD98" i="772"/>
  <c r="BC98" i="772"/>
  <c r="BB98" i="772"/>
  <c r="BA98" i="772"/>
  <c r="AZ98" i="772"/>
  <c r="AY98" i="772"/>
  <c r="AX98" i="772"/>
  <c r="AW98" i="772"/>
  <c r="AV98" i="772"/>
  <c r="AU98" i="772"/>
  <c r="AT98" i="772"/>
  <c r="AS98" i="772"/>
  <c r="AR98" i="772"/>
  <c r="AQ98" i="772"/>
  <c r="AP98" i="772"/>
  <c r="AO98" i="772"/>
  <c r="AN98" i="772"/>
  <c r="AM98" i="772"/>
  <c r="AL98" i="772"/>
  <c r="AK98" i="772"/>
  <c r="AJ98" i="772"/>
  <c r="AI98" i="772"/>
  <c r="AH98" i="772"/>
  <c r="AG98" i="772"/>
  <c r="AF98" i="772"/>
  <c r="BF97" i="772"/>
  <c r="BE97" i="772"/>
  <c r="BD97" i="772"/>
  <c r="BC97" i="772"/>
  <c r="BB97" i="772"/>
  <c r="BA97" i="772"/>
  <c r="AZ97" i="772"/>
  <c r="AY97" i="772"/>
  <c r="AX97" i="772"/>
  <c r="AW97" i="772"/>
  <c r="AV97" i="772"/>
  <c r="AU97" i="772"/>
  <c r="AT97" i="772"/>
  <c r="AS97" i="772"/>
  <c r="AR97" i="772"/>
  <c r="AQ97" i="772"/>
  <c r="AP97" i="772"/>
  <c r="AO97" i="772"/>
  <c r="AN97" i="772"/>
  <c r="AM97" i="772"/>
  <c r="AL97" i="772"/>
  <c r="AK97" i="772"/>
  <c r="AJ97" i="772"/>
  <c r="AI97" i="772"/>
  <c r="AH97" i="772"/>
  <c r="AG97" i="772"/>
  <c r="AF97" i="772"/>
  <c r="BF96" i="772"/>
  <c r="BE96" i="772"/>
  <c r="BD96" i="772"/>
  <c r="BC96" i="772"/>
  <c r="BB96" i="772"/>
  <c r="BA96" i="772"/>
  <c r="AZ96" i="772"/>
  <c r="AY96" i="772"/>
  <c r="AX96" i="772"/>
  <c r="AW96" i="772"/>
  <c r="AV96" i="772"/>
  <c r="AU96" i="772"/>
  <c r="AT96" i="772"/>
  <c r="AS96" i="772"/>
  <c r="AR96" i="772"/>
  <c r="AQ96" i="772"/>
  <c r="AP96" i="772"/>
  <c r="AO96" i="772"/>
  <c r="AN96" i="772"/>
  <c r="AM96" i="772"/>
  <c r="AL96" i="772"/>
  <c r="AK96" i="772"/>
  <c r="AJ96" i="772"/>
  <c r="AI96" i="772"/>
  <c r="AH96" i="772"/>
  <c r="AG96" i="772"/>
  <c r="AF96" i="772"/>
  <c r="BF95" i="772"/>
  <c r="BE95" i="772"/>
  <c r="BD95" i="772"/>
  <c r="BC95" i="772"/>
  <c r="BB95" i="772"/>
  <c r="BA95" i="772"/>
  <c r="AZ95" i="772"/>
  <c r="AY95" i="772"/>
  <c r="AX95" i="772"/>
  <c r="AW95" i="772"/>
  <c r="AV95" i="772"/>
  <c r="AU95" i="772"/>
  <c r="AT95" i="772"/>
  <c r="AS95" i="772"/>
  <c r="AR95" i="772"/>
  <c r="AQ95" i="772"/>
  <c r="AP95" i="772"/>
  <c r="AO95" i="772"/>
  <c r="AN95" i="772"/>
  <c r="AM95" i="772"/>
  <c r="AL95" i="772"/>
  <c r="AK95" i="772"/>
  <c r="AJ95" i="772"/>
  <c r="AI95" i="772"/>
  <c r="AH95" i="772"/>
  <c r="AG95" i="772"/>
  <c r="AF95" i="772"/>
  <c r="BF94" i="772"/>
  <c r="BE94" i="772"/>
  <c r="BD94" i="772"/>
  <c r="BC94" i="772"/>
  <c r="BB94" i="772"/>
  <c r="BA94" i="772"/>
  <c r="AZ94" i="772"/>
  <c r="AY94" i="772"/>
  <c r="AX94" i="772"/>
  <c r="AW94" i="772"/>
  <c r="AV94" i="772"/>
  <c r="AU94" i="772"/>
  <c r="AT94" i="772"/>
  <c r="AS94" i="772"/>
  <c r="AR94" i="772"/>
  <c r="AQ94" i="772"/>
  <c r="AP94" i="772"/>
  <c r="AO94" i="772"/>
  <c r="AN94" i="772"/>
  <c r="AM94" i="772"/>
  <c r="AL94" i="772"/>
  <c r="AK94" i="772"/>
  <c r="AJ94" i="772"/>
  <c r="AI94" i="772"/>
  <c r="AH94" i="772"/>
  <c r="AG94" i="772"/>
  <c r="AF94" i="772"/>
  <c r="BF93" i="772"/>
  <c r="BE93" i="772"/>
  <c r="BD93" i="772"/>
  <c r="BC93" i="772"/>
  <c r="BB93" i="772"/>
  <c r="BA93" i="772"/>
  <c r="AZ93" i="772"/>
  <c r="AY93" i="772"/>
  <c r="AX93" i="772"/>
  <c r="AW93" i="772"/>
  <c r="AV93" i="772"/>
  <c r="AU93" i="772"/>
  <c r="AT93" i="772"/>
  <c r="AS93" i="772"/>
  <c r="AR93" i="772"/>
  <c r="AQ93" i="772"/>
  <c r="AP93" i="772"/>
  <c r="AO93" i="772"/>
  <c r="AN93" i="772"/>
  <c r="AM93" i="772"/>
  <c r="AL93" i="772"/>
  <c r="AK93" i="772"/>
  <c r="AJ93" i="772"/>
  <c r="AI93" i="772"/>
  <c r="AH93" i="772"/>
  <c r="AG93" i="772"/>
  <c r="AF93" i="772"/>
  <c r="BF92" i="772"/>
  <c r="BE92" i="772"/>
  <c r="BD92" i="772"/>
  <c r="BC92" i="772"/>
  <c r="BB92" i="772"/>
  <c r="BA92" i="772"/>
  <c r="AZ92" i="772"/>
  <c r="AY92" i="772"/>
  <c r="AX92" i="772"/>
  <c r="AW92" i="772"/>
  <c r="AV92" i="772"/>
  <c r="AU92" i="772"/>
  <c r="AT92" i="772"/>
  <c r="AS92" i="772"/>
  <c r="AR92" i="772"/>
  <c r="AQ92" i="772"/>
  <c r="AP92" i="772"/>
  <c r="AO92" i="772"/>
  <c r="AN92" i="772"/>
  <c r="AM92" i="772"/>
  <c r="AL92" i="772"/>
  <c r="AK92" i="772"/>
  <c r="AJ92" i="772"/>
  <c r="AI92" i="772"/>
  <c r="AH92" i="772"/>
  <c r="AG92" i="772"/>
  <c r="AF92" i="772"/>
  <c r="BF91" i="772"/>
  <c r="BE91" i="772"/>
  <c r="BD91" i="772"/>
  <c r="BC91" i="772"/>
  <c r="BB91" i="772"/>
  <c r="BA91" i="772"/>
  <c r="AZ91" i="772"/>
  <c r="AY91" i="772"/>
  <c r="AX91" i="772"/>
  <c r="AW91" i="772"/>
  <c r="AV91" i="772"/>
  <c r="AU91" i="772"/>
  <c r="AT91" i="772"/>
  <c r="AS91" i="772"/>
  <c r="AR91" i="772"/>
  <c r="AQ91" i="772"/>
  <c r="AP91" i="772"/>
  <c r="AO91" i="772"/>
  <c r="AN91" i="772"/>
  <c r="AM91" i="772"/>
  <c r="AL91" i="772"/>
  <c r="AK91" i="772"/>
  <c r="AJ91" i="772"/>
  <c r="AI91" i="772"/>
  <c r="AH91" i="772"/>
  <c r="AG91" i="772"/>
  <c r="AF91" i="772"/>
  <c r="BF90" i="772"/>
  <c r="BE90" i="772"/>
  <c r="BD90" i="772"/>
  <c r="BC90" i="772"/>
  <c r="BB90" i="772"/>
  <c r="BA90" i="772"/>
  <c r="AZ90" i="772"/>
  <c r="AY90" i="772"/>
  <c r="AX90" i="772"/>
  <c r="AW90" i="772"/>
  <c r="AV90" i="772"/>
  <c r="AU90" i="772"/>
  <c r="AT90" i="772"/>
  <c r="AS90" i="772"/>
  <c r="AR90" i="772"/>
  <c r="AQ90" i="772"/>
  <c r="AP90" i="772"/>
  <c r="AO90" i="772"/>
  <c r="AN90" i="772"/>
  <c r="AM90" i="772"/>
  <c r="AL90" i="772"/>
  <c r="AK90" i="772"/>
  <c r="AJ90" i="772"/>
  <c r="AI90" i="772"/>
  <c r="AH90" i="772"/>
  <c r="AG90" i="772"/>
  <c r="AF90" i="772"/>
  <c r="BF89" i="772"/>
  <c r="BE89" i="772"/>
  <c r="BD89" i="772"/>
  <c r="BC89" i="772"/>
  <c r="BB89" i="772"/>
  <c r="BA89" i="772"/>
  <c r="AZ89" i="772"/>
  <c r="AY89" i="772"/>
  <c r="AX89" i="772"/>
  <c r="AW89" i="772"/>
  <c r="AV89" i="772"/>
  <c r="AU89" i="772"/>
  <c r="AT89" i="772"/>
  <c r="AS89" i="772"/>
  <c r="AR89" i="772"/>
  <c r="AQ89" i="772"/>
  <c r="AP89" i="772"/>
  <c r="AO89" i="772"/>
  <c r="AN89" i="772"/>
  <c r="AM89" i="772"/>
  <c r="AL89" i="772"/>
  <c r="AK89" i="772"/>
  <c r="AJ89" i="772"/>
  <c r="AI89" i="772"/>
  <c r="AH89" i="772"/>
  <c r="AG89" i="772"/>
  <c r="AF89" i="772"/>
  <c r="BF88" i="772"/>
  <c r="BE88" i="772"/>
  <c r="BD88" i="772"/>
  <c r="BC88" i="772"/>
  <c r="BB88" i="772"/>
  <c r="BA88" i="772"/>
  <c r="AZ88" i="772"/>
  <c r="AY88" i="772"/>
  <c r="AX88" i="772"/>
  <c r="AW88" i="772"/>
  <c r="AV88" i="772"/>
  <c r="AU88" i="772"/>
  <c r="AT88" i="772"/>
  <c r="AS88" i="772"/>
  <c r="AR88" i="772"/>
  <c r="AQ88" i="772"/>
  <c r="AP88" i="772"/>
  <c r="AO88" i="772"/>
  <c r="AN88" i="772"/>
  <c r="AM88" i="772"/>
  <c r="AL88" i="772"/>
  <c r="AK88" i="772"/>
  <c r="AJ88" i="772"/>
  <c r="AI88" i="772"/>
  <c r="AH88" i="772"/>
  <c r="AG88" i="772"/>
  <c r="AF88" i="772"/>
  <c r="BF87" i="772"/>
  <c r="BE87" i="772"/>
  <c r="BD87" i="772"/>
  <c r="BC87" i="772"/>
  <c r="BB87" i="772"/>
  <c r="BA87" i="772"/>
  <c r="AZ87" i="772"/>
  <c r="AY87" i="772"/>
  <c r="AX87" i="772"/>
  <c r="AW87" i="772"/>
  <c r="AV87" i="772"/>
  <c r="AU87" i="772"/>
  <c r="AT87" i="772"/>
  <c r="AS87" i="772"/>
  <c r="AR87" i="772"/>
  <c r="AQ87" i="772"/>
  <c r="AP87" i="772"/>
  <c r="AO87" i="772"/>
  <c r="AN87" i="772"/>
  <c r="AM87" i="772"/>
  <c r="AL87" i="772"/>
  <c r="AK87" i="772"/>
  <c r="AJ87" i="772"/>
  <c r="AI87" i="772"/>
  <c r="AH87" i="772"/>
  <c r="AG87" i="772"/>
  <c r="AF87" i="772"/>
  <c r="BF86" i="772"/>
  <c r="BE86" i="772"/>
  <c r="BD86" i="772"/>
  <c r="BC86" i="772"/>
  <c r="BB86" i="772"/>
  <c r="BA86" i="772"/>
  <c r="AZ86" i="772"/>
  <c r="AY86" i="772"/>
  <c r="AX86" i="772"/>
  <c r="AW86" i="772"/>
  <c r="AV86" i="772"/>
  <c r="AU86" i="772"/>
  <c r="AT86" i="772"/>
  <c r="AS86" i="772"/>
  <c r="AR86" i="772"/>
  <c r="AQ86" i="772"/>
  <c r="AP86" i="772"/>
  <c r="AO86" i="772"/>
  <c r="AN86" i="772"/>
  <c r="AM86" i="772"/>
  <c r="AL86" i="772"/>
  <c r="AK86" i="772"/>
  <c r="AJ86" i="772"/>
  <c r="AI86" i="772"/>
  <c r="AH86" i="772"/>
  <c r="AG86" i="772"/>
  <c r="AF86" i="772"/>
  <c r="BF85" i="772"/>
  <c r="BE85" i="772"/>
  <c r="BD85" i="772"/>
  <c r="BC85" i="772"/>
  <c r="BB85" i="772"/>
  <c r="BA85" i="772"/>
  <c r="AZ85" i="772"/>
  <c r="AY85" i="772"/>
  <c r="AX85" i="772"/>
  <c r="AW85" i="772"/>
  <c r="AV85" i="772"/>
  <c r="AU85" i="772"/>
  <c r="AT85" i="772"/>
  <c r="AS85" i="772"/>
  <c r="AR85" i="772"/>
  <c r="AQ85" i="772"/>
  <c r="AP85" i="772"/>
  <c r="AO85" i="772"/>
  <c r="AN85" i="772"/>
  <c r="AM85" i="772"/>
  <c r="AL85" i="772"/>
  <c r="AK85" i="772"/>
  <c r="AJ85" i="772"/>
  <c r="AI85" i="772"/>
  <c r="AH85" i="772"/>
  <c r="AG85" i="772"/>
  <c r="AF85" i="772"/>
  <c r="BF84" i="772"/>
  <c r="BE84" i="772"/>
  <c r="BD84" i="772"/>
  <c r="BC84" i="772"/>
  <c r="BB84" i="772"/>
  <c r="BA84" i="772"/>
  <c r="AZ84" i="772"/>
  <c r="AY84" i="772"/>
  <c r="AX84" i="772"/>
  <c r="AW84" i="772"/>
  <c r="AV84" i="772"/>
  <c r="AU84" i="772"/>
  <c r="AT84" i="772"/>
  <c r="AS84" i="772"/>
  <c r="AR84" i="772"/>
  <c r="AQ84" i="772"/>
  <c r="AP84" i="772"/>
  <c r="AO84" i="772"/>
  <c r="AN84" i="772"/>
  <c r="AM84" i="772"/>
  <c r="AL84" i="772"/>
  <c r="AK84" i="772"/>
  <c r="AJ84" i="772"/>
  <c r="AI84" i="772"/>
  <c r="AH84" i="772"/>
  <c r="AG84" i="772"/>
  <c r="AF84" i="772"/>
  <c r="BF83" i="772"/>
  <c r="BE83" i="772"/>
  <c r="BD83" i="772"/>
  <c r="BC83" i="772"/>
  <c r="BB83" i="772"/>
  <c r="BA83" i="772"/>
  <c r="AZ83" i="772"/>
  <c r="AY83" i="772"/>
  <c r="AX83" i="772"/>
  <c r="AW83" i="772"/>
  <c r="AV83" i="772"/>
  <c r="AU83" i="772"/>
  <c r="AT83" i="772"/>
  <c r="AS83" i="772"/>
  <c r="AR83" i="772"/>
  <c r="AQ83" i="772"/>
  <c r="AP83" i="772"/>
  <c r="AO83" i="772"/>
  <c r="AN83" i="772"/>
  <c r="AM83" i="772"/>
  <c r="AL83" i="772"/>
  <c r="AK83" i="772"/>
  <c r="AJ83" i="772"/>
  <c r="AI83" i="772"/>
  <c r="AH83" i="772"/>
  <c r="AG83" i="772"/>
  <c r="AF83" i="772"/>
  <c r="BF82" i="772"/>
  <c r="BE82" i="772"/>
  <c r="BD82" i="772"/>
  <c r="BC82" i="772"/>
  <c r="BB82" i="772"/>
  <c r="BA82" i="772"/>
  <c r="AZ82" i="772"/>
  <c r="AY82" i="772"/>
  <c r="AX82" i="772"/>
  <c r="AW82" i="772"/>
  <c r="AV82" i="772"/>
  <c r="AU82" i="772"/>
  <c r="AT82" i="772"/>
  <c r="AS82" i="772"/>
  <c r="AR82" i="772"/>
  <c r="AQ82" i="772"/>
  <c r="AP82" i="772"/>
  <c r="AO82" i="772"/>
  <c r="AN82" i="772"/>
  <c r="AM82" i="772"/>
  <c r="AL82" i="772"/>
  <c r="AK82" i="772"/>
  <c r="AJ82" i="772"/>
  <c r="AI82" i="772"/>
  <c r="AH82" i="772"/>
  <c r="AG82" i="772"/>
  <c r="AF82" i="772"/>
  <c r="BF81" i="772"/>
  <c r="BE81" i="772"/>
  <c r="BD81" i="772"/>
  <c r="BC81" i="772"/>
  <c r="BB81" i="772"/>
  <c r="BA81" i="772"/>
  <c r="AZ81" i="772"/>
  <c r="AY81" i="772"/>
  <c r="AX81" i="772"/>
  <c r="AW81" i="772"/>
  <c r="AV81" i="772"/>
  <c r="AU81" i="772"/>
  <c r="AT81" i="772"/>
  <c r="AS81" i="772"/>
  <c r="AR81" i="772"/>
  <c r="AQ81" i="772"/>
  <c r="AP81" i="772"/>
  <c r="AO81" i="772"/>
  <c r="AN81" i="772"/>
  <c r="AM81" i="772"/>
  <c r="AL81" i="772"/>
  <c r="AK81" i="772"/>
  <c r="AJ81" i="772"/>
  <c r="AI81" i="772"/>
  <c r="AH81" i="772"/>
  <c r="AG81" i="772"/>
  <c r="AF81" i="772"/>
  <c r="BF80" i="772"/>
  <c r="BE80" i="772"/>
  <c r="BD80" i="772"/>
  <c r="BC80" i="772"/>
  <c r="BB80" i="772"/>
  <c r="BA80" i="772"/>
  <c r="AZ80" i="772"/>
  <c r="AY80" i="772"/>
  <c r="AX80" i="772"/>
  <c r="AW80" i="772"/>
  <c r="AV80" i="772"/>
  <c r="AU80" i="772"/>
  <c r="AT80" i="772"/>
  <c r="AS80" i="772"/>
  <c r="AR80" i="772"/>
  <c r="AQ80" i="772"/>
  <c r="AP80" i="772"/>
  <c r="AO80" i="772"/>
  <c r="AN80" i="772"/>
  <c r="AM80" i="772"/>
  <c r="AL80" i="772"/>
  <c r="AK80" i="772"/>
  <c r="AJ80" i="772"/>
  <c r="AI80" i="772"/>
  <c r="AH80" i="772"/>
  <c r="AG80" i="772"/>
  <c r="AF80" i="772"/>
  <c r="BF79" i="772"/>
  <c r="BE79" i="772"/>
  <c r="BD79" i="772"/>
  <c r="BC79" i="772"/>
  <c r="BB79" i="772"/>
  <c r="BA79" i="772"/>
  <c r="AZ79" i="772"/>
  <c r="AY79" i="772"/>
  <c r="AX79" i="772"/>
  <c r="AW79" i="772"/>
  <c r="AV79" i="772"/>
  <c r="AU79" i="772"/>
  <c r="AT79" i="772"/>
  <c r="AS79" i="772"/>
  <c r="AR79" i="772"/>
  <c r="AQ79" i="772"/>
  <c r="AP79" i="772"/>
  <c r="AO79" i="772"/>
  <c r="AN79" i="772"/>
  <c r="AM79" i="772"/>
  <c r="AL79" i="772"/>
  <c r="AK79" i="772"/>
  <c r="AJ79" i="772"/>
  <c r="AI79" i="772"/>
  <c r="AH79" i="772"/>
  <c r="AG79" i="772"/>
  <c r="AF79" i="772"/>
  <c r="BF78" i="772"/>
  <c r="BE78" i="772"/>
  <c r="BD78" i="772"/>
  <c r="BC78" i="772"/>
  <c r="BB78" i="772"/>
  <c r="BA78" i="772"/>
  <c r="AZ78" i="772"/>
  <c r="AY78" i="772"/>
  <c r="AX78" i="772"/>
  <c r="AW78" i="772"/>
  <c r="AV78" i="772"/>
  <c r="AU78" i="772"/>
  <c r="AT78" i="772"/>
  <c r="AS78" i="772"/>
  <c r="AR78" i="772"/>
  <c r="AQ78" i="772"/>
  <c r="AP78" i="772"/>
  <c r="AO78" i="772"/>
  <c r="AN78" i="772"/>
  <c r="AM78" i="772"/>
  <c r="AL78" i="772"/>
  <c r="AK78" i="772"/>
  <c r="AJ78" i="772"/>
  <c r="AI78" i="772"/>
  <c r="AH78" i="772"/>
  <c r="AG78" i="772"/>
  <c r="AF78" i="772"/>
  <c r="BF77" i="772"/>
  <c r="BE77" i="772"/>
  <c r="BD77" i="772"/>
  <c r="BC77" i="772"/>
  <c r="BB77" i="772"/>
  <c r="BA77" i="772"/>
  <c r="AZ77" i="772"/>
  <c r="AY77" i="772"/>
  <c r="AX77" i="772"/>
  <c r="AW77" i="772"/>
  <c r="AV77" i="772"/>
  <c r="AU77" i="772"/>
  <c r="AT77" i="772"/>
  <c r="AS77" i="772"/>
  <c r="AR77" i="772"/>
  <c r="AQ77" i="772"/>
  <c r="AP77" i="772"/>
  <c r="AO77" i="772"/>
  <c r="AN77" i="772"/>
  <c r="AM77" i="772"/>
  <c r="AL77" i="772"/>
  <c r="AK77" i="772"/>
  <c r="AJ77" i="772"/>
  <c r="AI77" i="772"/>
  <c r="AH77" i="772"/>
  <c r="AG77" i="772"/>
  <c r="AF77" i="772"/>
  <c r="BF76" i="772"/>
  <c r="BE76" i="772"/>
  <c r="BD76" i="772"/>
  <c r="BC76" i="772"/>
  <c r="BB76" i="772"/>
  <c r="BA76" i="772"/>
  <c r="AZ76" i="772"/>
  <c r="AY76" i="772"/>
  <c r="AX76" i="772"/>
  <c r="AW76" i="772"/>
  <c r="AV76" i="772"/>
  <c r="AU76" i="772"/>
  <c r="AT76" i="772"/>
  <c r="AS76" i="772"/>
  <c r="AR76" i="772"/>
  <c r="AQ76" i="772"/>
  <c r="AP76" i="772"/>
  <c r="AO76" i="772"/>
  <c r="AN76" i="772"/>
  <c r="AM76" i="772"/>
  <c r="AL76" i="772"/>
  <c r="AK76" i="772"/>
  <c r="AJ76" i="772"/>
  <c r="AI76" i="772"/>
  <c r="AH76" i="772"/>
  <c r="AG76" i="772"/>
  <c r="AF76" i="772"/>
  <c r="BF75" i="772"/>
  <c r="BE75" i="772"/>
  <c r="BD75" i="772"/>
  <c r="BC75" i="772"/>
  <c r="BB75" i="772"/>
  <c r="BA75" i="772"/>
  <c r="AZ75" i="772"/>
  <c r="AY75" i="772"/>
  <c r="AX75" i="772"/>
  <c r="AW75" i="772"/>
  <c r="AV75" i="772"/>
  <c r="AU75" i="772"/>
  <c r="AT75" i="772"/>
  <c r="AS75" i="772"/>
  <c r="AR75" i="772"/>
  <c r="AQ75" i="772"/>
  <c r="AP75" i="772"/>
  <c r="AO75" i="772"/>
  <c r="AN75" i="772"/>
  <c r="AM75" i="772"/>
  <c r="AL75" i="772"/>
  <c r="AK75" i="772"/>
  <c r="AJ75" i="772"/>
  <c r="AI75" i="772"/>
  <c r="AH75" i="772"/>
  <c r="AG75" i="772"/>
  <c r="AF75" i="772"/>
  <c r="BF74" i="772"/>
  <c r="BE74" i="772"/>
  <c r="BD74" i="772"/>
  <c r="BC74" i="772"/>
  <c r="BB74" i="772"/>
  <c r="BA74" i="772"/>
  <c r="AZ74" i="772"/>
  <c r="AY74" i="772"/>
  <c r="AX74" i="772"/>
  <c r="AW74" i="772"/>
  <c r="AV74" i="772"/>
  <c r="AU74" i="772"/>
  <c r="AT74" i="772"/>
  <c r="AS74" i="772"/>
  <c r="AR74" i="772"/>
  <c r="AQ74" i="772"/>
  <c r="AP74" i="772"/>
  <c r="AO74" i="772"/>
  <c r="AN74" i="772"/>
  <c r="AM74" i="772"/>
  <c r="AL74" i="772"/>
  <c r="AK74" i="772"/>
  <c r="AJ74" i="772"/>
  <c r="AI74" i="772"/>
  <c r="AH74" i="772"/>
  <c r="AG74" i="772"/>
  <c r="AF74" i="772"/>
  <c r="BF73" i="772"/>
  <c r="BE73" i="772"/>
  <c r="BD73" i="772"/>
  <c r="BC73" i="772"/>
  <c r="BB73" i="772"/>
  <c r="BA73" i="772"/>
  <c r="AZ73" i="772"/>
  <c r="AY73" i="772"/>
  <c r="AX73" i="772"/>
  <c r="AW73" i="772"/>
  <c r="AV73" i="772"/>
  <c r="AU73" i="772"/>
  <c r="AT73" i="772"/>
  <c r="AS73" i="772"/>
  <c r="AR73" i="772"/>
  <c r="AQ73" i="772"/>
  <c r="AP73" i="772"/>
  <c r="AO73" i="772"/>
  <c r="AN73" i="772"/>
  <c r="AM73" i="772"/>
  <c r="AL73" i="772"/>
  <c r="AK73" i="772"/>
  <c r="AJ73" i="772"/>
  <c r="AI73" i="772"/>
  <c r="AH73" i="772"/>
  <c r="AG73" i="772"/>
  <c r="AF73" i="772"/>
  <c r="BF72" i="772"/>
  <c r="BE72" i="772"/>
  <c r="BD72" i="772"/>
  <c r="BC72" i="772"/>
  <c r="BB72" i="772"/>
  <c r="BA72" i="772"/>
  <c r="AZ72" i="772"/>
  <c r="AY72" i="772"/>
  <c r="AX72" i="772"/>
  <c r="AW72" i="772"/>
  <c r="AV72" i="772"/>
  <c r="AU72" i="772"/>
  <c r="AT72" i="772"/>
  <c r="AS72" i="772"/>
  <c r="AR72" i="772"/>
  <c r="AQ72" i="772"/>
  <c r="AP72" i="772"/>
  <c r="AO72" i="772"/>
  <c r="AN72" i="772"/>
  <c r="AM72" i="772"/>
  <c r="AL72" i="772"/>
  <c r="AK72" i="772"/>
  <c r="AJ72" i="772"/>
  <c r="AI72" i="772"/>
  <c r="AH72" i="772"/>
  <c r="AG72" i="772"/>
  <c r="AF72" i="772"/>
  <c r="BF71" i="772"/>
  <c r="BE71" i="772"/>
  <c r="BD71" i="772"/>
  <c r="BC71" i="772"/>
  <c r="BB71" i="772"/>
  <c r="BA71" i="772"/>
  <c r="AZ71" i="772"/>
  <c r="AY71" i="772"/>
  <c r="AX71" i="772"/>
  <c r="AW71" i="772"/>
  <c r="AV71" i="772"/>
  <c r="AU71" i="772"/>
  <c r="AT71" i="772"/>
  <c r="AS71" i="772"/>
  <c r="AR71" i="772"/>
  <c r="AQ71" i="772"/>
  <c r="AP71" i="772"/>
  <c r="AO71" i="772"/>
  <c r="AN71" i="772"/>
  <c r="AM71" i="772"/>
  <c r="AL71" i="772"/>
  <c r="AK71" i="772"/>
  <c r="AJ71" i="772"/>
  <c r="AI71" i="772"/>
  <c r="AH71" i="772"/>
  <c r="AG71" i="772"/>
  <c r="AF71" i="772"/>
  <c r="BF70" i="772"/>
  <c r="BE70" i="772"/>
  <c r="BD70" i="772"/>
  <c r="BC70" i="772"/>
  <c r="BB70" i="772"/>
  <c r="BA70" i="772"/>
  <c r="AZ70" i="772"/>
  <c r="AY70" i="772"/>
  <c r="AX70" i="772"/>
  <c r="AW70" i="772"/>
  <c r="AV70" i="772"/>
  <c r="AU70" i="772"/>
  <c r="AT70" i="772"/>
  <c r="AS70" i="772"/>
  <c r="AR70" i="772"/>
  <c r="AQ70" i="772"/>
  <c r="AP70" i="772"/>
  <c r="AO70" i="772"/>
  <c r="AN70" i="772"/>
  <c r="AM70" i="772"/>
  <c r="AL70" i="772"/>
  <c r="AK70" i="772"/>
  <c r="AJ70" i="772"/>
  <c r="AI70" i="772"/>
  <c r="AH70" i="772"/>
  <c r="AG70" i="772"/>
  <c r="AF70" i="772"/>
  <c r="BF69" i="772"/>
  <c r="BE69" i="772"/>
  <c r="BD69" i="772"/>
  <c r="BC69" i="772"/>
  <c r="BB69" i="772"/>
  <c r="BA69" i="772"/>
  <c r="AZ69" i="772"/>
  <c r="AY69" i="772"/>
  <c r="AX69" i="772"/>
  <c r="AW69" i="772"/>
  <c r="AV69" i="772"/>
  <c r="AU69" i="772"/>
  <c r="AT69" i="772"/>
  <c r="AS69" i="772"/>
  <c r="AR69" i="772"/>
  <c r="AQ69" i="772"/>
  <c r="AP69" i="772"/>
  <c r="AO69" i="772"/>
  <c r="AN69" i="772"/>
  <c r="AM69" i="772"/>
  <c r="AL69" i="772"/>
  <c r="AK69" i="772"/>
  <c r="AJ69" i="772"/>
  <c r="AI69" i="772"/>
  <c r="AH69" i="772"/>
  <c r="AG69" i="772"/>
  <c r="AF69" i="772"/>
  <c r="BF68" i="772"/>
  <c r="BE68" i="772"/>
  <c r="BD68" i="772"/>
  <c r="BC68" i="772"/>
  <c r="BB68" i="772"/>
  <c r="BA68" i="772"/>
  <c r="AZ68" i="772"/>
  <c r="AY68" i="772"/>
  <c r="AX68" i="772"/>
  <c r="AW68" i="772"/>
  <c r="AV68" i="772"/>
  <c r="AU68" i="772"/>
  <c r="AT68" i="772"/>
  <c r="AS68" i="772"/>
  <c r="AR68" i="772"/>
  <c r="AQ68" i="772"/>
  <c r="AP68" i="772"/>
  <c r="AO68" i="772"/>
  <c r="AN68" i="772"/>
  <c r="AM68" i="772"/>
  <c r="AL68" i="772"/>
  <c r="AK68" i="772"/>
  <c r="AJ68" i="772"/>
  <c r="AI68" i="772"/>
  <c r="AH68" i="772"/>
  <c r="AG68" i="772"/>
  <c r="AF68" i="772"/>
  <c r="BF67" i="772"/>
  <c r="BE67" i="772"/>
  <c r="BD67" i="772"/>
  <c r="BC67" i="772"/>
  <c r="BB67" i="772"/>
  <c r="BA67" i="772"/>
  <c r="AZ67" i="772"/>
  <c r="AY67" i="772"/>
  <c r="AX67" i="772"/>
  <c r="AW67" i="772"/>
  <c r="AV67" i="772"/>
  <c r="AU67" i="772"/>
  <c r="AT67" i="772"/>
  <c r="AS67" i="772"/>
  <c r="AR67" i="772"/>
  <c r="AQ67" i="772"/>
  <c r="AP67" i="772"/>
  <c r="AO67" i="772"/>
  <c r="AN67" i="772"/>
  <c r="AM67" i="772"/>
  <c r="AL67" i="772"/>
  <c r="AK67" i="772"/>
  <c r="AJ67" i="772"/>
  <c r="AI67" i="772"/>
  <c r="AH67" i="772"/>
  <c r="AG67" i="772"/>
  <c r="AF67" i="772"/>
  <c r="BF66" i="772"/>
  <c r="BE66" i="772"/>
  <c r="BD66" i="772"/>
  <c r="BC66" i="772"/>
  <c r="BB66" i="772"/>
  <c r="BA66" i="772"/>
  <c r="AZ66" i="772"/>
  <c r="AY66" i="772"/>
  <c r="AX66" i="772"/>
  <c r="AW66" i="772"/>
  <c r="AV66" i="772"/>
  <c r="AU66" i="772"/>
  <c r="AT66" i="772"/>
  <c r="AS66" i="772"/>
  <c r="AR66" i="772"/>
  <c r="AQ66" i="772"/>
  <c r="AP66" i="772"/>
  <c r="AO66" i="772"/>
  <c r="AN66" i="772"/>
  <c r="AM66" i="772"/>
  <c r="AL66" i="772"/>
  <c r="AK66" i="772"/>
  <c r="AJ66" i="772"/>
  <c r="AI66" i="772"/>
  <c r="AH66" i="772"/>
  <c r="AG66" i="772"/>
  <c r="AF66" i="772"/>
  <c r="BF65" i="772"/>
  <c r="BE65" i="772"/>
  <c r="BD65" i="772"/>
  <c r="BC65" i="772"/>
  <c r="BB65" i="772"/>
  <c r="BA65" i="772"/>
  <c r="AZ65" i="772"/>
  <c r="AY65" i="772"/>
  <c r="AX65" i="772"/>
  <c r="AW65" i="772"/>
  <c r="AV65" i="772"/>
  <c r="AU65" i="772"/>
  <c r="AT65" i="772"/>
  <c r="AS65" i="772"/>
  <c r="AR65" i="772"/>
  <c r="AQ65" i="772"/>
  <c r="AP65" i="772"/>
  <c r="AO65" i="772"/>
  <c r="AN65" i="772"/>
  <c r="AM65" i="772"/>
  <c r="AL65" i="772"/>
  <c r="AK65" i="772"/>
  <c r="AJ65" i="772"/>
  <c r="AI65" i="772"/>
  <c r="AH65" i="772"/>
  <c r="AG65" i="772"/>
  <c r="AF65" i="772"/>
  <c r="BF64" i="772"/>
  <c r="BE64" i="772"/>
  <c r="BD64" i="772"/>
  <c r="BC64" i="772"/>
  <c r="BB64" i="772"/>
  <c r="BA64" i="772"/>
  <c r="AZ64" i="772"/>
  <c r="AY64" i="772"/>
  <c r="AX64" i="772"/>
  <c r="AW64" i="772"/>
  <c r="AV64" i="772"/>
  <c r="AU64" i="772"/>
  <c r="AT64" i="772"/>
  <c r="AS64" i="772"/>
  <c r="AR64" i="772"/>
  <c r="AQ64" i="772"/>
  <c r="AP64" i="772"/>
  <c r="AO64" i="772"/>
  <c r="AN64" i="772"/>
  <c r="AM64" i="772"/>
  <c r="AL64" i="772"/>
  <c r="AK64" i="772"/>
  <c r="AJ64" i="772"/>
  <c r="AI64" i="772"/>
  <c r="AH64" i="772"/>
  <c r="AG64" i="772"/>
  <c r="AF64" i="772"/>
  <c r="BF63" i="772"/>
  <c r="BE63" i="772"/>
  <c r="BD63" i="772"/>
  <c r="BC63" i="772"/>
  <c r="BB63" i="772"/>
  <c r="BA63" i="772"/>
  <c r="AZ63" i="772"/>
  <c r="AY63" i="772"/>
  <c r="AX63" i="772"/>
  <c r="AW63" i="772"/>
  <c r="AV63" i="772"/>
  <c r="AU63" i="772"/>
  <c r="AT63" i="772"/>
  <c r="AS63" i="772"/>
  <c r="AR63" i="772"/>
  <c r="AQ63" i="772"/>
  <c r="AP63" i="772"/>
  <c r="AO63" i="772"/>
  <c r="AN63" i="772"/>
  <c r="AM63" i="772"/>
  <c r="AL63" i="772"/>
  <c r="AK63" i="772"/>
  <c r="AJ63" i="772"/>
  <c r="AI63" i="772"/>
  <c r="AH63" i="772"/>
  <c r="AG63" i="772"/>
  <c r="AF63" i="772"/>
  <c r="BF62" i="772"/>
  <c r="BE62" i="772"/>
  <c r="BD62" i="772"/>
  <c r="BC62" i="772"/>
  <c r="BB62" i="772"/>
  <c r="BA62" i="772"/>
  <c r="AZ62" i="772"/>
  <c r="AY62" i="772"/>
  <c r="AX62" i="772"/>
  <c r="AW62" i="772"/>
  <c r="AV62" i="772"/>
  <c r="AU62" i="772"/>
  <c r="AT62" i="772"/>
  <c r="AS62" i="772"/>
  <c r="AR62" i="772"/>
  <c r="AQ62" i="772"/>
  <c r="AP62" i="772"/>
  <c r="AO62" i="772"/>
  <c r="AN62" i="772"/>
  <c r="AM62" i="772"/>
  <c r="AL62" i="772"/>
  <c r="AK62" i="772"/>
  <c r="AJ62" i="772"/>
  <c r="AI62" i="772"/>
  <c r="AH62" i="772"/>
  <c r="AG62" i="772"/>
  <c r="AF62" i="772"/>
  <c r="BF61" i="772"/>
  <c r="BE61" i="772"/>
  <c r="BD61" i="772"/>
  <c r="BC61" i="772"/>
  <c r="BB61" i="772"/>
  <c r="BA61" i="772"/>
  <c r="AZ61" i="772"/>
  <c r="AY61" i="772"/>
  <c r="AX61" i="772"/>
  <c r="AW61" i="772"/>
  <c r="AV61" i="772"/>
  <c r="AU61" i="772"/>
  <c r="AT61" i="772"/>
  <c r="AS61" i="772"/>
  <c r="AR61" i="772"/>
  <c r="AQ61" i="772"/>
  <c r="AP61" i="772"/>
  <c r="AO61" i="772"/>
  <c r="AN61" i="772"/>
  <c r="AM61" i="772"/>
  <c r="AL61" i="772"/>
  <c r="AK61" i="772"/>
  <c r="AJ61" i="772"/>
  <c r="AI61" i="772"/>
  <c r="AH61" i="772"/>
  <c r="AG61" i="772"/>
  <c r="AF61" i="772"/>
  <c r="BF60" i="772"/>
  <c r="BE60" i="772"/>
  <c r="BD60" i="772"/>
  <c r="BC60" i="772"/>
  <c r="BB60" i="772"/>
  <c r="BA60" i="772"/>
  <c r="AZ60" i="772"/>
  <c r="AY60" i="772"/>
  <c r="AX60" i="772"/>
  <c r="AW60" i="772"/>
  <c r="AV60" i="772"/>
  <c r="AU60" i="772"/>
  <c r="AT60" i="772"/>
  <c r="AS60" i="772"/>
  <c r="AR60" i="772"/>
  <c r="AQ60" i="772"/>
  <c r="AP60" i="772"/>
  <c r="AO60" i="772"/>
  <c r="AN60" i="772"/>
  <c r="AM60" i="772"/>
  <c r="AL60" i="772"/>
  <c r="AK60" i="772"/>
  <c r="AJ60" i="772"/>
  <c r="AI60" i="772"/>
  <c r="AH60" i="772"/>
  <c r="AG60" i="772"/>
  <c r="AF60" i="772"/>
  <c r="BF59" i="772"/>
  <c r="BE59" i="772"/>
  <c r="BD59" i="772"/>
  <c r="BC59" i="772"/>
  <c r="BB59" i="772"/>
  <c r="BA59" i="772"/>
  <c r="AZ59" i="772"/>
  <c r="AY59" i="772"/>
  <c r="AX59" i="772"/>
  <c r="AW59" i="772"/>
  <c r="AV59" i="772"/>
  <c r="AU59" i="772"/>
  <c r="AT59" i="772"/>
  <c r="AS59" i="772"/>
  <c r="AR59" i="772"/>
  <c r="AQ59" i="772"/>
  <c r="AP59" i="772"/>
  <c r="AO59" i="772"/>
  <c r="AN59" i="772"/>
  <c r="AM59" i="772"/>
  <c r="AL59" i="772"/>
  <c r="AK59" i="772"/>
  <c r="AJ59" i="772"/>
  <c r="AI59" i="772"/>
  <c r="AH59" i="772"/>
  <c r="AG59" i="772"/>
  <c r="AF59" i="772"/>
  <c r="BF58" i="772"/>
  <c r="BE58" i="772"/>
  <c r="BD58" i="772"/>
  <c r="BC58" i="772"/>
  <c r="BB58" i="772"/>
  <c r="BA58" i="772"/>
  <c r="AZ58" i="772"/>
  <c r="AY58" i="772"/>
  <c r="AX58" i="772"/>
  <c r="AW58" i="772"/>
  <c r="AV58" i="772"/>
  <c r="AU58" i="772"/>
  <c r="AT58" i="772"/>
  <c r="AS58" i="772"/>
  <c r="AR58" i="772"/>
  <c r="AQ58" i="772"/>
  <c r="AP58" i="772"/>
  <c r="AO58" i="772"/>
  <c r="AN58" i="772"/>
  <c r="AM58" i="772"/>
  <c r="AL58" i="772"/>
  <c r="AK58" i="772"/>
  <c r="AJ58" i="772"/>
  <c r="AI58" i="772"/>
  <c r="AH58" i="772"/>
  <c r="AG58" i="772"/>
  <c r="AF58" i="772"/>
  <c r="BF57" i="772"/>
  <c r="BE57" i="772"/>
  <c r="BD57" i="772"/>
  <c r="BC57" i="772"/>
  <c r="BB57" i="772"/>
  <c r="BA57" i="772"/>
  <c r="AZ57" i="772"/>
  <c r="AY57" i="772"/>
  <c r="AX57" i="772"/>
  <c r="AW57" i="772"/>
  <c r="AV57" i="772"/>
  <c r="AU57" i="772"/>
  <c r="AT57" i="772"/>
  <c r="AS57" i="772"/>
  <c r="AR57" i="772"/>
  <c r="AQ57" i="772"/>
  <c r="AP57" i="772"/>
  <c r="AO57" i="772"/>
  <c r="AN57" i="772"/>
  <c r="AM57" i="772"/>
  <c r="AL57" i="772"/>
  <c r="AK57" i="772"/>
  <c r="AJ57" i="772"/>
  <c r="AI57" i="772"/>
  <c r="AH57" i="772"/>
  <c r="AG57" i="772"/>
  <c r="AF57" i="772"/>
  <c r="BF56" i="772"/>
  <c r="BE56" i="772"/>
  <c r="BD56" i="772"/>
  <c r="BC56" i="772"/>
  <c r="BB56" i="772"/>
  <c r="BA56" i="772"/>
  <c r="AZ56" i="772"/>
  <c r="AY56" i="772"/>
  <c r="AX56" i="772"/>
  <c r="AW56" i="772"/>
  <c r="AV56" i="772"/>
  <c r="AU56" i="772"/>
  <c r="AT56" i="772"/>
  <c r="AS56" i="772"/>
  <c r="AR56" i="772"/>
  <c r="AQ56" i="772"/>
  <c r="AP56" i="772"/>
  <c r="AO56" i="772"/>
  <c r="AN56" i="772"/>
  <c r="AM56" i="772"/>
  <c r="AL56" i="772"/>
  <c r="AK56" i="772"/>
  <c r="AJ56" i="772"/>
  <c r="AI56" i="772"/>
  <c r="AH56" i="772"/>
  <c r="AG56" i="772"/>
  <c r="AF56" i="772"/>
  <c r="BF55" i="772"/>
  <c r="BE55" i="772"/>
  <c r="BD55" i="772"/>
  <c r="BC55" i="772"/>
  <c r="BB55" i="772"/>
  <c r="BA55" i="772"/>
  <c r="AZ55" i="772"/>
  <c r="AY55" i="772"/>
  <c r="AX55" i="772"/>
  <c r="AW55" i="772"/>
  <c r="AV55" i="772"/>
  <c r="AU55" i="772"/>
  <c r="AT55" i="772"/>
  <c r="AS55" i="772"/>
  <c r="AR55" i="772"/>
  <c r="AQ55" i="772"/>
  <c r="AP55" i="772"/>
  <c r="AO55" i="772"/>
  <c r="AN55" i="772"/>
  <c r="AM55" i="772"/>
  <c r="AL55" i="772"/>
  <c r="AK55" i="772"/>
  <c r="AJ55" i="772"/>
  <c r="AI55" i="772"/>
  <c r="AH55" i="772"/>
  <c r="AG55" i="772"/>
  <c r="AF55" i="772"/>
  <c r="BF54" i="772"/>
  <c r="BE54" i="772"/>
  <c r="BD54" i="772"/>
  <c r="BC54" i="772"/>
  <c r="BB54" i="772"/>
  <c r="BA54" i="772"/>
  <c r="AZ54" i="772"/>
  <c r="AY54" i="772"/>
  <c r="AX54" i="772"/>
  <c r="AW54" i="772"/>
  <c r="AV54" i="772"/>
  <c r="AU54" i="772"/>
  <c r="AT54" i="772"/>
  <c r="AS54" i="772"/>
  <c r="AR54" i="772"/>
  <c r="AQ54" i="772"/>
  <c r="AP54" i="772"/>
  <c r="AO54" i="772"/>
  <c r="AN54" i="772"/>
  <c r="AM54" i="772"/>
  <c r="AL54" i="772"/>
  <c r="AK54" i="772"/>
  <c r="AJ54" i="772"/>
  <c r="AI54" i="772"/>
  <c r="AH54" i="772"/>
  <c r="AG54" i="772"/>
  <c r="AF54" i="772"/>
  <c r="BF53" i="772"/>
  <c r="BE53" i="772"/>
  <c r="BD53" i="772"/>
  <c r="BC53" i="772"/>
  <c r="BB53" i="772"/>
  <c r="BA53" i="772"/>
  <c r="AZ53" i="772"/>
  <c r="AY53" i="772"/>
  <c r="AX53" i="772"/>
  <c r="AW53" i="772"/>
  <c r="AV53" i="772"/>
  <c r="AU53" i="772"/>
  <c r="AT53" i="772"/>
  <c r="AS53" i="772"/>
  <c r="AR53" i="772"/>
  <c r="AQ53" i="772"/>
  <c r="AP53" i="772"/>
  <c r="AO53" i="772"/>
  <c r="AN53" i="772"/>
  <c r="AM53" i="772"/>
  <c r="AL53" i="772"/>
  <c r="AK53" i="772"/>
  <c r="AJ53" i="772"/>
  <c r="AI53" i="772"/>
  <c r="AH53" i="772"/>
  <c r="AG53" i="772"/>
  <c r="AF53" i="772"/>
  <c r="BF52" i="772"/>
  <c r="BE52" i="772"/>
  <c r="BD52" i="772"/>
  <c r="BC52" i="772"/>
  <c r="BB52" i="772"/>
  <c r="BA52" i="772"/>
  <c r="AZ52" i="772"/>
  <c r="AY52" i="772"/>
  <c r="AX52" i="772"/>
  <c r="AW52" i="772"/>
  <c r="AV52" i="772"/>
  <c r="AU52" i="772"/>
  <c r="AT52" i="772"/>
  <c r="AS52" i="772"/>
  <c r="AR52" i="772"/>
  <c r="AQ52" i="772"/>
  <c r="AP52" i="772"/>
  <c r="AO52" i="772"/>
  <c r="AN52" i="772"/>
  <c r="AM52" i="772"/>
  <c r="AL52" i="772"/>
  <c r="AK52" i="772"/>
  <c r="AJ52" i="772"/>
  <c r="AI52" i="772"/>
  <c r="AH52" i="772"/>
  <c r="AG52" i="772"/>
  <c r="AF52" i="772"/>
  <c r="BF51" i="772"/>
  <c r="BE51" i="772"/>
  <c r="BD51" i="772"/>
  <c r="BC51" i="772"/>
  <c r="BB51" i="772"/>
  <c r="BA51" i="772"/>
  <c r="AZ51" i="772"/>
  <c r="AY51" i="772"/>
  <c r="AX51" i="772"/>
  <c r="AW51" i="772"/>
  <c r="AV51" i="772"/>
  <c r="AU51" i="772"/>
  <c r="AT51" i="772"/>
  <c r="AS51" i="772"/>
  <c r="AR51" i="772"/>
  <c r="AQ51" i="772"/>
  <c r="AP51" i="772"/>
  <c r="AO51" i="772"/>
  <c r="AN51" i="772"/>
  <c r="AM51" i="772"/>
  <c r="AL51" i="772"/>
  <c r="AK51" i="772"/>
  <c r="AJ51" i="772"/>
  <c r="AI51" i="772"/>
  <c r="AH51" i="772"/>
  <c r="AG51" i="772"/>
  <c r="AF51" i="772"/>
  <c r="BF50" i="772"/>
  <c r="BE50" i="772"/>
  <c r="BD50" i="772"/>
  <c r="BC50" i="772"/>
  <c r="BB50" i="772"/>
  <c r="BA50" i="772"/>
  <c r="AZ50" i="772"/>
  <c r="AY50" i="772"/>
  <c r="AX50" i="772"/>
  <c r="AW50" i="772"/>
  <c r="AV50" i="772"/>
  <c r="AU50" i="772"/>
  <c r="AT50" i="772"/>
  <c r="AS50" i="772"/>
  <c r="AR50" i="772"/>
  <c r="AQ50" i="772"/>
  <c r="AP50" i="772"/>
  <c r="AO50" i="772"/>
  <c r="AN50" i="772"/>
  <c r="AM50" i="772"/>
  <c r="AL50" i="772"/>
  <c r="AK50" i="772"/>
  <c r="AJ50" i="772"/>
  <c r="AI50" i="772"/>
  <c r="AH50" i="772"/>
  <c r="AG50" i="772"/>
  <c r="AF50" i="772"/>
  <c r="BF49" i="772"/>
  <c r="BE49" i="772"/>
  <c r="BD49" i="772"/>
  <c r="BC49" i="772"/>
  <c r="BB49" i="772"/>
  <c r="BA49" i="772"/>
  <c r="AZ49" i="772"/>
  <c r="AY49" i="772"/>
  <c r="AX49" i="772"/>
  <c r="AW49" i="772"/>
  <c r="AV49" i="772"/>
  <c r="AU49" i="772"/>
  <c r="AT49" i="772"/>
  <c r="AS49" i="772"/>
  <c r="AR49" i="772"/>
  <c r="AQ49" i="772"/>
  <c r="AP49" i="772"/>
  <c r="AO49" i="772"/>
  <c r="AN49" i="772"/>
  <c r="AM49" i="772"/>
  <c r="AL49" i="772"/>
  <c r="AK49" i="772"/>
  <c r="AJ49" i="772"/>
  <c r="AI49" i="772"/>
  <c r="AH49" i="772"/>
  <c r="AG49" i="772"/>
  <c r="AF49" i="772"/>
  <c r="BF48" i="772"/>
  <c r="BE48" i="772"/>
  <c r="BD48" i="772"/>
  <c r="BC48" i="772"/>
  <c r="BB48" i="772"/>
  <c r="BA48" i="772"/>
  <c r="AZ48" i="772"/>
  <c r="AY48" i="772"/>
  <c r="AX48" i="772"/>
  <c r="AW48" i="772"/>
  <c r="AV48" i="772"/>
  <c r="AU48" i="772"/>
  <c r="AT48" i="772"/>
  <c r="AS48" i="772"/>
  <c r="AR48" i="772"/>
  <c r="AQ48" i="772"/>
  <c r="AP48" i="772"/>
  <c r="AO48" i="772"/>
  <c r="AN48" i="772"/>
  <c r="AM48" i="772"/>
  <c r="AL48" i="772"/>
  <c r="AK48" i="772"/>
  <c r="AJ48" i="772"/>
  <c r="AI48" i="772"/>
  <c r="AH48" i="772"/>
  <c r="AG48" i="772"/>
  <c r="AF48" i="772"/>
  <c r="BF47" i="772"/>
  <c r="BE47" i="772"/>
  <c r="BD47" i="772"/>
  <c r="BC47" i="772"/>
  <c r="BB47" i="772"/>
  <c r="BA47" i="772"/>
  <c r="AZ47" i="772"/>
  <c r="AY47" i="772"/>
  <c r="AX47" i="772"/>
  <c r="AW47" i="772"/>
  <c r="AV47" i="772"/>
  <c r="AU47" i="772"/>
  <c r="AT47" i="772"/>
  <c r="AS47" i="772"/>
  <c r="AR47" i="772"/>
  <c r="AQ47" i="772"/>
  <c r="AP47" i="772"/>
  <c r="AO47" i="772"/>
  <c r="AN47" i="772"/>
  <c r="AM47" i="772"/>
  <c r="AL47" i="772"/>
  <c r="AK47" i="772"/>
  <c r="AJ47" i="772"/>
  <c r="AI47" i="772"/>
  <c r="AH47" i="772"/>
  <c r="AG47" i="772"/>
  <c r="AF47" i="772"/>
  <c r="BF46" i="772"/>
  <c r="BE46" i="772"/>
  <c r="BD46" i="772"/>
  <c r="BC46" i="772"/>
  <c r="BB46" i="772"/>
  <c r="BA46" i="772"/>
  <c r="AZ46" i="772"/>
  <c r="AY46" i="772"/>
  <c r="AX46" i="772"/>
  <c r="AW46" i="772"/>
  <c r="AV46" i="772"/>
  <c r="AU46" i="772"/>
  <c r="AT46" i="772"/>
  <c r="AS46" i="772"/>
  <c r="AR46" i="772"/>
  <c r="AQ46" i="772"/>
  <c r="AP46" i="772"/>
  <c r="AO46" i="772"/>
  <c r="AN46" i="772"/>
  <c r="AM46" i="772"/>
  <c r="AL46" i="772"/>
  <c r="AK46" i="772"/>
  <c r="AJ46" i="772"/>
  <c r="AI46" i="772"/>
  <c r="AH46" i="772"/>
  <c r="AG46" i="772"/>
  <c r="AF46" i="772"/>
  <c r="BF45" i="772"/>
  <c r="BE45" i="772"/>
  <c r="BD45" i="772"/>
  <c r="BC45" i="772"/>
  <c r="BB45" i="772"/>
  <c r="BA45" i="772"/>
  <c r="AZ45" i="772"/>
  <c r="AY45" i="772"/>
  <c r="AX45" i="772"/>
  <c r="AW45" i="772"/>
  <c r="AV45" i="772"/>
  <c r="AU45" i="772"/>
  <c r="AT45" i="772"/>
  <c r="AS45" i="772"/>
  <c r="AR45" i="772"/>
  <c r="AQ45" i="772"/>
  <c r="AP45" i="772"/>
  <c r="AO45" i="772"/>
  <c r="AN45" i="772"/>
  <c r="AM45" i="772"/>
  <c r="AL45" i="772"/>
  <c r="AK45" i="772"/>
  <c r="AJ45" i="772"/>
  <c r="AI45" i="772"/>
  <c r="AH45" i="772"/>
  <c r="AG45" i="772"/>
  <c r="AF45" i="772"/>
  <c r="BF44" i="772"/>
  <c r="BE44" i="772"/>
  <c r="BD44" i="772"/>
  <c r="BC44" i="772"/>
  <c r="BB44" i="772"/>
  <c r="BA44" i="772"/>
  <c r="AZ44" i="772"/>
  <c r="AY44" i="772"/>
  <c r="AX44" i="772"/>
  <c r="AW44" i="772"/>
  <c r="AV44" i="772"/>
  <c r="AU44" i="772"/>
  <c r="AT44" i="772"/>
  <c r="AS44" i="772"/>
  <c r="AR44" i="772"/>
  <c r="AQ44" i="772"/>
  <c r="AP44" i="772"/>
  <c r="AO44" i="772"/>
  <c r="AN44" i="772"/>
  <c r="AM44" i="772"/>
  <c r="AL44" i="772"/>
  <c r="AK44" i="772"/>
  <c r="AJ44" i="772"/>
  <c r="AI44" i="772"/>
  <c r="AH44" i="772"/>
  <c r="AG44" i="772"/>
  <c r="AF44" i="772"/>
  <c r="BF43" i="772"/>
  <c r="BE43" i="772"/>
  <c r="BD43" i="772"/>
  <c r="BC43" i="772"/>
  <c r="BB43" i="772"/>
  <c r="BA43" i="772"/>
  <c r="AZ43" i="772"/>
  <c r="AY43" i="772"/>
  <c r="AX43" i="772"/>
  <c r="AW43" i="772"/>
  <c r="AV43" i="772"/>
  <c r="AU43" i="772"/>
  <c r="AT43" i="772"/>
  <c r="AS43" i="772"/>
  <c r="AR43" i="772"/>
  <c r="AQ43" i="772"/>
  <c r="AP43" i="772"/>
  <c r="AO43" i="772"/>
  <c r="AN43" i="772"/>
  <c r="AM43" i="772"/>
  <c r="AL43" i="772"/>
  <c r="AK43" i="772"/>
  <c r="AJ43" i="772"/>
  <c r="AI43" i="772"/>
  <c r="AH43" i="772"/>
  <c r="AG43" i="772"/>
  <c r="AF43" i="772"/>
  <c r="BF42" i="772"/>
  <c r="BE42" i="772"/>
  <c r="BD42" i="772"/>
  <c r="BC42" i="772"/>
  <c r="BB42" i="772"/>
  <c r="BA42" i="772"/>
  <c r="AZ42" i="772"/>
  <c r="AY42" i="772"/>
  <c r="AX42" i="772"/>
  <c r="AW42" i="772"/>
  <c r="AV42" i="772"/>
  <c r="AU42" i="772"/>
  <c r="AT42" i="772"/>
  <c r="AS42" i="772"/>
  <c r="AR42" i="772"/>
  <c r="AQ42" i="772"/>
  <c r="AP42" i="772"/>
  <c r="AO42" i="772"/>
  <c r="AN42" i="772"/>
  <c r="AM42" i="772"/>
  <c r="AL42" i="772"/>
  <c r="AK42" i="772"/>
  <c r="AJ42" i="772"/>
  <c r="AI42" i="772"/>
  <c r="AH42" i="772"/>
  <c r="AG42" i="772"/>
  <c r="AF42" i="772"/>
  <c r="BF41" i="772"/>
  <c r="BE41" i="772"/>
  <c r="BD41" i="772"/>
  <c r="BC41" i="772"/>
  <c r="BB41" i="772"/>
  <c r="BA41" i="772"/>
  <c r="AZ41" i="772"/>
  <c r="AY41" i="772"/>
  <c r="AX41" i="772"/>
  <c r="AW41" i="772"/>
  <c r="AV41" i="772"/>
  <c r="AU41" i="772"/>
  <c r="AT41" i="772"/>
  <c r="AS41" i="772"/>
  <c r="AR41" i="772"/>
  <c r="AQ41" i="772"/>
  <c r="AP41" i="772"/>
  <c r="AO41" i="772"/>
  <c r="AN41" i="772"/>
  <c r="AM41" i="772"/>
  <c r="AL41" i="772"/>
  <c r="AK41" i="772"/>
  <c r="AJ41" i="772"/>
  <c r="AI41" i="772"/>
  <c r="AH41" i="772"/>
  <c r="AG41" i="772"/>
  <c r="AF41" i="772"/>
  <c r="BF40" i="772"/>
  <c r="BE40" i="772"/>
  <c r="BD40" i="772"/>
  <c r="BC40" i="772"/>
  <c r="BB40" i="772"/>
  <c r="BA40" i="772"/>
  <c r="AZ40" i="772"/>
  <c r="AY40" i="772"/>
  <c r="AX40" i="772"/>
  <c r="AW40" i="772"/>
  <c r="AV40" i="772"/>
  <c r="AU40" i="772"/>
  <c r="AT40" i="772"/>
  <c r="AS40" i="772"/>
  <c r="AR40" i="772"/>
  <c r="AQ40" i="772"/>
  <c r="AP40" i="772"/>
  <c r="AO40" i="772"/>
  <c r="AN40" i="772"/>
  <c r="AM40" i="772"/>
  <c r="AL40" i="772"/>
  <c r="AK40" i="772"/>
  <c r="AJ40" i="772"/>
  <c r="AI40" i="772"/>
  <c r="AH40" i="772"/>
  <c r="AG40" i="772"/>
  <c r="AF40" i="772"/>
  <c r="BF39" i="772"/>
  <c r="BE39" i="772"/>
  <c r="BD39" i="772"/>
  <c r="BC39" i="772"/>
  <c r="BB39" i="772"/>
  <c r="BA39" i="772"/>
  <c r="AZ39" i="772"/>
  <c r="AY39" i="772"/>
  <c r="AX39" i="772"/>
  <c r="AW39" i="772"/>
  <c r="AV39" i="772"/>
  <c r="AU39" i="772"/>
  <c r="AT39" i="772"/>
  <c r="AS39" i="772"/>
  <c r="AR39" i="772"/>
  <c r="AQ39" i="772"/>
  <c r="AP39" i="772"/>
  <c r="AO39" i="772"/>
  <c r="AN39" i="772"/>
  <c r="AM39" i="772"/>
  <c r="AL39" i="772"/>
  <c r="AK39" i="772"/>
  <c r="AJ39" i="772"/>
  <c r="AI39" i="772"/>
  <c r="AH39" i="772"/>
  <c r="AG39" i="772"/>
  <c r="AF39" i="772"/>
  <c r="BF38" i="772"/>
  <c r="BE38" i="772"/>
  <c r="BD38" i="772"/>
  <c r="BC38" i="772"/>
  <c r="BB38" i="772"/>
  <c r="BA38" i="772"/>
  <c r="AZ38" i="772"/>
  <c r="AY38" i="772"/>
  <c r="AX38" i="772"/>
  <c r="AW38" i="772"/>
  <c r="AV38" i="772"/>
  <c r="AU38" i="772"/>
  <c r="AT38" i="772"/>
  <c r="AS38" i="772"/>
  <c r="AR38" i="772"/>
  <c r="AQ38" i="772"/>
  <c r="AP38" i="772"/>
  <c r="AO38" i="772"/>
  <c r="AN38" i="772"/>
  <c r="AM38" i="772"/>
  <c r="AL38" i="772"/>
  <c r="AK38" i="772"/>
  <c r="AJ38" i="772"/>
  <c r="AI38" i="772"/>
  <c r="AH38" i="772"/>
  <c r="AG38" i="772"/>
  <c r="AF38" i="772"/>
  <c r="BF37" i="772"/>
  <c r="BE37" i="772"/>
  <c r="BD37" i="772"/>
  <c r="BC37" i="772"/>
  <c r="BB37" i="772"/>
  <c r="BA37" i="772"/>
  <c r="AZ37" i="772"/>
  <c r="AY37" i="772"/>
  <c r="AX37" i="772"/>
  <c r="AW37" i="772"/>
  <c r="AV37" i="772"/>
  <c r="AU37" i="772"/>
  <c r="AT37" i="772"/>
  <c r="AS37" i="772"/>
  <c r="AR37" i="772"/>
  <c r="AQ37" i="772"/>
  <c r="AP37" i="772"/>
  <c r="AO37" i="772"/>
  <c r="AN37" i="772"/>
  <c r="AM37" i="772"/>
  <c r="AL37" i="772"/>
  <c r="AK37" i="772"/>
  <c r="AJ37" i="772"/>
  <c r="AI37" i="772"/>
  <c r="AH37" i="772"/>
  <c r="AG37" i="772"/>
  <c r="AF37" i="772"/>
  <c r="BF36" i="772"/>
  <c r="BE36" i="772"/>
  <c r="BD36" i="772"/>
  <c r="BC36" i="772"/>
  <c r="BB36" i="772"/>
  <c r="BA36" i="772"/>
  <c r="AZ36" i="772"/>
  <c r="AY36" i="772"/>
  <c r="AX36" i="772"/>
  <c r="AW36" i="772"/>
  <c r="AV36" i="772"/>
  <c r="AU36" i="772"/>
  <c r="AT36" i="772"/>
  <c r="AS36" i="772"/>
  <c r="AR36" i="772"/>
  <c r="AQ36" i="772"/>
  <c r="AP36" i="772"/>
  <c r="AO36" i="772"/>
  <c r="AN36" i="772"/>
  <c r="AM36" i="772"/>
  <c r="AL36" i="772"/>
  <c r="AK36" i="772"/>
  <c r="AJ36" i="772"/>
  <c r="AI36" i="772"/>
  <c r="AH36" i="772"/>
  <c r="AG36" i="772"/>
  <c r="AF36" i="772"/>
  <c r="BF35" i="772"/>
  <c r="BE35" i="772"/>
  <c r="BD35" i="772"/>
  <c r="BC35" i="772"/>
  <c r="BB35" i="772"/>
  <c r="BA35" i="772"/>
  <c r="AZ35" i="772"/>
  <c r="AY35" i="772"/>
  <c r="AX35" i="772"/>
  <c r="AW35" i="772"/>
  <c r="AV35" i="772"/>
  <c r="AU35" i="772"/>
  <c r="AT35" i="772"/>
  <c r="AS35" i="772"/>
  <c r="AR35" i="772"/>
  <c r="AQ35" i="772"/>
  <c r="AP35" i="772"/>
  <c r="AO35" i="772"/>
  <c r="AN35" i="772"/>
  <c r="AM35" i="772"/>
  <c r="AL35" i="772"/>
  <c r="AK35" i="772"/>
  <c r="AJ35" i="772"/>
  <c r="AI35" i="772"/>
  <c r="AH35" i="772"/>
  <c r="AG35" i="772"/>
  <c r="AF35" i="772"/>
  <c r="BF34" i="772"/>
  <c r="BE34" i="772"/>
  <c r="BD34" i="772"/>
  <c r="BC34" i="772"/>
  <c r="BB34" i="772"/>
  <c r="BA34" i="772"/>
  <c r="AZ34" i="772"/>
  <c r="AY34" i="772"/>
  <c r="AX34" i="772"/>
  <c r="AW34" i="772"/>
  <c r="AV34" i="772"/>
  <c r="AU34" i="772"/>
  <c r="AT34" i="772"/>
  <c r="AS34" i="772"/>
  <c r="AR34" i="772"/>
  <c r="AQ34" i="772"/>
  <c r="AP34" i="772"/>
  <c r="AO34" i="772"/>
  <c r="AN34" i="772"/>
  <c r="AM34" i="772"/>
  <c r="AL34" i="772"/>
  <c r="AK34" i="772"/>
  <c r="AJ34" i="772"/>
  <c r="AI34" i="772"/>
  <c r="AH34" i="772"/>
  <c r="AG34" i="772"/>
  <c r="AF34" i="772"/>
  <c r="BF33" i="772"/>
  <c r="BE33" i="772"/>
  <c r="BD33" i="772"/>
  <c r="BC33" i="772"/>
  <c r="BB33" i="772"/>
  <c r="BA33" i="772"/>
  <c r="AZ33" i="772"/>
  <c r="AY33" i="772"/>
  <c r="AX33" i="772"/>
  <c r="AW33" i="772"/>
  <c r="AV33" i="772"/>
  <c r="AU33" i="772"/>
  <c r="AT33" i="772"/>
  <c r="AS33" i="772"/>
  <c r="AR33" i="772"/>
  <c r="AQ33" i="772"/>
  <c r="AP33" i="772"/>
  <c r="AO33" i="772"/>
  <c r="AN33" i="772"/>
  <c r="AM33" i="772"/>
  <c r="AL33" i="772"/>
  <c r="AK33" i="772"/>
  <c r="AJ33" i="772"/>
  <c r="AI33" i="772"/>
  <c r="AH33" i="772"/>
  <c r="AG33" i="772"/>
  <c r="AF33" i="772"/>
  <c r="BF32" i="772"/>
  <c r="BE32" i="772"/>
  <c r="BD32" i="772"/>
  <c r="BC32" i="772"/>
  <c r="BB32" i="772"/>
  <c r="BA32" i="772"/>
  <c r="AZ32" i="772"/>
  <c r="AY32" i="772"/>
  <c r="AX32" i="772"/>
  <c r="AW32" i="772"/>
  <c r="AV32" i="772"/>
  <c r="AU32" i="772"/>
  <c r="AT32" i="772"/>
  <c r="AS32" i="772"/>
  <c r="AR32" i="772"/>
  <c r="AQ32" i="772"/>
  <c r="AP32" i="772"/>
  <c r="AO32" i="772"/>
  <c r="AN32" i="772"/>
  <c r="AM32" i="772"/>
  <c r="AL32" i="772"/>
  <c r="AK32" i="772"/>
  <c r="AJ32" i="772"/>
  <c r="AI32" i="772"/>
  <c r="AH32" i="772"/>
  <c r="AG32" i="772"/>
  <c r="AF32" i="772"/>
  <c r="BF31" i="772"/>
  <c r="BE31" i="772"/>
  <c r="BD31" i="772"/>
  <c r="BC31" i="772"/>
  <c r="BB31" i="772"/>
  <c r="BA31" i="772"/>
  <c r="AZ31" i="772"/>
  <c r="AY31" i="772"/>
  <c r="AX31" i="772"/>
  <c r="AW31" i="772"/>
  <c r="AV31" i="772"/>
  <c r="AU31" i="772"/>
  <c r="AT31" i="772"/>
  <c r="AS31" i="772"/>
  <c r="AR31" i="772"/>
  <c r="AQ31" i="772"/>
  <c r="AP31" i="772"/>
  <c r="AO31" i="772"/>
  <c r="AN31" i="772"/>
  <c r="AM31" i="772"/>
  <c r="AL31" i="772"/>
  <c r="AK31" i="772"/>
  <c r="AJ31" i="772"/>
  <c r="AI31" i="772"/>
  <c r="AH31" i="772"/>
  <c r="AG31" i="772"/>
  <c r="AF31" i="772"/>
  <c r="BF30" i="772"/>
  <c r="BE30" i="772"/>
  <c r="BD30" i="772"/>
  <c r="BC30" i="772"/>
  <c r="BB30" i="772"/>
  <c r="BA30" i="772"/>
  <c r="AZ30" i="772"/>
  <c r="AY30" i="772"/>
  <c r="AX30" i="772"/>
  <c r="AW30" i="772"/>
  <c r="AV30" i="772"/>
  <c r="AU30" i="772"/>
  <c r="AT30" i="772"/>
  <c r="AS30" i="772"/>
  <c r="AR30" i="772"/>
  <c r="AQ30" i="772"/>
  <c r="AP30" i="772"/>
  <c r="AO30" i="772"/>
  <c r="AN30" i="772"/>
  <c r="AM30" i="772"/>
  <c r="AL30" i="772"/>
  <c r="AK30" i="772"/>
  <c r="AJ30" i="772"/>
  <c r="AI30" i="772"/>
  <c r="AH30" i="772"/>
  <c r="AG30" i="772"/>
  <c r="AF30" i="772"/>
  <c r="BF29" i="772"/>
  <c r="BE29" i="772"/>
  <c r="BD29" i="772"/>
  <c r="BC29" i="772"/>
  <c r="BB29" i="772"/>
  <c r="BA29" i="772"/>
  <c r="AZ29" i="772"/>
  <c r="AY29" i="772"/>
  <c r="AX29" i="772"/>
  <c r="AW29" i="772"/>
  <c r="AV29" i="772"/>
  <c r="AU29" i="772"/>
  <c r="AT29" i="772"/>
  <c r="AS29" i="772"/>
  <c r="AR29" i="772"/>
  <c r="AQ29" i="772"/>
  <c r="AP29" i="772"/>
  <c r="AO29" i="772"/>
  <c r="AN29" i="772"/>
  <c r="AM29" i="772"/>
  <c r="AL29" i="772"/>
  <c r="AK29" i="772"/>
  <c r="AJ29" i="772"/>
  <c r="AI29" i="772"/>
  <c r="AH29" i="772"/>
  <c r="AG29" i="772"/>
  <c r="AF29" i="772"/>
  <c r="BF28" i="772"/>
  <c r="BE28" i="772"/>
  <c r="BD28" i="772"/>
  <c r="BC28" i="772"/>
  <c r="BB28" i="772"/>
  <c r="BA28" i="772"/>
  <c r="AZ28" i="772"/>
  <c r="AY28" i="772"/>
  <c r="AX28" i="772"/>
  <c r="AW28" i="772"/>
  <c r="AV28" i="772"/>
  <c r="AU28" i="772"/>
  <c r="AT28" i="772"/>
  <c r="AS28" i="772"/>
  <c r="AR28" i="772"/>
  <c r="AQ28" i="772"/>
  <c r="AP28" i="772"/>
  <c r="AO28" i="772"/>
  <c r="AN28" i="772"/>
  <c r="AM28" i="772"/>
  <c r="AL28" i="772"/>
  <c r="AK28" i="772"/>
  <c r="AJ28" i="772"/>
  <c r="AI28" i="772"/>
  <c r="AH28" i="772"/>
  <c r="AG28" i="772"/>
  <c r="AF28" i="772"/>
  <c r="BF27" i="772"/>
  <c r="BE27" i="772"/>
  <c r="BD27" i="772"/>
  <c r="BC27" i="772"/>
  <c r="BB27" i="772"/>
  <c r="BA27" i="772"/>
  <c r="AZ27" i="772"/>
  <c r="AY27" i="772"/>
  <c r="AX27" i="772"/>
  <c r="AW27" i="772"/>
  <c r="AV27" i="772"/>
  <c r="AU27" i="772"/>
  <c r="AT27" i="772"/>
  <c r="AS27" i="772"/>
  <c r="AR27" i="772"/>
  <c r="AQ27" i="772"/>
  <c r="AP27" i="772"/>
  <c r="AO27" i="772"/>
  <c r="AN27" i="772"/>
  <c r="AM27" i="772"/>
  <c r="AL27" i="772"/>
  <c r="AK27" i="772"/>
  <c r="AJ27" i="772"/>
  <c r="AI27" i="772"/>
  <c r="AH27" i="772"/>
  <c r="AG27" i="772"/>
  <c r="AF27" i="772"/>
  <c r="BF26" i="772"/>
  <c r="BE26" i="772"/>
  <c r="BD26" i="772"/>
  <c r="BC26" i="772"/>
  <c r="BB26" i="772"/>
  <c r="BA26" i="772"/>
  <c r="AZ26" i="772"/>
  <c r="AY26" i="772"/>
  <c r="AX26" i="772"/>
  <c r="AW26" i="772"/>
  <c r="AV26" i="772"/>
  <c r="AU26" i="772"/>
  <c r="AT26" i="772"/>
  <c r="AS26" i="772"/>
  <c r="AR26" i="772"/>
  <c r="AQ26" i="772"/>
  <c r="AP26" i="772"/>
  <c r="AO26" i="772"/>
  <c r="AN26" i="772"/>
  <c r="AM26" i="772"/>
  <c r="AL26" i="772"/>
  <c r="AK26" i="772"/>
  <c r="AJ26" i="772"/>
  <c r="AI26" i="772"/>
  <c r="AH26" i="772"/>
  <c r="AG26" i="772"/>
  <c r="AF26" i="772"/>
  <c r="BF25" i="772"/>
  <c r="BE25" i="772"/>
  <c r="BD25" i="772"/>
  <c r="BC25" i="772"/>
  <c r="BB25" i="772"/>
  <c r="BA25" i="772"/>
  <c r="AZ25" i="772"/>
  <c r="AY25" i="772"/>
  <c r="AX25" i="772"/>
  <c r="AW25" i="772"/>
  <c r="AV25" i="772"/>
  <c r="AU25" i="772"/>
  <c r="AT25" i="772"/>
  <c r="AS25" i="772"/>
  <c r="AR25" i="772"/>
  <c r="AQ25" i="772"/>
  <c r="AP25" i="772"/>
  <c r="AO25" i="772"/>
  <c r="AN25" i="772"/>
  <c r="AM25" i="772"/>
  <c r="AL25" i="772"/>
  <c r="AK25" i="772"/>
  <c r="AJ25" i="772"/>
  <c r="AI25" i="772"/>
  <c r="AH25" i="772"/>
  <c r="AG25" i="772"/>
  <c r="AF25" i="772"/>
  <c r="BF24" i="772"/>
  <c r="BE24" i="772"/>
  <c r="BD24" i="772"/>
  <c r="BC24" i="772"/>
  <c r="BB24" i="772"/>
  <c r="BA24" i="772"/>
  <c r="AZ24" i="772"/>
  <c r="AY24" i="772"/>
  <c r="AX24" i="772"/>
  <c r="AW24" i="772"/>
  <c r="AV24" i="772"/>
  <c r="AU24" i="772"/>
  <c r="AT24" i="772"/>
  <c r="AS24" i="772"/>
  <c r="AR24" i="772"/>
  <c r="AQ24" i="772"/>
  <c r="AP24" i="772"/>
  <c r="AO24" i="772"/>
  <c r="AN24" i="772"/>
  <c r="AM24" i="772"/>
  <c r="AL24" i="772"/>
  <c r="AK24" i="772"/>
  <c r="AJ24" i="772"/>
  <c r="AI24" i="772"/>
  <c r="AH24" i="772"/>
  <c r="AG24" i="772"/>
  <c r="AF24" i="772"/>
  <c r="BF23" i="772"/>
  <c r="BE23" i="772"/>
  <c r="BD23" i="772"/>
  <c r="BC23" i="772"/>
  <c r="BB23" i="772"/>
  <c r="BA23" i="772"/>
  <c r="AZ23" i="772"/>
  <c r="AY23" i="772"/>
  <c r="AX23" i="772"/>
  <c r="AW23" i="772"/>
  <c r="AV23" i="772"/>
  <c r="AU23" i="772"/>
  <c r="AT23" i="772"/>
  <c r="AS23" i="772"/>
  <c r="AR23" i="772"/>
  <c r="AQ23" i="772"/>
  <c r="AP23" i="772"/>
  <c r="AO23" i="772"/>
  <c r="AN23" i="772"/>
  <c r="AM23" i="772"/>
  <c r="AL23" i="772"/>
  <c r="AK23" i="772"/>
  <c r="AJ23" i="772"/>
  <c r="AI23" i="772"/>
  <c r="AH23" i="772"/>
  <c r="AG23" i="772"/>
  <c r="AF23" i="772"/>
  <c r="BF22" i="772"/>
  <c r="BE22" i="772"/>
  <c r="BD22" i="772"/>
  <c r="BC22" i="772"/>
  <c r="BB22" i="772"/>
  <c r="BA22" i="772"/>
  <c r="AZ22" i="772"/>
  <c r="AY22" i="772"/>
  <c r="AX22" i="772"/>
  <c r="AW22" i="772"/>
  <c r="AV22" i="772"/>
  <c r="AU22" i="772"/>
  <c r="AT22" i="772"/>
  <c r="AS22" i="772"/>
  <c r="AR22" i="772"/>
  <c r="AQ22" i="772"/>
  <c r="AP22" i="772"/>
  <c r="AO22" i="772"/>
  <c r="AN22" i="772"/>
  <c r="AM22" i="772"/>
  <c r="AL22" i="772"/>
  <c r="AK22" i="772"/>
  <c r="AJ22" i="772"/>
  <c r="AI22" i="772"/>
  <c r="AH22" i="772"/>
  <c r="AG22" i="772"/>
  <c r="AF22" i="772"/>
  <c r="BF21" i="772"/>
  <c r="BE21" i="772"/>
  <c r="BD21" i="772"/>
  <c r="BC21" i="772"/>
  <c r="BB21" i="772"/>
  <c r="BA21" i="772"/>
  <c r="AZ21" i="772"/>
  <c r="AY21" i="772"/>
  <c r="AX21" i="772"/>
  <c r="AW21" i="772"/>
  <c r="AV21" i="772"/>
  <c r="AU21" i="772"/>
  <c r="AT21" i="772"/>
  <c r="AS21" i="772"/>
  <c r="AR21" i="772"/>
  <c r="AQ21" i="772"/>
  <c r="AP21" i="772"/>
  <c r="AO21" i="772"/>
  <c r="AN21" i="772"/>
  <c r="AM21" i="772"/>
  <c r="AL21" i="772"/>
  <c r="AK21" i="772"/>
  <c r="AJ21" i="772"/>
  <c r="AI21" i="772"/>
  <c r="AH21" i="772"/>
  <c r="AG21" i="772"/>
  <c r="AF21" i="772"/>
  <c r="BF20" i="772"/>
  <c r="BE20" i="772"/>
  <c r="BD20" i="772"/>
  <c r="BC20" i="772"/>
  <c r="BB20" i="772"/>
  <c r="BA20" i="772"/>
  <c r="AZ20" i="772"/>
  <c r="AY20" i="772"/>
  <c r="AX20" i="772"/>
  <c r="AW20" i="772"/>
  <c r="AV20" i="772"/>
  <c r="AU20" i="772"/>
  <c r="AT20" i="772"/>
  <c r="AS20" i="772"/>
  <c r="AR20" i="772"/>
  <c r="AQ20" i="772"/>
  <c r="AP20" i="772"/>
  <c r="AO20" i="772"/>
  <c r="AN20" i="772"/>
  <c r="AM20" i="772"/>
  <c r="AL20" i="772"/>
  <c r="AK20" i="772"/>
  <c r="AJ20" i="772"/>
  <c r="AI20" i="772"/>
  <c r="AH20" i="772"/>
  <c r="AG20" i="772"/>
  <c r="AF20" i="772"/>
  <c r="BF19" i="772"/>
  <c r="BE19" i="772"/>
  <c r="BD19" i="772"/>
  <c r="BC19" i="772"/>
  <c r="BB19" i="772"/>
  <c r="BA19" i="772"/>
  <c r="AZ19" i="772"/>
  <c r="AY19" i="772"/>
  <c r="AX19" i="772"/>
  <c r="AW19" i="772"/>
  <c r="AV19" i="772"/>
  <c r="AU19" i="772"/>
  <c r="AT19" i="772"/>
  <c r="AS19" i="772"/>
  <c r="AR19" i="772"/>
  <c r="AQ19" i="772"/>
  <c r="AP19" i="772"/>
  <c r="AO19" i="772"/>
  <c r="AN19" i="772"/>
  <c r="AM19" i="772"/>
  <c r="AL19" i="772"/>
  <c r="AK19" i="772"/>
  <c r="AJ19" i="772"/>
  <c r="AI19" i="772"/>
  <c r="AH19" i="772"/>
  <c r="AG19" i="772"/>
  <c r="AF19" i="772"/>
  <c r="BF18" i="772"/>
  <c r="BE18" i="772"/>
  <c r="BD18" i="772"/>
  <c r="BC18" i="772"/>
  <c r="BB18" i="772"/>
  <c r="BA18" i="772"/>
  <c r="AZ18" i="772"/>
  <c r="AY18" i="772"/>
  <c r="AX18" i="772"/>
  <c r="AW18" i="772"/>
  <c r="AV18" i="772"/>
  <c r="AU18" i="772"/>
  <c r="AT18" i="772"/>
  <c r="AS18" i="772"/>
  <c r="AR18" i="772"/>
  <c r="AQ18" i="772"/>
  <c r="AP18" i="772"/>
  <c r="AO18" i="772"/>
  <c r="AN18" i="772"/>
  <c r="AM18" i="772"/>
  <c r="AL18" i="772"/>
  <c r="AK18" i="772"/>
  <c r="AJ18" i="772"/>
  <c r="AI18" i="772"/>
  <c r="AH18" i="772"/>
  <c r="AG18" i="772"/>
  <c r="AF18" i="772"/>
  <c r="BF17" i="772"/>
  <c r="BE17" i="772"/>
  <c r="BD17" i="772"/>
  <c r="BC17" i="772"/>
  <c r="BB17" i="772"/>
  <c r="BA17" i="772"/>
  <c r="AZ17" i="772"/>
  <c r="AY17" i="772"/>
  <c r="AX17" i="772"/>
  <c r="AW17" i="772"/>
  <c r="AV17" i="772"/>
  <c r="AU17" i="772"/>
  <c r="AT17" i="772"/>
  <c r="AS17" i="772"/>
  <c r="AR17" i="772"/>
  <c r="AQ17" i="772"/>
  <c r="AP17" i="772"/>
  <c r="AO17" i="772"/>
  <c r="AN17" i="772"/>
  <c r="AM17" i="772"/>
  <c r="AL17" i="772"/>
  <c r="AK17" i="772"/>
  <c r="AJ17" i="772"/>
  <c r="AI17" i="772"/>
  <c r="AH17" i="772"/>
  <c r="AG17" i="772"/>
  <c r="AF17" i="772"/>
  <c r="BF16" i="772"/>
  <c r="BE16" i="772"/>
  <c r="BD16" i="772"/>
  <c r="BC16" i="772"/>
  <c r="BB16" i="772"/>
  <c r="BA16" i="772"/>
  <c r="AZ16" i="772"/>
  <c r="AY16" i="772"/>
  <c r="AX16" i="772"/>
  <c r="AW16" i="772"/>
  <c r="AV16" i="772"/>
  <c r="AU16" i="772"/>
  <c r="AT16" i="772"/>
  <c r="AS16" i="772"/>
  <c r="AR16" i="772"/>
  <c r="AQ16" i="772"/>
  <c r="AP16" i="772"/>
  <c r="AO16" i="772"/>
  <c r="AN16" i="772"/>
  <c r="AM16" i="772"/>
  <c r="AL16" i="772"/>
  <c r="AK16" i="772"/>
  <c r="AJ16" i="772"/>
  <c r="AI16" i="772"/>
  <c r="AH16" i="772"/>
  <c r="AG16" i="772"/>
  <c r="AF16" i="772"/>
  <c r="BF15" i="772"/>
  <c r="BE15" i="772"/>
  <c r="BD15" i="772"/>
  <c r="BC15" i="772"/>
  <c r="BB15" i="772"/>
  <c r="BA15" i="772"/>
  <c r="AZ15" i="772"/>
  <c r="AY15" i="772"/>
  <c r="AX15" i="772"/>
  <c r="AW15" i="772"/>
  <c r="AV15" i="772"/>
  <c r="AU15" i="772"/>
  <c r="AT15" i="772"/>
  <c r="AS15" i="772"/>
  <c r="AR15" i="772"/>
  <c r="AQ15" i="772"/>
  <c r="AP15" i="772"/>
  <c r="AO15" i="772"/>
  <c r="AN15" i="772"/>
  <c r="AM15" i="772"/>
  <c r="AL15" i="772"/>
  <c r="AK15" i="772"/>
  <c r="AJ15" i="772"/>
  <c r="AI15" i="772"/>
  <c r="AH15" i="772"/>
  <c r="AG15" i="772"/>
  <c r="AF15" i="772"/>
  <c r="BF14" i="772"/>
  <c r="BE14" i="772"/>
  <c r="BD14" i="772"/>
  <c r="BC14" i="772"/>
  <c r="BB14" i="772"/>
  <c r="BA14" i="772"/>
  <c r="AZ14" i="772"/>
  <c r="AY14" i="772"/>
  <c r="AX14" i="772"/>
  <c r="AW14" i="772"/>
  <c r="AV14" i="772"/>
  <c r="AU14" i="772"/>
  <c r="AT14" i="772"/>
  <c r="AS14" i="772"/>
  <c r="AR14" i="772"/>
  <c r="AQ14" i="772"/>
  <c r="AP14" i="772"/>
  <c r="AO14" i="772"/>
  <c r="AN14" i="772"/>
  <c r="AM14" i="772"/>
  <c r="AL14" i="772"/>
  <c r="AK14" i="772"/>
  <c r="AJ14" i="772"/>
  <c r="AI14" i="772"/>
  <c r="AH14" i="772"/>
  <c r="AG14" i="772"/>
  <c r="AF14" i="772"/>
  <c r="BF13" i="772"/>
  <c r="BE13" i="772"/>
  <c r="BD13" i="772"/>
  <c r="BC13" i="772"/>
  <c r="BB13" i="772"/>
  <c r="BA13" i="772"/>
  <c r="AZ13" i="772"/>
  <c r="AY13" i="772"/>
  <c r="AX13" i="772"/>
  <c r="AW13" i="772"/>
  <c r="AV13" i="772"/>
  <c r="AU13" i="772"/>
  <c r="AT13" i="772"/>
  <c r="AS13" i="772"/>
  <c r="AR13" i="772"/>
  <c r="AQ13" i="772"/>
  <c r="AP13" i="772"/>
  <c r="AO13" i="772"/>
  <c r="AN13" i="772"/>
  <c r="AM13" i="772"/>
  <c r="AL13" i="772"/>
  <c r="AK13" i="772"/>
  <c r="AJ13" i="772"/>
  <c r="AI13" i="772"/>
  <c r="AH13" i="772"/>
  <c r="AG13" i="772"/>
  <c r="AF13" i="772"/>
  <c r="BF12" i="772"/>
  <c r="BE12" i="772"/>
  <c r="BD12" i="772"/>
  <c r="BC12" i="772"/>
  <c r="BB12" i="772"/>
  <c r="BA12" i="772"/>
  <c r="AZ12" i="772"/>
  <c r="AY12" i="772"/>
  <c r="AX12" i="772"/>
  <c r="AW12" i="772"/>
  <c r="AV12" i="772"/>
  <c r="AU12" i="772"/>
  <c r="AT12" i="772"/>
  <c r="AS12" i="772"/>
  <c r="AR12" i="772"/>
  <c r="AQ12" i="772"/>
  <c r="AP12" i="772"/>
  <c r="AO12" i="772"/>
  <c r="AN12" i="772"/>
  <c r="AM12" i="772"/>
  <c r="AL12" i="772"/>
  <c r="AK12" i="772"/>
  <c r="AJ12" i="772"/>
  <c r="AI12" i="772"/>
  <c r="AH12" i="772"/>
  <c r="AG12" i="772"/>
  <c r="AF12" i="772"/>
  <c r="BF11" i="772"/>
  <c r="BE11" i="772"/>
  <c r="BD11" i="772"/>
  <c r="BC11" i="772"/>
  <c r="BB11" i="772"/>
  <c r="BA11" i="772"/>
  <c r="AZ11" i="772"/>
  <c r="AY11" i="772"/>
  <c r="AX11" i="772"/>
  <c r="AW11" i="772"/>
  <c r="AV11" i="772"/>
  <c r="AU11" i="772"/>
  <c r="AT11" i="772"/>
  <c r="AS11" i="772"/>
  <c r="AR11" i="772"/>
  <c r="AQ11" i="772"/>
  <c r="AP11" i="772"/>
  <c r="AO11" i="772"/>
  <c r="AN11" i="772"/>
  <c r="AM11" i="772"/>
  <c r="AL11" i="772"/>
  <c r="AK11" i="772"/>
  <c r="AJ11" i="772"/>
  <c r="AI11" i="772"/>
  <c r="AH11" i="772"/>
  <c r="AG11" i="772"/>
  <c r="AF11" i="772"/>
  <c r="BF10" i="772"/>
  <c r="BE10" i="772"/>
  <c r="BD10" i="772"/>
  <c r="BC10" i="772"/>
  <c r="BB10" i="772"/>
  <c r="BA10" i="772"/>
  <c r="AZ10" i="772"/>
  <c r="AY10" i="772"/>
  <c r="AX10" i="772"/>
  <c r="AW10" i="772"/>
  <c r="AV10" i="772"/>
  <c r="AU10" i="772"/>
  <c r="AT10" i="772"/>
  <c r="AS10" i="772"/>
  <c r="AR10" i="772"/>
  <c r="AQ10" i="772"/>
  <c r="AP10" i="772"/>
  <c r="AO10" i="772"/>
  <c r="AN10" i="772"/>
  <c r="AM10" i="772"/>
  <c r="AL10" i="772"/>
  <c r="AK10" i="772"/>
  <c r="AJ10" i="772"/>
  <c r="AI10" i="772"/>
  <c r="AH10" i="772"/>
  <c r="AG10" i="772"/>
  <c r="AF10" i="772"/>
  <c r="BF9" i="772"/>
  <c r="BE9" i="772"/>
  <c r="BD9" i="772"/>
  <c r="BC9" i="772"/>
  <c r="BB9" i="772"/>
  <c r="BA9" i="772"/>
  <c r="AZ9" i="772"/>
  <c r="AY9" i="772"/>
  <c r="AX9" i="772"/>
  <c r="AW9" i="772"/>
  <c r="AV9" i="772"/>
  <c r="AU9" i="772"/>
  <c r="AT9" i="772"/>
  <c r="AS9" i="772"/>
  <c r="AR9" i="772"/>
  <c r="AQ9" i="772"/>
  <c r="AP9" i="772"/>
  <c r="AO9" i="772"/>
  <c r="AN9" i="772"/>
  <c r="AM9" i="772"/>
  <c r="AL9" i="772"/>
  <c r="AK9" i="772"/>
  <c r="AJ9" i="772"/>
  <c r="AI9" i="772"/>
  <c r="AH9" i="772"/>
  <c r="AG9" i="772"/>
  <c r="AF9" i="772"/>
  <c r="BF8" i="772"/>
  <c r="BE8" i="772"/>
  <c r="BD8" i="772"/>
  <c r="BC8" i="772"/>
  <c r="BB8" i="772"/>
  <c r="BA8" i="772"/>
  <c r="AZ8" i="772"/>
  <c r="AY8" i="772"/>
  <c r="AX8" i="772"/>
  <c r="AW8" i="772"/>
  <c r="AV8" i="772"/>
  <c r="AU8" i="772"/>
  <c r="AT8" i="772"/>
  <c r="AS8" i="772"/>
  <c r="AR8" i="772"/>
  <c r="AQ8" i="772"/>
  <c r="AP8" i="772"/>
  <c r="AO8" i="772"/>
  <c r="AN8" i="772"/>
  <c r="AM8" i="772"/>
  <c r="AL8" i="772"/>
  <c r="AK8" i="772"/>
  <c r="AJ8" i="772"/>
  <c r="AI8" i="772"/>
  <c r="AH8" i="772"/>
  <c r="AG8" i="772"/>
  <c r="AF8" i="772"/>
  <c r="BF7" i="772"/>
  <c r="BE7" i="772"/>
  <c r="BD7" i="772"/>
  <c r="BC7" i="772"/>
  <c r="BB7" i="772"/>
  <c r="BA7" i="772"/>
  <c r="AZ7" i="772"/>
  <c r="AY7" i="772"/>
  <c r="AX7" i="772"/>
  <c r="AW7" i="772"/>
  <c r="AV7" i="772"/>
  <c r="AU7" i="772"/>
  <c r="AT7" i="772"/>
  <c r="AS7" i="772"/>
  <c r="AR7" i="772"/>
  <c r="AQ7" i="772"/>
  <c r="AP7" i="772"/>
  <c r="AO7" i="772"/>
  <c r="AN7" i="772"/>
  <c r="AM7" i="772"/>
  <c r="AL7" i="772"/>
  <c r="AK7" i="772"/>
  <c r="AJ7" i="772"/>
  <c r="AI7" i="772"/>
  <c r="AH7" i="772"/>
  <c r="AG7" i="772"/>
  <c r="AF7" i="772"/>
  <c r="BF6" i="772"/>
  <c r="BE6" i="772"/>
  <c r="BD6" i="772"/>
  <c r="BC6" i="772"/>
  <c r="BB6" i="772"/>
  <c r="BA6" i="772"/>
  <c r="AZ6" i="772"/>
  <c r="AY6" i="772"/>
  <c r="AX6" i="772"/>
  <c r="AW6" i="772"/>
  <c r="AV6" i="772"/>
  <c r="AU6" i="772"/>
  <c r="AT6" i="772"/>
  <c r="AS6" i="772"/>
  <c r="AR6" i="772"/>
  <c r="AQ6" i="772"/>
  <c r="AP6" i="772"/>
  <c r="AO6" i="772"/>
  <c r="AN6" i="772"/>
  <c r="AM6" i="772"/>
  <c r="AL6" i="772"/>
  <c r="AK6" i="772"/>
  <c r="AJ6" i="772"/>
  <c r="AI6" i="772"/>
  <c r="AH6" i="772"/>
  <c r="AG6" i="772"/>
  <c r="AF6" i="772"/>
  <c r="BF5" i="772"/>
  <c r="BE5" i="772"/>
  <c r="BD5" i="772"/>
  <c r="BC5" i="772"/>
  <c r="BB5" i="772"/>
  <c r="BA5" i="772"/>
  <c r="AZ5" i="772"/>
  <c r="AY5" i="772"/>
  <c r="AX5" i="772"/>
  <c r="AW5" i="772"/>
  <c r="AV5" i="772"/>
  <c r="AU5" i="772"/>
  <c r="AT5" i="772"/>
  <c r="AS5" i="772"/>
  <c r="AR5" i="772"/>
  <c r="AQ5" i="772"/>
  <c r="AP5" i="772"/>
  <c r="AO5" i="772"/>
  <c r="AN5" i="772"/>
  <c r="AM5" i="772"/>
  <c r="AL5" i="772"/>
  <c r="AK5" i="772"/>
  <c r="AJ5" i="772"/>
  <c r="AI5" i="772"/>
  <c r="AH5" i="772"/>
  <c r="AG5" i="772"/>
  <c r="AF5" i="772"/>
  <c r="D90" i="772"/>
  <c r="B90" i="772"/>
  <c r="D89" i="772"/>
  <c r="B89" i="772"/>
  <c r="D88" i="772"/>
  <c r="B88" i="772"/>
  <c r="D87" i="772"/>
  <c r="B87" i="772"/>
  <c r="D86" i="772"/>
  <c r="B86" i="772"/>
  <c r="D85" i="772"/>
  <c r="B85" i="772"/>
  <c r="D84" i="772"/>
  <c r="B84" i="772"/>
  <c r="D83" i="772"/>
  <c r="B83" i="772"/>
  <c r="D82" i="772"/>
  <c r="B82" i="772"/>
  <c r="D81" i="772"/>
  <c r="B81" i="772"/>
  <c r="D80" i="772"/>
  <c r="B80" i="772"/>
  <c r="D79" i="772"/>
  <c r="B79" i="772"/>
  <c r="D78" i="772"/>
  <c r="B78" i="772"/>
  <c r="D77" i="772"/>
  <c r="B77" i="772"/>
  <c r="D76" i="772"/>
  <c r="B76" i="772"/>
  <c r="D75" i="772"/>
  <c r="B75" i="772"/>
  <c r="D74" i="772"/>
  <c r="B74" i="772"/>
  <c r="D73" i="772"/>
  <c r="B73" i="772"/>
  <c r="D72" i="772"/>
  <c r="B72" i="772"/>
  <c r="D71" i="772"/>
  <c r="B71" i="772"/>
  <c r="D70" i="772"/>
  <c r="B70" i="772"/>
  <c r="D69" i="772"/>
  <c r="B69" i="772"/>
  <c r="D68" i="772"/>
  <c r="B68" i="772"/>
  <c r="D67" i="772"/>
  <c r="B67" i="772"/>
  <c r="D66" i="772"/>
  <c r="B66" i="772"/>
  <c r="D65" i="772"/>
  <c r="B65" i="772"/>
  <c r="D64" i="772"/>
  <c r="B64" i="772"/>
  <c r="D63" i="772"/>
  <c r="B63" i="772"/>
  <c r="D62" i="772"/>
  <c r="B62" i="772"/>
  <c r="D61" i="772"/>
  <c r="B61" i="772"/>
  <c r="D60" i="772"/>
  <c r="B60" i="772"/>
  <c r="D59" i="772"/>
  <c r="B59" i="772"/>
  <c r="D58" i="772"/>
  <c r="B58" i="772"/>
  <c r="D57" i="772"/>
  <c r="B57" i="772"/>
  <c r="D56" i="772"/>
  <c r="B56" i="772"/>
  <c r="D55" i="772"/>
  <c r="B55" i="772"/>
  <c r="D54" i="772"/>
  <c r="B54" i="772"/>
  <c r="D53" i="772"/>
  <c r="B53" i="772"/>
  <c r="D52" i="772"/>
  <c r="B52" i="772"/>
  <c r="D51" i="772"/>
  <c r="B51" i="772"/>
  <c r="D50" i="772"/>
  <c r="B50" i="772"/>
  <c r="D49" i="772"/>
  <c r="B49" i="772"/>
  <c r="D48" i="772"/>
  <c r="B48" i="772"/>
  <c r="D47" i="772"/>
  <c r="B47" i="772"/>
  <c r="D46" i="772"/>
  <c r="B46" i="772"/>
  <c r="D45" i="772"/>
  <c r="B45" i="772"/>
  <c r="D44" i="772"/>
  <c r="B44" i="772"/>
  <c r="D43" i="772"/>
  <c r="B43" i="772"/>
  <c r="D42" i="772"/>
  <c r="B42" i="772"/>
  <c r="D41" i="772"/>
  <c r="B41" i="772"/>
  <c r="D40" i="772"/>
  <c r="B40" i="772"/>
  <c r="D39" i="772"/>
  <c r="B39" i="772"/>
  <c r="D38" i="772"/>
  <c r="B38" i="772"/>
  <c r="D37" i="772"/>
  <c r="B37" i="772"/>
  <c r="D36" i="772"/>
  <c r="B36" i="772"/>
  <c r="D35" i="772"/>
  <c r="B35" i="772"/>
  <c r="D34" i="772"/>
  <c r="B34" i="772"/>
  <c r="D33" i="772"/>
  <c r="B33" i="772"/>
  <c r="D32" i="772"/>
  <c r="B32" i="772"/>
  <c r="D31" i="772"/>
  <c r="B31" i="772"/>
  <c r="D30" i="772"/>
  <c r="B30" i="772"/>
  <c r="D29" i="772"/>
  <c r="B29" i="772"/>
  <c r="D28" i="772"/>
  <c r="B28" i="772"/>
  <c r="D27" i="772"/>
  <c r="B27" i="772"/>
  <c r="D26" i="772"/>
  <c r="B26" i="772"/>
  <c r="D25" i="772"/>
  <c r="B25" i="772"/>
  <c r="D24" i="772"/>
  <c r="B24" i="772"/>
  <c r="D23" i="772"/>
  <c r="B23" i="772"/>
  <c r="D22" i="772"/>
  <c r="B22" i="772"/>
  <c r="D21" i="772"/>
  <c r="B21" i="772"/>
  <c r="D20" i="772"/>
  <c r="B20" i="772"/>
  <c r="D19" i="772"/>
  <c r="B19" i="772"/>
  <c r="D18" i="772"/>
  <c r="B18" i="772"/>
  <c r="D17" i="772"/>
  <c r="B17" i="772"/>
  <c r="D16" i="772"/>
  <c r="B16" i="772"/>
  <c r="D15" i="772"/>
  <c r="B15" i="772"/>
  <c r="D14" i="772"/>
  <c r="B14" i="772"/>
  <c r="D13" i="772"/>
  <c r="B13" i="772"/>
  <c r="D12" i="772"/>
  <c r="B12" i="772"/>
  <c r="D11" i="772"/>
  <c r="B11" i="772"/>
  <c r="D10" i="772"/>
  <c r="B10" i="772"/>
  <c r="D9" i="772"/>
  <c r="B9" i="772"/>
  <c r="D8" i="772"/>
  <c r="B8" i="772"/>
  <c r="D7" i="772"/>
  <c r="B7" i="772"/>
  <c r="D6" i="772"/>
  <c r="B6" i="772"/>
  <c r="D5" i="772"/>
  <c r="B5" i="772"/>
  <c r="D1" i="772"/>
  <c r="F7" i="69"/>
  <c r="B12" i="60" l="1"/>
  <c r="B13" i="60" l="1"/>
  <c r="B14" i="60" s="1"/>
  <c r="B15" i="60" s="1"/>
  <c r="B16" i="60" s="1"/>
  <c r="B17" i="60" s="1"/>
  <c r="B18" i="60" s="1"/>
  <c r="B19" i="60" s="1"/>
  <c r="B20" i="60" s="1"/>
  <c r="B21" i="60" s="1"/>
  <c r="B22" i="60" s="1"/>
  <c r="B23" i="60" s="1"/>
  <c r="B24" i="60" s="1"/>
  <c r="B25" i="60" s="1"/>
  <c r="B26" i="60" s="1"/>
  <c r="B27" i="60" s="1"/>
  <c r="B28" i="60" s="1"/>
  <c r="B29" i="60" s="1"/>
  <c r="B30" i="60" s="1"/>
  <c r="B31" i="60" s="1"/>
  <c r="B32" i="60" s="1"/>
  <c r="B33" i="60" s="1"/>
  <c r="B34" i="60" s="1"/>
  <c r="B35" i="60" s="1"/>
  <c r="B36" i="60" s="1"/>
  <c r="D90" i="755" l="1"/>
  <c r="B90" i="755"/>
  <c r="D89" i="755"/>
  <c r="B89" i="755"/>
  <c r="D88" i="755"/>
  <c r="B88" i="755"/>
  <c r="D87" i="755"/>
  <c r="B87" i="755"/>
  <c r="D86" i="755"/>
  <c r="B86" i="755"/>
  <c r="D85" i="755"/>
  <c r="B85" i="755"/>
  <c r="D84" i="755"/>
  <c r="B84" i="755"/>
  <c r="D83" i="755"/>
  <c r="B83" i="755"/>
  <c r="D82" i="755"/>
  <c r="B82" i="755"/>
  <c r="D81" i="755"/>
  <c r="B81" i="755"/>
  <c r="D80" i="755"/>
  <c r="B80" i="755"/>
  <c r="D79" i="755"/>
  <c r="B79" i="755"/>
  <c r="D78" i="755"/>
  <c r="B78" i="755"/>
  <c r="D77" i="755"/>
  <c r="B77" i="755"/>
  <c r="D76" i="755"/>
  <c r="B76" i="755"/>
  <c r="D75" i="755"/>
  <c r="B75" i="755"/>
  <c r="D74" i="755"/>
  <c r="B74" i="755"/>
  <c r="D73" i="755"/>
  <c r="B73" i="755"/>
  <c r="D72" i="755"/>
  <c r="B72" i="755"/>
  <c r="D71" i="755"/>
  <c r="B71" i="755"/>
  <c r="D70" i="755"/>
  <c r="B70" i="755"/>
  <c r="D69" i="755"/>
  <c r="B69" i="755"/>
  <c r="D68" i="755"/>
  <c r="B68" i="755"/>
  <c r="D67" i="755"/>
  <c r="B67" i="755"/>
  <c r="D66" i="755"/>
  <c r="B66" i="755"/>
  <c r="D65" i="755"/>
  <c r="B65" i="755"/>
  <c r="D64" i="755"/>
  <c r="B64" i="755"/>
  <c r="D63" i="755"/>
  <c r="B63" i="755"/>
  <c r="D62" i="755"/>
  <c r="B62" i="755"/>
  <c r="D61" i="755"/>
  <c r="B61" i="755"/>
  <c r="D60" i="755"/>
  <c r="B60" i="755"/>
  <c r="D59" i="755"/>
  <c r="B59" i="755"/>
  <c r="D58" i="755"/>
  <c r="B58" i="755"/>
  <c r="D57" i="755"/>
  <c r="B57" i="755"/>
  <c r="D56" i="755"/>
  <c r="B56" i="755"/>
  <c r="D55" i="755"/>
  <c r="B55" i="755"/>
  <c r="D54" i="755"/>
  <c r="B54" i="755"/>
  <c r="D53" i="755"/>
  <c r="B53" i="755"/>
  <c r="D52" i="755"/>
  <c r="B52" i="755"/>
  <c r="D51" i="755"/>
  <c r="B51" i="755"/>
  <c r="D50" i="755"/>
  <c r="B50" i="755"/>
  <c r="D49" i="755"/>
  <c r="B49" i="755"/>
  <c r="D48" i="755"/>
  <c r="B48" i="755"/>
  <c r="D47" i="755"/>
  <c r="B47" i="755"/>
  <c r="D46" i="755"/>
  <c r="B46" i="755"/>
  <c r="D45" i="755"/>
  <c r="B45" i="755"/>
  <c r="D44" i="755"/>
  <c r="B44" i="755"/>
  <c r="D43" i="755"/>
  <c r="B43" i="755"/>
  <c r="D42" i="755"/>
  <c r="B42" i="755"/>
  <c r="D41" i="755"/>
  <c r="B41" i="755"/>
  <c r="D40" i="755"/>
  <c r="B40" i="755"/>
  <c r="D39" i="755"/>
  <c r="B39" i="755"/>
  <c r="D38" i="755"/>
  <c r="B38" i="755"/>
  <c r="D37" i="755"/>
  <c r="B37" i="755"/>
  <c r="D36" i="755"/>
  <c r="B36" i="755"/>
  <c r="D35" i="755"/>
  <c r="B35" i="755"/>
  <c r="D34" i="755"/>
  <c r="B34" i="755"/>
  <c r="D33" i="755"/>
  <c r="B33" i="755"/>
  <c r="D32" i="755"/>
  <c r="B32" i="755"/>
  <c r="D31" i="755"/>
  <c r="B31" i="755"/>
  <c r="D30" i="755"/>
  <c r="B30" i="755"/>
  <c r="D29" i="755"/>
  <c r="B29" i="755"/>
  <c r="D28" i="755"/>
  <c r="B28" i="755"/>
  <c r="D27" i="755"/>
  <c r="B27" i="755"/>
  <c r="D26" i="755"/>
  <c r="B26" i="755"/>
  <c r="D25" i="755"/>
  <c r="B25" i="755"/>
  <c r="D24" i="755"/>
  <c r="B24" i="755"/>
  <c r="D23" i="755"/>
  <c r="B23" i="755"/>
  <c r="D22" i="755"/>
  <c r="B22" i="755"/>
  <c r="D21" i="755"/>
  <c r="B21" i="755"/>
  <c r="D20" i="755"/>
  <c r="B20" i="755"/>
  <c r="D19" i="755"/>
  <c r="B19" i="755"/>
  <c r="D18" i="755"/>
  <c r="B18" i="755"/>
  <c r="D17" i="755"/>
  <c r="B17" i="755"/>
  <c r="D16" i="755"/>
  <c r="B16" i="755"/>
  <c r="D15" i="755"/>
  <c r="B15" i="755"/>
  <c r="D14" i="755"/>
  <c r="B14" i="755"/>
  <c r="D13" i="755"/>
  <c r="B13" i="755"/>
  <c r="D12" i="755"/>
  <c r="B12" i="755"/>
  <c r="D11" i="755"/>
  <c r="B11" i="755"/>
  <c r="D10" i="755"/>
  <c r="B10" i="755"/>
  <c r="D9" i="755"/>
  <c r="B9" i="755"/>
  <c r="D8" i="755"/>
  <c r="B8" i="755"/>
  <c r="D7" i="755"/>
  <c r="B7" i="755"/>
  <c r="D6" i="755"/>
  <c r="B6" i="755"/>
  <c r="D5" i="755"/>
  <c r="B5" i="755"/>
  <c r="D90" i="754"/>
  <c r="B90" i="754"/>
  <c r="D89" i="754"/>
  <c r="B89" i="754"/>
  <c r="D88" i="754"/>
  <c r="B88" i="754"/>
  <c r="D87" i="754"/>
  <c r="B87" i="754"/>
  <c r="D86" i="754"/>
  <c r="B86" i="754"/>
  <c r="D85" i="754"/>
  <c r="B85" i="754"/>
  <c r="D84" i="754"/>
  <c r="B84" i="754"/>
  <c r="D83" i="754"/>
  <c r="B83" i="754"/>
  <c r="D82" i="754"/>
  <c r="B82" i="754"/>
  <c r="D81" i="754"/>
  <c r="B81" i="754"/>
  <c r="D80" i="754"/>
  <c r="B80" i="754"/>
  <c r="D79" i="754"/>
  <c r="B79" i="754"/>
  <c r="D78" i="754"/>
  <c r="B78" i="754"/>
  <c r="D77" i="754"/>
  <c r="B77" i="754"/>
  <c r="D76" i="754"/>
  <c r="B76" i="754"/>
  <c r="D75" i="754"/>
  <c r="B75" i="754"/>
  <c r="D74" i="754"/>
  <c r="B74" i="754"/>
  <c r="D73" i="754"/>
  <c r="B73" i="754"/>
  <c r="D72" i="754"/>
  <c r="B72" i="754"/>
  <c r="D71" i="754"/>
  <c r="B71" i="754"/>
  <c r="D70" i="754"/>
  <c r="B70" i="754"/>
  <c r="D69" i="754"/>
  <c r="B69" i="754"/>
  <c r="D68" i="754"/>
  <c r="B68" i="754"/>
  <c r="D67" i="754"/>
  <c r="B67" i="754"/>
  <c r="D66" i="754"/>
  <c r="B66" i="754"/>
  <c r="D65" i="754"/>
  <c r="B65" i="754"/>
  <c r="D64" i="754"/>
  <c r="B64" i="754"/>
  <c r="D63" i="754"/>
  <c r="B63" i="754"/>
  <c r="D62" i="754"/>
  <c r="B62" i="754"/>
  <c r="D61" i="754"/>
  <c r="B61" i="754"/>
  <c r="D60" i="754"/>
  <c r="B60" i="754"/>
  <c r="D59" i="754"/>
  <c r="B59" i="754"/>
  <c r="D58" i="754"/>
  <c r="B58" i="754"/>
  <c r="D57" i="754"/>
  <c r="B57" i="754"/>
  <c r="D56" i="754"/>
  <c r="B56" i="754"/>
  <c r="D55" i="754"/>
  <c r="B55" i="754"/>
  <c r="D54" i="754"/>
  <c r="B54" i="754"/>
  <c r="D53" i="754"/>
  <c r="B53" i="754"/>
  <c r="D52" i="754"/>
  <c r="B52" i="754"/>
  <c r="D51" i="754"/>
  <c r="B51" i="754"/>
  <c r="D50" i="754"/>
  <c r="B50" i="754"/>
  <c r="D49" i="754"/>
  <c r="B49" i="754"/>
  <c r="D48" i="754"/>
  <c r="B48" i="754"/>
  <c r="D47" i="754"/>
  <c r="B47" i="754"/>
  <c r="D46" i="754"/>
  <c r="B46" i="754"/>
  <c r="D45" i="754"/>
  <c r="B45" i="754"/>
  <c r="D44" i="754"/>
  <c r="B44" i="754"/>
  <c r="D43" i="754"/>
  <c r="B43" i="754"/>
  <c r="D42" i="754"/>
  <c r="B42" i="754"/>
  <c r="D41" i="754"/>
  <c r="B41" i="754"/>
  <c r="D40" i="754"/>
  <c r="B40" i="754"/>
  <c r="D39" i="754"/>
  <c r="B39" i="754"/>
  <c r="D38" i="754"/>
  <c r="B38" i="754"/>
  <c r="D37" i="754"/>
  <c r="B37" i="754"/>
  <c r="D36" i="754"/>
  <c r="B36" i="754"/>
  <c r="D35" i="754"/>
  <c r="B35" i="754"/>
  <c r="D34" i="754"/>
  <c r="B34" i="754"/>
  <c r="D33" i="754"/>
  <c r="B33" i="754"/>
  <c r="D32" i="754"/>
  <c r="B32" i="754"/>
  <c r="D31" i="754"/>
  <c r="B31" i="754"/>
  <c r="D30" i="754"/>
  <c r="B30" i="754"/>
  <c r="D29" i="754"/>
  <c r="B29" i="754"/>
  <c r="D28" i="754"/>
  <c r="B28" i="754"/>
  <c r="D27" i="754"/>
  <c r="B27" i="754"/>
  <c r="D26" i="754"/>
  <c r="B26" i="754"/>
  <c r="D25" i="754"/>
  <c r="B25" i="754"/>
  <c r="D24" i="754"/>
  <c r="B24" i="754"/>
  <c r="D23" i="754"/>
  <c r="B23" i="754"/>
  <c r="D22" i="754"/>
  <c r="B22" i="754"/>
  <c r="D21" i="754"/>
  <c r="B21" i="754"/>
  <c r="D20" i="754"/>
  <c r="B20" i="754"/>
  <c r="D19" i="754"/>
  <c r="B19" i="754"/>
  <c r="D18" i="754"/>
  <c r="B18" i="754"/>
  <c r="D17" i="754"/>
  <c r="B17" i="754"/>
  <c r="D16" i="754"/>
  <c r="B16" i="754"/>
  <c r="D15" i="754"/>
  <c r="B15" i="754"/>
  <c r="D14" i="754"/>
  <c r="B14" i="754"/>
  <c r="D13" i="754"/>
  <c r="B13" i="754"/>
  <c r="D12" i="754"/>
  <c r="B12" i="754"/>
  <c r="D11" i="754"/>
  <c r="B11" i="754"/>
  <c r="D10" i="754"/>
  <c r="B10" i="754"/>
  <c r="D9" i="754"/>
  <c r="B9" i="754"/>
  <c r="D8" i="754"/>
  <c r="B8" i="754"/>
  <c r="D7" i="754"/>
  <c r="B7" i="754"/>
  <c r="D6" i="754"/>
  <c r="B6" i="754"/>
  <c r="D5" i="754"/>
  <c r="B5" i="754"/>
  <c r="D90" i="753"/>
  <c r="B90" i="753"/>
  <c r="D89" i="753"/>
  <c r="B89" i="753"/>
  <c r="D88" i="753"/>
  <c r="B88" i="753"/>
  <c r="D87" i="753"/>
  <c r="B87" i="753"/>
  <c r="D86" i="753"/>
  <c r="B86" i="753"/>
  <c r="D85" i="753"/>
  <c r="B85" i="753"/>
  <c r="D84" i="753"/>
  <c r="B84" i="753"/>
  <c r="D83" i="753"/>
  <c r="B83" i="753"/>
  <c r="D82" i="753"/>
  <c r="B82" i="753"/>
  <c r="D81" i="753"/>
  <c r="B81" i="753"/>
  <c r="D80" i="753"/>
  <c r="B80" i="753"/>
  <c r="D79" i="753"/>
  <c r="B79" i="753"/>
  <c r="D78" i="753"/>
  <c r="B78" i="753"/>
  <c r="D77" i="753"/>
  <c r="B77" i="753"/>
  <c r="D76" i="753"/>
  <c r="B76" i="753"/>
  <c r="D75" i="753"/>
  <c r="B75" i="753"/>
  <c r="D74" i="753"/>
  <c r="B74" i="753"/>
  <c r="D73" i="753"/>
  <c r="B73" i="753"/>
  <c r="D72" i="753"/>
  <c r="B72" i="753"/>
  <c r="D71" i="753"/>
  <c r="B71" i="753"/>
  <c r="D70" i="753"/>
  <c r="B70" i="753"/>
  <c r="D69" i="753"/>
  <c r="B69" i="753"/>
  <c r="D68" i="753"/>
  <c r="B68" i="753"/>
  <c r="D67" i="753"/>
  <c r="B67" i="753"/>
  <c r="D66" i="753"/>
  <c r="B66" i="753"/>
  <c r="D65" i="753"/>
  <c r="B65" i="753"/>
  <c r="D64" i="753"/>
  <c r="B64" i="753"/>
  <c r="D63" i="753"/>
  <c r="B63" i="753"/>
  <c r="D62" i="753"/>
  <c r="B62" i="753"/>
  <c r="D61" i="753"/>
  <c r="B61" i="753"/>
  <c r="D60" i="753"/>
  <c r="B60" i="753"/>
  <c r="D59" i="753"/>
  <c r="B59" i="753"/>
  <c r="D58" i="753"/>
  <c r="B58" i="753"/>
  <c r="D57" i="753"/>
  <c r="B57" i="753"/>
  <c r="D56" i="753"/>
  <c r="B56" i="753"/>
  <c r="D55" i="753"/>
  <c r="B55" i="753"/>
  <c r="D54" i="753"/>
  <c r="B54" i="753"/>
  <c r="D53" i="753"/>
  <c r="B53" i="753"/>
  <c r="D52" i="753"/>
  <c r="B52" i="753"/>
  <c r="D51" i="753"/>
  <c r="B51" i="753"/>
  <c r="D50" i="753"/>
  <c r="B50" i="753"/>
  <c r="D49" i="753"/>
  <c r="B49" i="753"/>
  <c r="D48" i="753"/>
  <c r="B48" i="753"/>
  <c r="D47" i="753"/>
  <c r="B47" i="753"/>
  <c r="D46" i="753"/>
  <c r="B46" i="753"/>
  <c r="D45" i="753"/>
  <c r="B45" i="753"/>
  <c r="D44" i="753"/>
  <c r="B44" i="753"/>
  <c r="D43" i="753"/>
  <c r="B43" i="753"/>
  <c r="D42" i="753"/>
  <c r="B42" i="753"/>
  <c r="D41" i="753"/>
  <c r="B41" i="753"/>
  <c r="D40" i="753"/>
  <c r="B40" i="753"/>
  <c r="D39" i="753"/>
  <c r="B39" i="753"/>
  <c r="D38" i="753"/>
  <c r="B38" i="753"/>
  <c r="D37" i="753"/>
  <c r="B37" i="753"/>
  <c r="D36" i="753"/>
  <c r="B36" i="753"/>
  <c r="D35" i="753"/>
  <c r="B35" i="753"/>
  <c r="D34" i="753"/>
  <c r="B34" i="753"/>
  <c r="D33" i="753"/>
  <c r="B33" i="753"/>
  <c r="D32" i="753"/>
  <c r="B32" i="753"/>
  <c r="D31" i="753"/>
  <c r="B31" i="753"/>
  <c r="D30" i="753"/>
  <c r="B30" i="753"/>
  <c r="D29" i="753"/>
  <c r="B29" i="753"/>
  <c r="D28" i="753"/>
  <c r="B28" i="753"/>
  <c r="D27" i="753"/>
  <c r="B27" i="753"/>
  <c r="D26" i="753"/>
  <c r="B26" i="753"/>
  <c r="D25" i="753"/>
  <c r="B25" i="753"/>
  <c r="D24" i="753"/>
  <c r="B24" i="753"/>
  <c r="D23" i="753"/>
  <c r="B23" i="753"/>
  <c r="D22" i="753"/>
  <c r="B22" i="753"/>
  <c r="D21" i="753"/>
  <c r="B21" i="753"/>
  <c r="D20" i="753"/>
  <c r="B20" i="753"/>
  <c r="D19" i="753"/>
  <c r="B19" i="753"/>
  <c r="D18" i="753"/>
  <c r="B18" i="753"/>
  <c r="D17" i="753"/>
  <c r="B17" i="753"/>
  <c r="D16" i="753"/>
  <c r="B16" i="753"/>
  <c r="D15" i="753"/>
  <c r="B15" i="753"/>
  <c r="D14" i="753"/>
  <c r="B14" i="753"/>
  <c r="D13" i="753"/>
  <c r="B13" i="753"/>
  <c r="D12" i="753"/>
  <c r="B12" i="753"/>
  <c r="D11" i="753"/>
  <c r="B11" i="753"/>
  <c r="D10" i="753"/>
  <c r="B10" i="753"/>
  <c r="D9" i="753"/>
  <c r="B9" i="753"/>
  <c r="D8" i="753"/>
  <c r="B8" i="753"/>
  <c r="D7" i="753"/>
  <c r="B7" i="753"/>
  <c r="D6" i="753"/>
  <c r="B6" i="753"/>
  <c r="D5" i="753"/>
  <c r="B5" i="753"/>
  <c r="D90" i="752"/>
  <c r="B90" i="752"/>
  <c r="D89" i="752"/>
  <c r="B89" i="752"/>
  <c r="D88" i="752"/>
  <c r="B88" i="752"/>
  <c r="D87" i="752"/>
  <c r="B87" i="752"/>
  <c r="D86" i="752"/>
  <c r="B86" i="752"/>
  <c r="D85" i="752"/>
  <c r="B85" i="752"/>
  <c r="D84" i="752"/>
  <c r="B84" i="752"/>
  <c r="D83" i="752"/>
  <c r="B83" i="752"/>
  <c r="D82" i="752"/>
  <c r="B82" i="752"/>
  <c r="D81" i="752"/>
  <c r="B81" i="752"/>
  <c r="D80" i="752"/>
  <c r="B80" i="752"/>
  <c r="D79" i="752"/>
  <c r="B79" i="752"/>
  <c r="D78" i="752"/>
  <c r="B78" i="752"/>
  <c r="D77" i="752"/>
  <c r="B77" i="752"/>
  <c r="D76" i="752"/>
  <c r="B76" i="752"/>
  <c r="D75" i="752"/>
  <c r="B75" i="752"/>
  <c r="D74" i="752"/>
  <c r="B74" i="752"/>
  <c r="D73" i="752"/>
  <c r="B73" i="752"/>
  <c r="D72" i="752"/>
  <c r="B72" i="752"/>
  <c r="D71" i="752"/>
  <c r="B71" i="752"/>
  <c r="D70" i="752"/>
  <c r="B70" i="752"/>
  <c r="D69" i="752"/>
  <c r="B69" i="752"/>
  <c r="D68" i="752"/>
  <c r="B68" i="752"/>
  <c r="D67" i="752"/>
  <c r="B67" i="752"/>
  <c r="D66" i="752"/>
  <c r="B66" i="752"/>
  <c r="D65" i="752"/>
  <c r="B65" i="752"/>
  <c r="D64" i="752"/>
  <c r="B64" i="752"/>
  <c r="D63" i="752"/>
  <c r="B63" i="752"/>
  <c r="D62" i="752"/>
  <c r="B62" i="752"/>
  <c r="D61" i="752"/>
  <c r="B61" i="752"/>
  <c r="D60" i="752"/>
  <c r="B60" i="752"/>
  <c r="D59" i="752"/>
  <c r="B59" i="752"/>
  <c r="D58" i="752"/>
  <c r="B58" i="752"/>
  <c r="D57" i="752"/>
  <c r="B57" i="752"/>
  <c r="D56" i="752"/>
  <c r="B56" i="752"/>
  <c r="D55" i="752"/>
  <c r="B55" i="752"/>
  <c r="D54" i="752"/>
  <c r="B54" i="752"/>
  <c r="D53" i="752"/>
  <c r="B53" i="752"/>
  <c r="D52" i="752"/>
  <c r="B52" i="752"/>
  <c r="D51" i="752"/>
  <c r="B51" i="752"/>
  <c r="D50" i="752"/>
  <c r="B50" i="752"/>
  <c r="D49" i="752"/>
  <c r="B49" i="752"/>
  <c r="D48" i="752"/>
  <c r="B48" i="752"/>
  <c r="D47" i="752"/>
  <c r="B47" i="752"/>
  <c r="D46" i="752"/>
  <c r="B46" i="752"/>
  <c r="D45" i="752"/>
  <c r="B45" i="752"/>
  <c r="D44" i="752"/>
  <c r="B44" i="752"/>
  <c r="D43" i="752"/>
  <c r="B43" i="752"/>
  <c r="D42" i="752"/>
  <c r="B42" i="752"/>
  <c r="D41" i="752"/>
  <c r="B41" i="752"/>
  <c r="D40" i="752"/>
  <c r="B40" i="752"/>
  <c r="D39" i="752"/>
  <c r="B39" i="752"/>
  <c r="D38" i="752"/>
  <c r="B38" i="752"/>
  <c r="D37" i="752"/>
  <c r="B37" i="752"/>
  <c r="D36" i="752"/>
  <c r="B36" i="752"/>
  <c r="D35" i="752"/>
  <c r="B35" i="752"/>
  <c r="D34" i="752"/>
  <c r="B34" i="752"/>
  <c r="D33" i="752"/>
  <c r="B33" i="752"/>
  <c r="D32" i="752"/>
  <c r="B32" i="752"/>
  <c r="D31" i="752"/>
  <c r="B31" i="752"/>
  <c r="D30" i="752"/>
  <c r="B30" i="752"/>
  <c r="D29" i="752"/>
  <c r="B29" i="752"/>
  <c r="D28" i="752"/>
  <c r="B28" i="752"/>
  <c r="D27" i="752"/>
  <c r="B27" i="752"/>
  <c r="D26" i="752"/>
  <c r="B26" i="752"/>
  <c r="D25" i="752"/>
  <c r="B25" i="752"/>
  <c r="D24" i="752"/>
  <c r="B24" i="752"/>
  <c r="D23" i="752"/>
  <c r="B23" i="752"/>
  <c r="D22" i="752"/>
  <c r="B22" i="752"/>
  <c r="D21" i="752"/>
  <c r="B21" i="752"/>
  <c r="D20" i="752"/>
  <c r="B20" i="752"/>
  <c r="D19" i="752"/>
  <c r="B19" i="752"/>
  <c r="D18" i="752"/>
  <c r="B18" i="752"/>
  <c r="D17" i="752"/>
  <c r="B17" i="752"/>
  <c r="D16" i="752"/>
  <c r="B16" i="752"/>
  <c r="D15" i="752"/>
  <c r="B15" i="752"/>
  <c r="D14" i="752"/>
  <c r="B14" i="752"/>
  <c r="D13" i="752"/>
  <c r="B13" i="752"/>
  <c r="D12" i="752"/>
  <c r="B12" i="752"/>
  <c r="D11" i="752"/>
  <c r="B11" i="752"/>
  <c r="D10" i="752"/>
  <c r="B10" i="752"/>
  <c r="D9" i="752"/>
  <c r="B9" i="752"/>
  <c r="D8" i="752"/>
  <c r="B8" i="752"/>
  <c r="D7" i="752"/>
  <c r="B7" i="752"/>
  <c r="D6" i="752"/>
  <c r="B6" i="752"/>
  <c r="D5" i="752"/>
  <c r="B5" i="752"/>
  <c r="D90" i="751"/>
  <c r="B90" i="751"/>
  <c r="D89" i="751"/>
  <c r="B89" i="751"/>
  <c r="D88" i="751"/>
  <c r="B88" i="751"/>
  <c r="D87" i="751"/>
  <c r="B87" i="751"/>
  <c r="D86" i="751"/>
  <c r="B86" i="751"/>
  <c r="D85" i="751"/>
  <c r="B85" i="751"/>
  <c r="D84" i="751"/>
  <c r="B84" i="751"/>
  <c r="D83" i="751"/>
  <c r="B83" i="751"/>
  <c r="D82" i="751"/>
  <c r="B82" i="751"/>
  <c r="D81" i="751"/>
  <c r="B81" i="751"/>
  <c r="D80" i="751"/>
  <c r="B80" i="751"/>
  <c r="D79" i="751"/>
  <c r="B79" i="751"/>
  <c r="D78" i="751"/>
  <c r="B78" i="751"/>
  <c r="D77" i="751"/>
  <c r="B77" i="751"/>
  <c r="D76" i="751"/>
  <c r="B76" i="751"/>
  <c r="D75" i="751"/>
  <c r="B75" i="751"/>
  <c r="D74" i="751"/>
  <c r="B74" i="751"/>
  <c r="D73" i="751"/>
  <c r="B73" i="751"/>
  <c r="D72" i="751"/>
  <c r="B72" i="751"/>
  <c r="D71" i="751"/>
  <c r="B71" i="751"/>
  <c r="D70" i="751"/>
  <c r="B70" i="751"/>
  <c r="D69" i="751"/>
  <c r="B69" i="751"/>
  <c r="D68" i="751"/>
  <c r="B68" i="751"/>
  <c r="D67" i="751"/>
  <c r="B67" i="751"/>
  <c r="D66" i="751"/>
  <c r="B66" i="751"/>
  <c r="D65" i="751"/>
  <c r="B65" i="751"/>
  <c r="D64" i="751"/>
  <c r="B64" i="751"/>
  <c r="D63" i="751"/>
  <c r="B63" i="751"/>
  <c r="D62" i="751"/>
  <c r="B62" i="751"/>
  <c r="D61" i="751"/>
  <c r="B61" i="751"/>
  <c r="D60" i="751"/>
  <c r="B60" i="751"/>
  <c r="D59" i="751"/>
  <c r="B59" i="751"/>
  <c r="D58" i="751"/>
  <c r="B58" i="751"/>
  <c r="D57" i="751"/>
  <c r="B57" i="751"/>
  <c r="D56" i="751"/>
  <c r="B56" i="751"/>
  <c r="D55" i="751"/>
  <c r="B55" i="751"/>
  <c r="D54" i="751"/>
  <c r="B54" i="751"/>
  <c r="D53" i="751"/>
  <c r="B53" i="751"/>
  <c r="D52" i="751"/>
  <c r="B52" i="751"/>
  <c r="D51" i="751"/>
  <c r="B51" i="751"/>
  <c r="D50" i="751"/>
  <c r="B50" i="751"/>
  <c r="D49" i="751"/>
  <c r="B49" i="751"/>
  <c r="D48" i="751"/>
  <c r="B48" i="751"/>
  <c r="D47" i="751"/>
  <c r="B47" i="751"/>
  <c r="D46" i="751"/>
  <c r="B46" i="751"/>
  <c r="D45" i="751"/>
  <c r="B45" i="751"/>
  <c r="D44" i="751"/>
  <c r="B44" i="751"/>
  <c r="D43" i="751"/>
  <c r="B43" i="751"/>
  <c r="D42" i="751"/>
  <c r="B42" i="751"/>
  <c r="D41" i="751"/>
  <c r="B41" i="751"/>
  <c r="D40" i="751"/>
  <c r="B40" i="751"/>
  <c r="D39" i="751"/>
  <c r="B39" i="751"/>
  <c r="D38" i="751"/>
  <c r="B38" i="751"/>
  <c r="D37" i="751"/>
  <c r="B37" i="751"/>
  <c r="D36" i="751"/>
  <c r="B36" i="751"/>
  <c r="D35" i="751"/>
  <c r="B35" i="751"/>
  <c r="D34" i="751"/>
  <c r="B34" i="751"/>
  <c r="D33" i="751"/>
  <c r="B33" i="751"/>
  <c r="D32" i="751"/>
  <c r="B32" i="751"/>
  <c r="D31" i="751"/>
  <c r="B31" i="751"/>
  <c r="D30" i="751"/>
  <c r="B30" i="751"/>
  <c r="D29" i="751"/>
  <c r="B29" i="751"/>
  <c r="D28" i="751"/>
  <c r="B28" i="751"/>
  <c r="D27" i="751"/>
  <c r="B27" i="751"/>
  <c r="D26" i="751"/>
  <c r="B26" i="751"/>
  <c r="D25" i="751"/>
  <c r="B25" i="751"/>
  <c r="D24" i="751"/>
  <c r="B24" i="751"/>
  <c r="D23" i="751"/>
  <c r="B23" i="751"/>
  <c r="D22" i="751"/>
  <c r="B22" i="751"/>
  <c r="D21" i="751"/>
  <c r="B21" i="751"/>
  <c r="D20" i="751"/>
  <c r="B20" i="751"/>
  <c r="D19" i="751"/>
  <c r="B19" i="751"/>
  <c r="D18" i="751"/>
  <c r="B18" i="751"/>
  <c r="D17" i="751"/>
  <c r="B17" i="751"/>
  <c r="D16" i="751"/>
  <c r="B16" i="751"/>
  <c r="D15" i="751"/>
  <c r="B15" i="751"/>
  <c r="D14" i="751"/>
  <c r="B14" i="751"/>
  <c r="D13" i="751"/>
  <c r="B13" i="751"/>
  <c r="D12" i="751"/>
  <c r="B12" i="751"/>
  <c r="D11" i="751"/>
  <c r="B11" i="751"/>
  <c r="D10" i="751"/>
  <c r="B10" i="751"/>
  <c r="D9" i="751"/>
  <c r="B9" i="751"/>
  <c r="D8" i="751"/>
  <c r="B8" i="751"/>
  <c r="D7" i="751"/>
  <c r="B7" i="751"/>
  <c r="D6" i="751"/>
  <c r="B6" i="751"/>
  <c r="D5" i="751"/>
  <c r="B5" i="751"/>
  <c r="D90" i="750"/>
  <c r="B90" i="750"/>
  <c r="D89" i="750"/>
  <c r="B89" i="750"/>
  <c r="D88" i="750"/>
  <c r="B88" i="750"/>
  <c r="D87" i="750"/>
  <c r="B87" i="750"/>
  <c r="D86" i="750"/>
  <c r="B86" i="750"/>
  <c r="D85" i="750"/>
  <c r="B85" i="750"/>
  <c r="D84" i="750"/>
  <c r="B84" i="750"/>
  <c r="D83" i="750"/>
  <c r="B83" i="750"/>
  <c r="D82" i="750"/>
  <c r="B82" i="750"/>
  <c r="D81" i="750"/>
  <c r="B81" i="750"/>
  <c r="D80" i="750"/>
  <c r="B80" i="750"/>
  <c r="D79" i="750"/>
  <c r="B79" i="750"/>
  <c r="D78" i="750"/>
  <c r="B78" i="750"/>
  <c r="D77" i="750"/>
  <c r="B77" i="750"/>
  <c r="D76" i="750"/>
  <c r="B76" i="750"/>
  <c r="D75" i="750"/>
  <c r="B75" i="750"/>
  <c r="D74" i="750"/>
  <c r="B74" i="750"/>
  <c r="D73" i="750"/>
  <c r="B73" i="750"/>
  <c r="D72" i="750"/>
  <c r="B72" i="750"/>
  <c r="D71" i="750"/>
  <c r="B71" i="750"/>
  <c r="D70" i="750"/>
  <c r="B70" i="750"/>
  <c r="D69" i="750"/>
  <c r="B69" i="750"/>
  <c r="D68" i="750"/>
  <c r="B68" i="750"/>
  <c r="D67" i="750"/>
  <c r="B67" i="750"/>
  <c r="D66" i="750"/>
  <c r="B66" i="750"/>
  <c r="D65" i="750"/>
  <c r="B65" i="750"/>
  <c r="D64" i="750"/>
  <c r="B64" i="750"/>
  <c r="D63" i="750"/>
  <c r="B63" i="750"/>
  <c r="D62" i="750"/>
  <c r="B62" i="750"/>
  <c r="D61" i="750"/>
  <c r="B61" i="750"/>
  <c r="D60" i="750"/>
  <c r="B60" i="750"/>
  <c r="D59" i="750"/>
  <c r="B59" i="750"/>
  <c r="D58" i="750"/>
  <c r="B58" i="750"/>
  <c r="D57" i="750"/>
  <c r="B57" i="750"/>
  <c r="D56" i="750"/>
  <c r="B56" i="750"/>
  <c r="D55" i="750"/>
  <c r="B55" i="750"/>
  <c r="D54" i="750"/>
  <c r="B54" i="750"/>
  <c r="D53" i="750"/>
  <c r="B53" i="750"/>
  <c r="D52" i="750"/>
  <c r="B52" i="750"/>
  <c r="D51" i="750"/>
  <c r="B51" i="750"/>
  <c r="D50" i="750"/>
  <c r="B50" i="750"/>
  <c r="D49" i="750"/>
  <c r="B49" i="750"/>
  <c r="D48" i="750"/>
  <c r="B48" i="750"/>
  <c r="D47" i="750"/>
  <c r="B47" i="750"/>
  <c r="D46" i="750"/>
  <c r="B46" i="750"/>
  <c r="D45" i="750"/>
  <c r="B45" i="750"/>
  <c r="D44" i="750"/>
  <c r="B44" i="750"/>
  <c r="D43" i="750"/>
  <c r="B43" i="750"/>
  <c r="D42" i="750"/>
  <c r="B42" i="750"/>
  <c r="D41" i="750"/>
  <c r="B41" i="750"/>
  <c r="D40" i="750"/>
  <c r="B40" i="750"/>
  <c r="D39" i="750"/>
  <c r="B39" i="750"/>
  <c r="D38" i="750"/>
  <c r="B38" i="750"/>
  <c r="D37" i="750"/>
  <c r="B37" i="750"/>
  <c r="D36" i="750"/>
  <c r="B36" i="750"/>
  <c r="D35" i="750"/>
  <c r="B35" i="750"/>
  <c r="D34" i="750"/>
  <c r="B34" i="750"/>
  <c r="D33" i="750"/>
  <c r="B33" i="750"/>
  <c r="D32" i="750"/>
  <c r="B32" i="750"/>
  <c r="D31" i="750"/>
  <c r="B31" i="750"/>
  <c r="D30" i="750"/>
  <c r="B30" i="750"/>
  <c r="D29" i="750"/>
  <c r="B29" i="750"/>
  <c r="D28" i="750"/>
  <c r="B28" i="750"/>
  <c r="D27" i="750"/>
  <c r="B27" i="750"/>
  <c r="D26" i="750"/>
  <c r="B26" i="750"/>
  <c r="D25" i="750"/>
  <c r="B25" i="750"/>
  <c r="D24" i="750"/>
  <c r="B24" i="750"/>
  <c r="D23" i="750"/>
  <c r="B23" i="750"/>
  <c r="D22" i="750"/>
  <c r="B22" i="750"/>
  <c r="D21" i="750"/>
  <c r="B21" i="750"/>
  <c r="D20" i="750"/>
  <c r="B20" i="750"/>
  <c r="D19" i="750"/>
  <c r="B19" i="750"/>
  <c r="D18" i="750"/>
  <c r="B18" i="750"/>
  <c r="D17" i="750"/>
  <c r="B17" i="750"/>
  <c r="D16" i="750"/>
  <c r="B16" i="750"/>
  <c r="D15" i="750"/>
  <c r="B15" i="750"/>
  <c r="D14" i="750"/>
  <c r="B14" i="750"/>
  <c r="D13" i="750"/>
  <c r="B13" i="750"/>
  <c r="D12" i="750"/>
  <c r="B12" i="750"/>
  <c r="D11" i="750"/>
  <c r="B11" i="750"/>
  <c r="D10" i="750"/>
  <c r="B10" i="750"/>
  <c r="D9" i="750"/>
  <c r="B9" i="750"/>
  <c r="D8" i="750"/>
  <c r="B8" i="750"/>
  <c r="D7" i="750"/>
  <c r="B7" i="750"/>
  <c r="D6" i="750"/>
  <c r="B6" i="750"/>
  <c r="D5" i="750"/>
  <c r="B5" i="750"/>
  <c r="D90" i="749"/>
  <c r="B90" i="749"/>
  <c r="D89" i="749"/>
  <c r="B89" i="749"/>
  <c r="D88" i="749"/>
  <c r="B88" i="749"/>
  <c r="D87" i="749"/>
  <c r="B87" i="749"/>
  <c r="D86" i="749"/>
  <c r="B86" i="749"/>
  <c r="D85" i="749"/>
  <c r="B85" i="749"/>
  <c r="D84" i="749"/>
  <c r="B84" i="749"/>
  <c r="D83" i="749"/>
  <c r="B83" i="749"/>
  <c r="D82" i="749"/>
  <c r="B82" i="749"/>
  <c r="D81" i="749"/>
  <c r="B81" i="749"/>
  <c r="D80" i="749"/>
  <c r="B80" i="749"/>
  <c r="D79" i="749"/>
  <c r="B79" i="749"/>
  <c r="D78" i="749"/>
  <c r="B78" i="749"/>
  <c r="D77" i="749"/>
  <c r="B77" i="749"/>
  <c r="D76" i="749"/>
  <c r="B76" i="749"/>
  <c r="D75" i="749"/>
  <c r="B75" i="749"/>
  <c r="D74" i="749"/>
  <c r="B74" i="749"/>
  <c r="D73" i="749"/>
  <c r="B73" i="749"/>
  <c r="D72" i="749"/>
  <c r="B72" i="749"/>
  <c r="D71" i="749"/>
  <c r="B71" i="749"/>
  <c r="D70" i="749"/>
  <c r="B70" i="749"/>
  <c r="D69" i="749"/>
  <c r="B69" i="749"/>
  <c r="D68" i="749"/>
  <c r="B68" i="749"/>
  <c r="D67" i="749"/>
  <c r="B67" i="749"/>
  <c r="D66" i="749"/>
  <c r="B66" i="749"/>
  <c r="D65" i="749"/>
  <c r="B65" i="749"/>
  <c r="D64" i="749"/>
  <c r="B64" i="749"/>
  <c r="D63" i="749"/>
  <c r="B63" i="749"/>
  <c r="D62" i="749"/>
  <c r="B62" i="749"/>
  <c r="D61" i="749"/>
  <c r="B61" i="749"/>
  <c r="D60" i="749"/>
  <c r="B60" i="749"/>
  <c r="D59" i="749"/>
  <c r="B59" i="749"/>
  <c r="D58" i="749"/>
  <c r="B58" i="749"/>
  <c r="D57" i="749"/>
  <c r="B57" i="749"/>
  <c r="D56" i="749"/>
  <c r="B56" i="749"/>
  <c r="D55" i="749"/>
  <c r="B55" i="749"/>
  <c r="D54" i="749"/>
  <c r="B54" i="749"/>
  <c r="D53" i="749"/>
  <c r="B53" i="749"/>
  <c r="D52" i="749"/>
  <c r="B52" i="749"/>
  <c r="D51" i="749"/>
  <c r="B51" i="749"/>
  <c r="D50" i="749"/>
  <c r="B50" i="749"/>
  <c r="D49" i="749"/>
  <c r="B49" i="749"/>
  <c r="D48" i="749"/>
  <c r="B48" i="749"/>
  <c r="D47" i="749"/>
  <c r="B47" i="749"/>
  <c r="D46" i="749"/>
  <c r="B46" i="749"/>
  <c r="D45" i="749"/>
  <c r="B45" i="749"/>
  <c r="D44" i="749"/>
  <c r="B44" i="749"/>
  <c r="D43" i="749"/>
  <c r="B43" i="749"/>
  <c r="D42" i="749"/>
  <c r="B42" i="749"/>
  <c r="D41" i="749"/>
  <c r="B41" i="749"/>
  <c r="D40" i="749"/>
  <c r="B40" i="749"/>
  <c r="D39" i="749"/>
  <c r="B39" i="749"/>
  <c r="D38" i="749"/>
  <c r="B38" i="749"/>
  <c r="D37" i="749"/>
  <c r="B37" i="749"/>
  <c r="D36" i="749"/>
  <c r="B36" i="749"/>
  <c r="D35" i="749"/>
  <c r="B35" i="749"/>
  <c r="D34" i="749"/>
  <c r="B34" i="749"/>
  <c r="D33" i="749"/>
  <c r="B33" i="749"/>
  <c r="D32" i="749"/>
  <c r="B32" i="749"/>
  <c r="D31" i="749"/>
  <c r="B31" i="749"/>
  <c r="D30" i="749"/>
  <c r="B30" i="749"/>
  <c r="D29" i="749"/>
  <c r="B29" i="749"/>
  <c r="D28" i="749"/>
  <c r="B28" i="749"/>
  <c r="D27" i="749"/>
  <c r="B27" i="749"/>
  <c r="D26" i="749"/>
  <c r="B26" i="749"/>
  <c r="D25" i="749"/>
  <c r="B25" i="749"/>
  <c r="D24" i="749"/>
  <c r="B24" i="749"/>
  <c r="D23" i="749"/>
  <c r="B23" i="749"/>
  <c r="D22" i="749"/>
  <c r="B22" i="749"/>
  <c r="D21" i="749"/>
  <c r="B21" i="749"/>
  <c r="D20" i="749"/>
  <c r="B20" i="749"/>
  <c r="D19" i="749"/>
  <c r="B19" i="749"/>
  <c r="D18" i="749"/>
  <c r="B18" i="749"/>
  <c r="D17" i="749"/>
  <c r="B17" i="749"/>
  <c r="D16" i="749"/>
  <c r="B16" i="749"/>
  <c r="D15" i="749"/>
  <c r="B15" i="749"/>
  <c r="D14" i="749"/>
  <c r="B14" i="749"/>
  <c r="D13" i="749"/>
  <c r="B13" i="749"/>
  <c r="D12" i="749"/>
  <c r="B12" i="749"/>
  <c r="D11" i="749"/>
  <c r="B11" i="749"/>
  <c r="D10" i="749"/>
  <c r="B10" i="749"/>
  <c r="D9" i="749"/>
  <c r="B9" i="749"/>
  <c r="D8" i="749"/>
  <c r="B8" i="749"/>
  <c r="D7" i="749"/>
  <c r="B7" i="749"/>
  <c r="D6" i="749"/>
  <c r="B6" i="749"/>
  <c r="D5" i="749"/>
  <c r="B5" i="749"/>
  <c r="K8" i="69" l="1"/>
  <c r="F3" i="705" l="1"/>
  <c r="C17" i="704" l="1"/>
  <c r="C18" i="704"/>
  <c r="C19" i="704"/>
  <c r="C20" i="704"/>
  <c r="C21" i="704"/>
  <c r="C22" i="704"/>
  <c r="C23" i="704"/>
  <c r="C24" i="704"/>
  <c r="C25" i="704"/>
  <c r="C26" i="704"/>
  <c r="C27" i="704"/>
  <c r="C28" i="704"/>
  <c r="C29" i="704"/>
  <c r="C30" i="704"/>
  <c r="C31" i="704"/>
  <c r="C32" i="704"/>
  <c r="C33" i="704"/>
  <c r="C34" i="704"/>
  <c r="C35" i="704"/>
  <c r="C36" i="704"/>
  <c r="C37" i="704"/>
  <c r="C38" i="704"/>
  <c r="C39" i="704"/>
  <c r="C40" i="704"/>
  <c r="C41" i="704"/>
  <c r="C42" i="704"/>
  <c r="C43" i="704"/>
  <c r="C44" i="704"/>
  <c r="C45" i="704"/>
  <c r="C46" i="704"/>
  <c r="C47" i="704"/>
  <c r="C48" i="704"/>
  <c r="C49" i="704"/>
  <c r="C50" i="704"/>
  <c r="C51" i="704"/>
  <c r="C52" i="704"/>
  <c r="C53" i="704"/>
  <c r="C54" i="704"/>
  <c r="C55" i="704"/>
  <c r="C56" i="704"/>
  <c r="C57" i="704"/>
  <c r="C58" i="704"/>
  <c r="C59" i="704"/>
  <c r="C60" i="704"/>
  <c r="C61" i="704"/>
  <c r="C62" i="704"/>
  <c r="C63" i="704"/>
  <c r="C64" i="704"/>
  <c r="C65" i="704"/>
  <c r="C66" i="704"/>
  <c r="C67" i="704"/>
  <c r="C68" i="704"/>
  <c r="C69" i="704"/>
  <c r="C70" i="704"/>
  <c r="C71" i="704"/>
  <c r="C72" i="704"/>
  <c r="C73" i="704"/>
  <c r="C74" i="704"/>
  <c r="C75" i="704"/>
  <c r="C76" i="704"/>
  <c r="C77" i="704"/>
  <c r="C78" i="704"/>
  <c r="C79" i="704"/>
  <c r="C80" i="704"/>
  <c r="C81" i="704"/>
  <c r="C82" i="704"/>
  <c r="C83" i="704"/>
  <c r="C84" i="704"/>
  <c r="C85" i="704"/>
  <c r="C86" i="704"/>
  <c r="C87" i="704"/>
  <c r="C88" i="704"/>
  <c r="C89" i="704"/>
  <c r="C90" i="704"/>
  <c r="C91" i="704"/>
  <c r="C92" i="704"/>
  <c r="C93" i="704"/>
  <c r="C94" i="704"/>
  <c r="C95" i="704"/>
  <c r="C96" i="704"/>
  <c r="C97" i="704"/>
  <c r="C98" i="704"/>
  <c r="C99" i="704"/>
  <c r="C100" i="704"/>
  <c r="C101" i="704"/>
  <c r="C102" i="704"/>
  <c r="C103" i="704"/>
  <c r="C104" i="704"/>
  <c r="C105" i="704"/>
  <c r="C106" i="704"/>
  <c r="C107" i="704"/>
  <c r="C108" i="704"/>
  <c r="C109" i="704"/>
  <c r="C110" i="704"/>
  <c r="C111" i="704"/>
  <c r="C112" i="704"/>
  <c r="C113" i="704"/>
  <c r="C114" i="704"/>
  <c r="C16" i="704"/>
  <c r="D1" i="749" l="1"/>
  <c r="D1" i="751" l="1"/>
  <c r="D1" i="755"/>
  <c r="D1" i="754"/>
  <c r="D1" i="752"/>
  <c r="D1" i="753"/>
  <c r="D1" i="750"/>
  <c r="D1" i="705"/>
  <c r="D2" i="705"/>
  <c r="A2" i="60" l="1"/>
  <c r="D7" i="84" l="1"/>
  <c r="D90" i="84" l="1"/>
  <c r="B90" i="84"/>
  <c r="D89" i="84"/>
  <c r="B89" i="84"/>
  <c r="D88" i="84"/>
  <c r="B88" i="84"/>
  <c r="D87" i="84"/>
  <c r="B87" i="84"/>
  <c r="D86" i="84"/>
  <c r="B86" i="84"/>
  <c r="D85" i="84"/>
  <c r="B85" i="84"/>
  <c r="D84" i="84"/>
  <c r="B84" i="84"/>
  <c r="D83" i="84"/>
  <c r="B83" i="84"/>
  <c r="D82" i="84"/>
  <c r="B82" i="84"/>
  <c r="D81" i="84"/>
  <c r="B81" i="84"/>
  <c r="D80" i="84"/>
  <c r="B80" i="84"/>
  <c r="D79" i="84"/>
  <c r="B79" i="84"/>
  <c r="D78" i="84"/>
  <c r="B78" i="84"/>
  <c r="D77" i="84"/>
  <c r="B77" i="84"/>
  <c r="D76" i="84"/>
  <c r="B76" i="84"/>
  <c r="D75" i="84"/>
  <c r="B75" i="84"/>
  <c r="D74" i="84"/>
  <c r="B74" i="84"/>
  <c r="D73" i="84"/>
  <c r="B73" i="84"/>
  <c r="D72" i="84"/>
  <c r="B72" i="84"/>
  <c r="D71" i="84"/>
  <c r="B71" i="84"/>
  <c r="D70" i="84"/>
  <c r="B70" i="84"/>
  <c r="D69" i="84"/>
  <c r="B69" i="84"/>
  <c r="D68" i="84"/>
  <c r="B68" i="84"/>
  <c r="D67" i="84"/>
  <c r="B67" i="84"/>
  <c r="D66" i="84"/>
  <c r="B66" i="84"/>
  <c r="D65" i="84"/>
  <c r="B65" i="84"/>
  <c r="D64" i="84"/>
  <c r="B64" i="84"/>
  <c r="D63" i="84"/>
  <c r="B63" i="84"/>
  <c r="D62" i="84"/>
  <c r="B62" i="84"/>
  <c r="D61" i="84"/>
  <c r="B61" i="84"/>
  <c r="D60" i="84"/>
  <c r="B60" i="84"/>
  <c r="D59" i="84"/>
  <c r="B59" i="84"/>
  <c r="D58" i="84"/>
  <c r="B58" i="84"/>
  <c r="D57" i="84"/>
  <c r="B57" i="84"/>
  <c r="D56" i="84"/>
  <c r="B56" i="84"/>
  <c r="D55" i="84"/>
  <c r="B55" i="84"/>
  <c r="D54" i="84"/>
  <c r="B54" i="84"/>
  <c r="D53" i="84"/>
  <c r="B53" i="84"/>
  <c r="D52" i="84"/>
  <c r="B52" i="84"/>
  <c r="D51" i="84"/>
  <c r="B51" i="84"/>
  <c r="D50" i="84"/>
  <c r="B50" i="84"/>
  <c r="D49" i="84"/>
  <c r="B49" i="84"/>
  <c r="D48" i="84"/>
  <c r="B48" i="84"/>
  <c r="D47" i="84"/>
  <c r="B47" i="84"/>
  <c r="D46" i="84"/>
  <c r="B46" i="84"/>
  <c r="D45" i="84"/>
  <c r="B45" i="84"/>
  <c r="D44" i="84"/>
  <c r="B44" i="84"/>
  <c r="D43" i="84"/>
  <c r="B43" i="84"/>
  <c r="D42" i="84"/>
  <c r="B42" i="84"/>
  <c r="D41" i="84"/>
  <c r="B41" i="84"/>
  <c r="D40" i="84"/>
  <c r="B40" i="84"/>
  <c r="D39" i="84"/>
  <c r="B39" i="84"/>
  <c r="D38" i="84"/>
  <c r="B38" i="84"/>
  <c r="D37" i="84"/>
  <c r="B37" i="84"/>
  <c r="D36" i="84"/>
  <c r="B36" i="84"/>
  <c r="D35" i="84"/>
  <c r="B35" i="84"/>
  <c r="D34" i="84"/>
  <c r="B34" i="84"/>
  <c r="D33" i="84"/>
  <c r="B33" i="84"/>
  <c r="D32" i="84"/>
  <c r="B32" i="84"/>
  <c r="D31" i="84"/>
  <c r="B31" i="84"/>
  <c r="D30" i="84"/>
  <c r="B30" i="84"/>
  <c r="D29" i="84"/>
  <c r="B29" i="84"/>
  <c r="D28" i="84"/>
  <c r="B28" i="84"/>
  <c r="D27" i="84"/>
  <c r="B27" i="84"/>
  <c r="D26" i="84"/>
  <c r="B26" i="84"/>
  <c r="D25" i="84"/>
  <c r="B25" i="84"/>
  <c r="D24" i="84"/>
  <c r="B24" i="84"/>
  <c r="D23" i="84"/>
  <c r="B23" i="84"/>
  <c r="D22" i="84"/>
  <c r="B22" i="84"/>
  <c r="D21" i="84"/>
  <c r="B21" i="84"/>
  <c r="D20" i="84"/>
  <c r="B20" i="84"/>
  <c r="D19" i="84"/>
  <c r="B19" i="84"/>
  <c r="D18" i="84"/>
  <c r="B18" i="84"/>
  <c r="D17" i="84"/>
  <c r="B17" i="84"/>
  <c r="D16" i="84"/>
  <c r="B16" i="84"/>
  <c r="D15" i="84"/>
  <c r="B15" i="84"/>
  <c r="D14" i="84"/>
  <c r="B14" i="84"/>
  <c r="D13" i="84"/>
  <c r="B13" i="84"/>
  <c r="D12" i="84"/>
  <c r="B12" i="84"/>
  <c r="D11" i="84"/>
  <c r="B11" i="84"/>
  <c r="D10" i="84"/>
  <c r="B10" i="84"/>
  <c r="D9" i="84"/>
  <c r="B9" i="84"/>
  <c r="D8" i="84"/>
  <c r="B8" i="84"/>
  <c r="B7" i="84"/>
  <c r="D6" i="84"/>
  <c r="B6" i="84"/>
  <c r="D5" i="84"/>
  <c r="B5" i="84"/>
  <c r="B6" i="60"/>
  <c r="E11" i="60"/>
  <c r="D11" i="60"/>
  <c r="D1"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Antonio David</author>
  </authors>
  <commentList>
    <comment ref="D106" authorId="0" shapeId="0" xr:uid="{00000000-0006-0000-0900-000001000000}">
      <text>
        <r>
          <rPr>
            <b/>
            <sz val="8"/>
            <color indexed="81"/>
            <rFont val="Arial"/>
            <family val="2"/>
          </rPr>
          <t>Only totals originally reported to the UNFCCC (or a revised version) should be reported. Eurostat uses totals obtained from the EEA dataset  "National emissions reported to the UNFCCC and to the EU Greenhouse Gas Monitoring Mechanism" as source.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nuno.baptista</author>
    <author>Nuno Baptista</author>
    <author>The Beast</author>
  </authors>
  <commentList>
    <comment ref="AC2" authorId="0" shapeId="0" xr:uid="{00000000-0006-0000-0A00-000001000000}">
      <text>
        <r>
          <rPr>
            <sz val="9"/>
            <color indexed="81"/>
            <rFont val="Tahoma"/>
            <family val="2"/>
          </rPr>
          <t xml:space="preserve">Whenever updating the list of equations, the table in cell K20 needs to be updated accordingly.
</t>
        </r>
      </text>
    </comment>
    <comment ref="AG2" authorId="0" shapeId="0" xr:uid="{00000000-0006-0000-0A00-000002000000}">
      <text>
        <r>
          <rPr>
            <sz val="9"/>
            <color indexed="81"/>
            <rFont val="Tahoma"/>
            <family val="2"/>
          </rPr>
          <t xml:space="preserve">Whenever updating the list of equations, the table in cell K20 needs to be updated accordingly.
</t>
        </r>
      </text>
    </comment>
    <comment ref="F3" authorId="0" shapeId="0" xr:uid="{00000000-0006-0000-0A00-000003000000}">
      <text>
        <r>
          <rPr>
            <sz val="9"/>
            <color indexed="81"/>
            <rFont val="Tahoma"/>
            <family val="2"/>
          </rPr>
          <t>Code to be used in Eurobase</t>
        </r>
      </text>
    </comment>
    <comment ref="G3" authorId="0" shapeId="0" xr:uid="{00000000-0006-0000-0A00-000004000000}">
      <text>
        <r>
          <rPr>
            <sz val="9"/>
            <color indexed="81"/>
            <rFont val="Tahoma"/>
            <family val="2"/>
          </rPr>
          <t>Code of the unit</t>
        </r>
      </text>
    </comment>
    <comment ref="H3" authorId="0" shapeId="0" xr:uid="{00000000-0006-0000-0A00-000005000000}">
      <text>
        <r>
          <rPr>
            <sz val="9"/>
            <color indexed="81"/>
            <rFont val="Tahoma"/>
            <family val="2"/>
          </rPr>
          <t>Name of the worksheet</t>
        </r>
      </text>
    </comment>
    <comment ref="I3" authorId="0" shapeId="0" xr:uid="{00000000-0006-0000-0A00-000006000000}">
      <text>
        <r>
          <rPr>
            <sz val="9"/>
            <color indexed="81"/>
            <rFont val="Tahoma"/>
            <family val="2"/>
          </rPr>
          <t>Label of the pollutant</t>
        </r>
      </text>
    </comment>
    <comment ref="K3" authorId="0" shapeId="0" xr:uid="{00000000-0006-0000-0A00-000007000000}">
      <text>
        <r>
          <rPr>
            <sz val="9"/>
            <color indexed="81"/>
            <rFont val="Tahoma"/>
            <family val="2"/>
          </rPr>
          <t>A type of data table from the column starting in cell E22 needs to be selected here</t>
        </r>
      </text>
    </comment>
    <comment ref="L3" authorId="0" shapeId="0" xr:uid="{00000000-0006-0000-0A00-000008000000}">
      <text>
        <r>
          <rPr>
            <sz val="9"/>
            <color indexed="81"/>
            <rFont val="Tahoma"/>
            <family val="2"/>
          </rPr>
          <t>Number of the row of the first flag</t>
        </r>
      </text>
    </comment>
    <comment ref="M3" authorId="0" shapeId="0" xr:uid="{00000000-0006-0000-0A00-000009000000}">
      <text>
        <r>
          <rPr>
            <sz val="9"/>
            <color indexed="81"/>
            <rFont val="Tahoma"/>
            <family val="2"/>
          </rPr>
          <t>Number of the row in the worksheet "Structure"</t>
        </r>
      </text>
    </comment>
    <comment ref="N3" authorId="0" shapeId="0" xr:uid="{00000000-0006-0000-0A00-00000A000000}">
      <text>
        <r>
          <rPr>
            <sz val="9"/>
            <color indexed="81"/>
            <rFont val="Tahoma"/>
            <family val="2"/>
          </rPr>
          <t>Include here the name of the worksheet for which a value in an given cell should be superior to the same cell in the selected worksheet.</t>
        </r>
      </text>
    </comment>
    <comment ref="P3" authorId="0" shapeId="0" xr:uid="{00000000-0006-0000-0A00-00000B000000}">
      <text>
        <r>
          <rPr>
            <sz val="9"/>
            <color indexed="81"/>
            <rFont val="Tahoma"/>
            <family val="2"/>
          </rPr>
          <t>Code to be used in Eurobase</t>
        </r>
      </text>
    </comment>
    <comment ref="T3" authorId="0" shapeId="0" xr:uid="{00000000-0006-0000-0A00-00000C000000}">
      <text>
        <r>
          <rPr>
            <sz val="9"/>
            <color indexed="81"/>
            <rFont val="Tahoma"/>
            <family val="2"/>
          </rPr>
          <t xml:space="preserve">Type of character accepted. See table in cell J29.
</t>
        </r>
      </text>
    </comment>
    <comment ref="U3" authorId="0" shapeId="0" xr:uid="{00000000-0006-0000-0A00-00000D000000}">
      <text>
        <r>
          <rPr>
            <sz val="9"/>
            <color indexed="81"/>
            <rFont val="Tahoma"/>
            <family val="2"/>
          </rPr>
          <t>Number of the row in the AEA questionnaire</t>
        </r>
      </text>
    </comment>
    <comment ref="V3" authorId="0" shapeId="0" xr:uid="{00000000-0006-0000-0A00-00000E000000}">
      <text>
        <r>
          <rPr>
            <sz val="9"/>
            <color indexed="81"/>
            <rFont val="Tahoma"/>
            <family val="2"/>
          </rPr>
          <t>Number of the row of the superior total</t>
        </r>
      </text>
    </comment>
    <comment ref="W3" authorId="0" shapeId="0" xr:uid="{00000000-0006-0000-0A00-00000F000000}">
      <text>
        <r>
          <rPr>
            <sz val="9"/>
            <color indexed="81"/>
            <rFont val="Tahoma"/>
            <family val="2"/>
          </rPr>
          <t>Annual growth rate to be applied in the plausibility check.</t>
        </r>
      </text>
    </comment>
    <comment ref="X3" authorId="0" shapeId="0" xr:uid="{00000000-0006-0000-0A00-000010000000}">
      <text>
        <r>
          <rPr>
            <sz val="9"/>
            <color indexed="81"/>
            <rFont val="Tahoma"/>
            <family val="2"/>
          </rPr>
          <t>Number of the row to be used as superior total for the plausibility check. The percentage of contribution to the total can be set in the column on the right.</t>
        </r>
      </text>
    </comment>
    <comment ref="Y3" authorId="0" shapeId="0" xr:uid="{00000000-0006-0000-0A00-000011000000}">
      <text>
        <r>
          <rPr>
            <sz val="9"/>
            <color indexed="81"/>
            <rFont val="Tahoma"/>
            <family val="2"/>
          </rPr>
          <t>% of contribution to a superior total to be used as threshold. The row of the total is defined in the column on the left.</t>
        </r>
      </text>
    </comment>
    <comment ref="AD3" authorId="0" shapeId="0" xr:uid="{00000000-0006-0000-0A00-000012000000}">
      <text>
        <r>
          <rPr>
            <sz val="9"/>
            <color indexed="81"/>
            <rFont val="Tahoma"/>
            <family val="2"/>
          </rPr>
          <t>Formula to be applied. The symbol #, followed by a number, indicates the row.</t>
        </r>
      </text>
    </comment>
    <comment ref="AE3" authorId="0" shapeId="0" xr:uid="{00000000-0006-0000-0A00-000013000000}">
      <text>
        <r>
          <rPr>
            <sz val="9"/>
            <color indexed="81"/>
            <rFont val="Tahoma"/>
            <family val="2"/>
          </rPr>
          <t>Number of the row where the consistency check message will be displayed</t>
        </r>
      </text>
    </comment>
    <comment ref="C6" authorId="0" shapeId="0" xr:uid="{00000000-0006-0000-0A00-000014000000}">
      <text>
        <r>
          <rPr>
            <sz val="9"/>
            <color indexed="81"/>
            <rFont val="Tahoma"/>
            <family val="2"/>
          </rPr>
          <t>See column starting in cell E3</t>
        </r>
      </text>
    </comment>
    <comment ref="C7" authorId="0" shapeId="0" xr:uid="{00000000-0006-0000-0A00-000015000000}">
      <text>
        <r>
          <rPr>
            <sz val="9"/>
            <color indexed="81"/>
            <rFont val="Tahoma"/>
            <family val="2"/>
          </rPr>
          <t>see column AC</t>
        </r>
      </text>
    </comment>
    <comment ref="C8" authorId="0" shapeId="0" xr:uid="{00000000-0006-0000-0A00-000016000000}">
      <text>
        <r>
          <rPr>
            <sz val="9"/>
            <color indexed="81"/>
            <rFont val="Tahoma"/>
            <family val="2"/>
          </rPr>
          <t>see column Q</t>
        </r>
      </text>
    </comment>
    <comment ref="C9" authorId="0" shapeId="0" xr:uid="{00000000-0006-0000-0A00-000017000000}">
      <text>
        <r>
          <rPr>
            <sz val="9"/>
            <color indexed="81"/>
            <rFont val="Tahoma"/>
            <family val="2"/>
          </rPr>
          <t>First row with data in the AEA questionnaire</t>
        </r>
      </text>
    </comment>
    <comment ref="C10" authorId="0" shapeId="0" xr:uid="{00000000-0006-0000-0A00-000018000000}">
      <text>
        <r>
          <rPr>
            <sz val="9"/>
            <color indexed="81"/>
            <rFont val="Tahoma"/>
            <family val="2"/>
          </rPr>
          <t xml:space="preserve">First column with data in the AEA questionnaire
</t>
        </r>
      </text>
    </comment>
    <comment ref="C12" authorId="0" shapeId="0" xr:uid="{00000000-0006-0000-0A00-000019000000}">
      <text>
        <r>
          <rPr>
            <sz val="9"/>
            <color indexed="81"/>
            <rFont val="Tahoma"/>
            <family val="2"/>
          </rPr>
          <t xml:space="preserve">Number of the column where the labels are displayed.
</t>
        </r>
      </text>
    </comment>
    <comment ref="C15" authorId="1" shapeId="0" xr:uid="{00000000-0006-0000-0A00-00001A000000}">
      <text>
        <r>
          <rPr>
            <sz val="9"/>
            <color indexed="81"/>
            <rFont val="Tahoma"/>
            <family val="2"/>
          </rPr>
          <t>Add an "X" if it is acceptable that one total equals the sum of the sub-items, even if some of these are 'not available' (i.e. in practice, if 'not available' can be considered zero).</t>
        </r>
      </text>
    </comment>
    <comment ref="C16" authorId="0" shapeId="0" xr:uid="{00000000-0006-0000-0A00-00001B000000}">
      <text>
        <r>
          <rPr>
            <sz val="9"/>
            <color indexed="81"/>
            <rFont val="Tahoma"/>
            <family val="2"/>
          </rPr>
          <t xml:space="preserve">number of pre-defined flags, defined by letters
</t>
        </r>
      </text>
    </comment>
    <comment ref="C17" authorId="0" shapeId="0" xr:uid="{00000000-0006-0000-0A00-00001C000000}">
      <text>
        <r>
          <rPr>
            <sz val="9"/>
            <color indexed="81"/>
            <rFont val="Tahoma"/>
            <family val="2"/>
          </rPr>
          <t>Number of free footnotes, defined by numbers</t>
        </r>
      </text>
    </comment>
    <comment ref="AC17" authorId="2" shapeId="0" xr:uid="{00000000-0006-0000-0A00-00001D000000}">
      <text>
        <r>
          <rPr>
            <sz val="9"/>
            <color indexed="81"/>
            <rFont val="Tahoma"/>
            <family val="2"/>
          </rPr>
          <t xml:space="preserve">These codes are to be considered for the 
Total AEA equals Formula.
AC8
</t>
        </r>
      </text>
    </comment>
    <comment ref="C18" authorId="0" shapeId="0" xr:uid="{00000000-0006-0000-0A00-00001E000000}">
      <text>
        <r>
          <rPr>
            <sz val="9"/>
            <color indexed="81"/>
            <rFont val="Tahoma"/>
            <family val="2"/>
          </rPr>
          <t>see column starting in cell G44</t>
        </r>
      </text>
    </comment>
    <comment ref="C19" authorId="0" shapeId="0" xr:uid="{00000000-0006-0000-0A00-00001F000000}">
      <text>
        <r>
          <rPr>
            <sz val="9"/>
            <color indexed="81"/>
            <rFont val="Tahoma"/>
            <family val="2"/>
          </rPr>
          <t>See column starting in cell E22</t>
        </r>
      </text>
    </comment>
    <comment ref="B24" authorId="1" shapeId="0" xr:uid="{00000000-0006-0000-0A00-000020000000}">
      <text>
        <r>
          <rPr>
            <sz val="9"/>
            <color indexed="81"/>
            <rFont val="Tahoma"/>
            <family val="2"/>
          </rPr>
          <t>Include an "X" to activate the check as defined in cell G68 of this worksheet. Valid only for flags defined as "Eurostat" (see content of column below cell AH3)</t>
        </r>
      </text>
    </comment>
    <comment ref="C25" authorId="2" shapeId="0" xr:uid="{00000000-0006-0000-0A00-000021000000}">
      <text>
        <r>
          <rPr>
            <b/>
            <sz val="9"/>
            <color indexed="81"/>
            <rFont val="Tahoma"/>
            <family val="2"/>
          </rPr>
          <t>AEA pollutants codes</t>
        </r>
      </text>
    </comment>
    <comment ref="E26" authorId="0" shapeId="0" xr:uid="{00000000-0006-0000-0A00-000022000000}">
      <text>
        <r>
          <rPr>
            <sz val="9"/>
            <color indexed="81"/>
            <rFont val="Tahoma"/>
            <family val="2"/>
          </rPr>
          <t>The type of data table from this table needs to be selected in the column starting in cell K4.</t>
        </r>
      </text>
    </comment>
    <comment ref="J26" authorId="0" shapeId="0" xr:uid="{00000000-0006-0000-0A00-000023000000}">
      <text>
        <r>
          <rPr>
            <sz val="9"/>
            <color indexed="81"/>
            <rFont val="Tahoma"/>
            <family val="2"/>
          </rPr>
          <t>Start number for equations in column AD</t>
        </r>
      </text>
    </comment>
    <comment ref="K26" authorId="0" shapeId="0" xr:uid="{00000000-0006-0000-0A00-000024000000}">
      <text>
        <r>
          <rPr>
            <sz val="9"/>
            <color indexed="81"/>
            <rFont val="Tahoma"/>
            <family val="2"/>
          </rPr>
          <t>Number of equations to be used (column AD)</t>
        </r>
      </text>
    </comment>
    <comment ref="I27" authorId="0" shapeId="0" xr:uid="{00000000-0006-0000-0A00-000025000000}">
      <text>
        <r>
          <rPr>
            <sz val="9"/>
            <color indexed="81"/>
            <rFont val="Tahoma"/>
            <family val="2"/>
          </rPr>
          <t>Include an X to check consistency</t>
        </r>
      </text>
    </comment>
    <comment ref="I28" authorId="0" shapeId="0" xr:uid="{00000000-0006-0000-0A00-000026000000}">
      <text>
        <r>
          <rPr>
            <sz val="9"/>
            <color indexed="81"/>
            <rFont val="Tahoma"/>
            <family val="2"/>
          </rPr>
          <t>Include an X to check consistency</t>
        </r>
      </text>
    </comment>
    <comment ref="I29" authorId="0" shapeId="0" xr:uid="{00000000-0006-0000-0A00-000027000000}">
      <text>
        <r>
          <rPr>
            <sz val="9"/>
            <color indexed="81"/>
            <rFont val="Tahoma"/>
            <family val="2"/>
          </rPr>
          <t>Include an X to check consistency</t>
        </r>
      </text>
    </comment>
    <comment ref="J30" authorId="0" shapeId="0" xr:uid="{00000000-0006-0000-0A00-000028000000}">
      <text>
        <r>
          <rPr>
            <sz val="9"/>
            <color indexed="81"/>
            <rFont val="Tahoma"/>
            <family val="2"/>
          </rPr>
          <t xml:space="preserve">To select in column S
</t>
        </r>
      </text>
    </comment>
    <comment ref="K34" authorId="0" shapeId="0" xr:uid="{00000000-0006-0000-0A00-000029000000}">
      <text>
        <r>
          <rPr>
            <sz val="9"/>
            <color indexed="81"/>
            <rFont val="Tahoma"/>
            <family val="2"/>
          </rPr>
          <t>If this type of character is used, the cell will not be checked.</t>
        </r>
      </text>
    </comment>
    <comment ref="K36" authorId="0" shapeId="0" xr:uid="{00000000-0006-0000-0A00-00002A000000}">
      <text>
        <r>
          <rPr>
            <sz val="9"/>
            <color indexed="81"/>
            <rFont val="Tahoma"/>
            <family val="2"/>
          </rPr>
          <t>This type of character should be included in totals for which the sub-totals are always inferior to the total.</t>
        </r>
      </text>
    </comment>
    <comment ref="E38" authorId="0" shapeId="0" xr:uid="{00000000-0006-0000-0A00-00002B000000}">
      <text>
        <r>
          <rPr>
            <sz val="9"/>
            <color indexed="81"/>
            <rFont val="Tahoma"/>
            <family val="2"/>
          </rPr>
          <t>To be selected in cell F7 of the worksheet "structure".</t>
        </r>
      </text>
    </comment>
    <comment ref="J44" authorId="0" shapeId="0" xr:uid="{00000000-0006-0000-0A00-00002C000000}">
      <text>
        <r>
          <rPr>
            <sz val="9"/>
            <color indexed="81"/>
            <rFont val="Tahoma"/>
            <family val="2"/>
          </rPr>
          <t>Include an "X" if you wish to display the text from the previous column</t>
        </r>
      </text>
    </comment>
    <comment ref="E52" authorId="0" shapeId="0" xr:uid="{00000000-0006-0000-0A00-00002D000000}">
      <text>
        <r>
          <rPr>
            <sz val="9"/>
            <color indexed="81"/>
            <rFont val="Tahoma"/>
            <family val="2"/>
          </rPr>
          <t>To be selected in cell F8 of the worksheet "structure".</t>
        </r>
      </text>
    </comment>
    <comment ref="E53" authorId="0" shapeId="0" xr:uid="{00000000-0006-0000-0A00-00002E000000}">
      <text>
        <r>
          <rPr>
            <sz val="9"/>
            <color indexed="81"/>
            <rFont val="Tahoma"/>
            <family val="2"/>
          </rPr>
          <t>round the values and then sum them</t>
        </r>
      </text>
    </comment>
    <comment ref="E54" authorId="0" shapeId="0" xr:uid="{00000000-0006-0000-0A00-00002F000000}">
      <text>
        <r>
          <rPr>
            <sz val="9"/>
            <color indexed="81"/>
            <rFont val="Tahoma"/>
            <family val="2"/>
          </rPr>
          <t>sum the values and then round the sum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Hart, Evan</author>
    <author>Antonio David</author>
  </authors>
  <commentList>
    <comment ref="AL45" authorId="0" shapeId="0" xr:uid="{27494EDA-B4C2-45DC-A907-30119B095E7C}">
      <text>
        <r>
          <rPr>
            <sz val="9"/>
            <color indexed="81"/>
            <rFont val="Tahoma"/>
            <family val="2"/>
          </rPr>
          <t>Growth rate = 38% (Threshold +/-30%)</t>
        </r>
      </text>
    </comment>
    <comment ref="AT45" authorId="0" shapeId="0" xr:uid="{B2447EA1-D6CC-4B84-9926-6FC803343B7A}">
      <text>
        <r>
          <rPr>
            <sz val="9"/>
            <color indexed="81"/>
            <rFont val="Tahoma"/>
            <family val="2"/>
          </rPr>
          <t>Growth rate = 32% (Threshold +/-30%)</t>
        </r>
      </text>
    </comment>
    <comment ref="AV45" authorId="0" shapeId="0" xr:uid="{906A0AFF-1971-471F-A8A1-4DB45C7D112F}">
      <text>
        <r>
          <rPr>
            <sz val="9"/>
            <color indexed="81"/>
            <rFont val="Tahoma"/>
            <family val="2"/>
          </rPr>
          <t>Growth rate = -31% (Threshold +/-30%)</t>
        </r>
      </text>
    </comment>
    <comment ref="AL99" authorId="0" shapeId="0" xr:uid="{598E96F1-CF8A-4004-A01B-EC381557A721}">
      <text>
        <r>
          <rPr>
            <sz val="9"/>
            <color indexed="81"/>
            <rFont val="Tahoma"/>
            <family val="2"/>
          </rPr>
          <t>Growth rate = 64% (Threshold +/-50%)</t>
        </r>
      </text>
    </comment>
    <comment ref="AT99" authorId="0" shapeId="0" xr:uid="{FF442F8C-68C3-40C5-BD7D-71FD7015E6FE}">
      <text>
        <r>
          <rPr>
            <sz val="9"/>
            <color indexed="81"/>
            <rFont val="Tahoma"/>
            <family val="2"/>
          </rPr>
          <t>Growth rate = 54% (Threshold +/-50%)</t>
        </r>
      </text>
    </comment>
    <comment ref="AJ104" authorId="0" shapeId="0" xr:uid="{E19CFA11-7995-4C6B-BB6E-57EC6808AE76}">
      <text>
        <r>
          <rPr>
            <sz val="9"/>
            <color indexed="81"/>
            <rFont val="Tahoma"/>
            <family val="2"/>
          </rPr>
          <t>Growth rate = 100% (Threshold +/-50%)</t>
        </r>
      </text>
    </comment>
    <comment ref="D106" authorId="1" shapeId="0" xr:uid="{00000000-0006-0000-0B00-000001000000}">
      <text>
        <r>
          <rPr>
            <b/>
            <sz val="8"/>
            <color indexed="81"/>
            <rFont val="Arial"/>
            <family val="2"/>
          </rPr>
          <t>Only totals originally reported to the UNFCCC (or a revised version) should be reported. Eurostat uses totals obtained from the EEA dataset  "National emissions reported to the UNFCCC and to the EU Greenhouse Gas Monitoring Mechanism" as source.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Hart, Evan</author>
    <author>Antonio David</author>
  </authors>
  <commentList>
    <comment ref="BB7" authorId="0" shapeId="0" xr:uid="{01991193-8703-4469-955E-D941C9D43680}">
      <text>
        <r>
          <rPr>
            <sz val="9"/>
            <color indexed="81"/>
            <rFont val="Tahoma"/>
            <family val="2"/>
          </rPr>
          <t>Growth rate = 228% (Threshold +/-80%)</t>
        </r>
      </text>
    </comment>
    <comment ref="AV8" authorId="0" shapeId="0" xr:uid="{2189CF79-F5B4-4839-A13B-BB2D2DE6EE93}">
      <text>
        <r>
          <rPr>
            <sz val="9"/>
            <color indexed="81"/>
            <rFont val="Tahoma"/>
            <family val="2"/>
          </rPr>
          <t>Growth rate = 146% (Threshold +/-80%)</t>
        </r>
      </text>
    </comment>
    <comment ref="AJ11" authorId="0" shapeId="0" xr:uid="{DDDAC54D-1AE2-411F-A6A6-3AA9BA48436B}">
      <text>
        <r>
          <rPr>
            <sz val="9"/>
            <color indexed="81"/>
            <rFont val="Tahoma"/>
            <family val="2"/>
          </rPr>
          <t>Growth rate = 32% (Threshold +/-30%)</t>
        </r>
      </text>
    </comment>
    <comment ref="AR11" authorId="0" shapeId="0" xr:uid="{68AE84F2-FF8D-4B1F-9DC1-641B6CE79050}">
      <text>
        <r>
          <rPr>
            <sz val="9"/>
            <color indexed="81"/>
            <rFont val="Tahoma"/>
            <family val="2"/>
          </rPr>
          <t>Growth rate = -49% (Threshold +/-30%)</t>
        </r>
      </text>
    </comment>
    <comment ref="AP18" authorId="0" shapeId="0" xr:uid="{836D227F-CDBA-40F7-99FE-1D6B84F39ADA}">
      <text>
        <r>
          <rPr>
            <sz val="9"/>
            <color indexed="81"/>
            <rFont val="Tahoma"/>
            <family val="2"/>
          </rPr>
          <t>Growth rate = 92% (Threshold +/-80%)</t>
        </r>
      </text>
    </comment>
    <comment ref="AJ36" authorId="0" shapeId="0" xr:uid="{CD419BC4-4F22-4F2B-8340-BEC924A1CACB}">
      <text>
        <r>
          <rPr>
            <sz val="9"/>
            <color indexed="81"/>
            <rFont val="Tahoma"/>
            <family val="2"/>
          </rPr>
          <t>Growth rate = 76% (Threshold +/-30%)</t>
        </r>
      </text>
    </comment>
    <comment ref="BF36" authorId="0" shapeId="0" xr:uid="{1215B147-1A1D-4DBC-B81D-179301F3826E}">
      <text>
        <r>
          <rPr>
            <sz val="9"/>
            <color indexed="81"/>
            <rFont val="Tahoma"/>
            <family val="2"/>
          </rPr>
          <t>Growth rate = 33% (Threshold +/-30%)</t>
        </r>
      </text>
    </comment>
    <comment ref="AV45" authorId="0" shapeId="0" xr:uid="{7C07619D-8D5B-4659-B4C6-653FACE961E7}">
      <text>
        <r>
          <rPr>
            <sz val="9"/>
            <color indexed="81"/>
            <rFont val="Tahoma"/>
            <family val="2"/>
          </rPr>
          <t>Growth rate = 99% (Threshold +/-30%)</t>
        </r>
      </text>
    </comment>
    <comment ref="AX45" authorId="0" shapeId="0" xr:uid="{01EC759C-4A2A-41BC-9F08-9D050A7E2C88}">
      <text>
        <r>
          <rPr>
            <sz val="9"/>
            <color indexed="81"/>
            <rFont val="Tahoma"/>
            <family val="2"/>
          </rPr>
          <t>Growth rate = 58% (Threshold +/-30%)</t>
        </r>
      </text>
    </comment>
    <comment ref="AV46" authorId="0" shapeId="0" xr:uid="{0105E367-5E02-4B3C-BFD6-CDF38CB2471E}">
      <text>
        <r>
          <rPr>
            <sz val="9"/>
            <color indexed="81"/>
            <rFont val="Tahoma"/>
            <family val="2"/>
          </rPr>
          <t>Growth rate = 96% (Threshold +/-80%)</t>
        </r>
      </text>
    </comment>
    <comment ref="D106" authorId="1" shapeId="0" xr:uid="{00000000-0006-0000-0D00-000001000000}">
      <text>
        <r>
          <rPr>
            <b/>
            <sz val="8"/>
            <color indexed="81"/>
            <rFont val="Arial"/>
            <family val="2"/>
          </rPr>
          <t>Only totals originally reported to the UNFCCC (or a revised version) should be reported. Eurostat uses totals obtained from the EEA dataset  "National emissions reported to the UNFCCC and to the EU Greenhouse Gas Monitoring Mechanism" as source.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Hart, Evan</author>
    <author>Antonio David</author>
  </authors>
  <commentList>
    <comment ref="AH11" authorId="0" shapeId="0" xr:uid="{D450AD49-FDD7-46A5-9CEC-97622AB302C4}">
      <text>
        <r>
          <rPr>
            <sz val="9"/>
            <color indexed="81"/>
            <rFont val="Tahoma"/>
            <family val="2"/>
          </rPr>
          <t>Growth rate = -46% (Threshold +/-30%)</t>
        </r>
      </text>
    </comment>
    <comment ref="AL99" authorId="0" shapeId="0" xr:uid="{8645FF5B-652C-40B4-9CCB-AF22E92CA161}">
      <text>
        <r>
          <rPr>
            <sz val="9"/>
            <color indexed="81"/>
            <rFont val="Tahoma"/>
            <family val="2"/>
          </rPr>
          <t>Growth rate = 64% (Threshold +/-50%)</t>
        </r>
      </text>
    </comment>
    <comment ref="AT99" authorId="0" shapeId="0" xr:uid="{F9436B4C-7F44-45A9-A6FE-35B4992B2046}">
      <text>
        <r>
          <rPr>
            <sz val="9"/>
            <color indexed="81"/>
            <rFont val="Tahoma"/>
            <family val="2"/>
          </rPr>
          <t>Growth rate = 54% (Threshold +/-50%)</t>
        </r>
      </text>
    </comment>
    <comment ref="AJ104" authorId="0" shapeId="0" xr:uid="{A02F753D-D35E-4830-9297-44BBA170E609}">
      <text>
        <r>
          <rPr>
            <sz val="9"/>
            <color indexed="81"/>
            <rFont val="Tahoma"/>
            <family val="2"/>
          </rPr>
          <t>Growth rate = 100% (Threshold +/-50%)</t>
        </r>
      </text>
    </comment>
    <comment ref="D106" authorId="1" shapeId="0" xr:uid="{00000000-0006-0000-0E00-000001000000}">
      <text>
        <r>
          <rPr>
            <b/>
            <sz val="8"/>
            <color indexed="81"/>
            <rFont val="Arial"/>
            <family val="2"/>
          </rPr>
          <t>Only totals originally reported to the UNFCCC (or a revised version) should be reported. Eurostat uses totals obtained from the EEA dataset  "National emissions reported to the UNFCCC and to the EU Greenhouse Gas Monitoring Mechanism" as source.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Hart, Evan</author>
    <author>Antonio David</author>
  </authors>
  <commentList>
    <comment ref="BB36" authorId="0" shapeId="0" xr:uid="{E827F5FD-FCFC-4D7B-9876-656CE13BFC5B}">
      <text>
        <r>
          <rPr>
            <sz val="9"/>
            <color indexed="81"/>
            <rFont val="Tahoma"/>
            <family val="2"/>
          </rPr>
          <t>Growth rate = 56% (Threshold +/-30%)</t>
        </r>
      </text>
    </comment>
    <comment ref="AX64" authorId="0" shapeId="0" xr:uid="{A885FA28-FEF9-4966-9BDA-D7F3481BD26A}">
      <text>
        <r>
          <rPr>
            <sz val="9"/>
            <color indexed="81"/>
            <rFont val="Tahoma"/>
            <family val="2"/>
          </rPr>
          <t>Growth rate = 140% (Threshold +/-30%)</t>
        </r>
      </text>
    </comment>
    <comment ref="AZ64" authorId="0" shapeId="0" xr:uid="{19D7E865-0D6B-451A-B03F-6293B0989604}">
      <text>
        <r>
          <rPr>
            <sz val="9"/>
            <color indexed="81"/>
            <rFont val="Tahoma"/>
            <family val="2"/>
          </rPr>
          <t>Growth rate = -58% (Threshold +/-30%)</t>
        </r>
      </text>
    </comment>
    <comment ref="AX68" authorId="0" shapeId="0" xr:uid="{65D2E237-4769-4FD1-996E-3D5E6E95F894}">
      <text>
        <r>
          <rPr>
            <sz val="9"/>
            <color indexed="81"/>
            <rFont val="Tahoma"/>
            <family val="2"/>
          </rPr>
          <t>Growth rate = 140% (Threshold +/-80%)</t>
        </r>
      </text>
    </comment>
    <comment ref="AT91" authorId="0" shapeId="0" xr:uid="{8AD6A045-74A5-4393-B2F2-FBB494A4CFDC}">
      <text>
        <r>
          <rPr>
            <sz val="9"/>
            <color indexed="81"/>
            <rFont val="Tahoma"/>
            <family val="2"/>
          </rPr>
          <t>Growth rate = 411% (Threshold +/-30%)</t>
        </r>
      </text>
    </comment>
    <comment ref="AL94" authorId="0" shapeId="0" xr:uid="{5EB561D0-586D-4D41-93D9-4FF928D78DA6}">
      <text>
        <r>
          <rPr>
            <sz val="9"/>
            <color indexed="81"/>
            <rFont val="Tahoma"/>
            <family val="2"/>
          </rPr>
          <t>Growth rate = -37% (Threshold +/-30%)</t>
        </r>
      </text>
    </comment>
    <comment ref="AT94" authorId="0" shapeId="0" xr:uid="{3AC9318A-792A-409D-AB60-D8F2AE36F669}">
      <text>
        <r>
          <rPr>
            <sz val="9"/>
            <color indexed="81"/>
            <rFont val="Tahoma"/>
            <family val="2"/>
          </rPr>
          <t>Growth rate = 411% (Threshold +/-30%)</t>
        </r>
      </text>
    </comment>
    <comment ref="D106" authorId="1" shapeId="0" xr:uid="{00000000-0006-0000-1200-000001000000}">
      <text>
        <r>
          <rPr>
            <b/>
            <sz val="8"/>
            <color indexed="81"/>
            <rFont val="Arial"/>
            <family val="2"/>
          </rPr>
          <t>Only totals originally reported to the UNFCCC (or a revised version) should be reported. Eurostat uses totals obtained from the EEA dataset  "National emissions reported to the UNFCCC and to the EU Greenhouse Gas Monitoring Mechanism" as source.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Hart, Evan</author>
    <author>Antonio David</author>
  </authors>
  <commentList>
    <comment ref="AL99" authorId="0" shapeId="0" xr:uid="{761BC4F3-EC64-4473-92A0-2C01B51A5F97}">
      <text>
        <r>
          <rPr>
            <sz val="9"/>
            <color indexed="81"/>
            <rFont val="Tahoma"/>
            <family val="2"/>
          </rPr>
          <t>Growth rate = 64% (Threshold +/-50%)</t>
        </r>
      </text>
    </comment>
    <comment ref="AT99" authorId="0" shapeId="0" xr:uid="{E5D98363-F661-4964-A4B5-4CD223CAF08E}">
      <text>
        <r>
          <rPr>
            <sz val="9"/>
            <color indexed="81"/>
            <rFont val="Tahoma"/>
            <family val="2"/>
          </rPr>
          <t>Growth rate = 214% (Threshold +/-50%)</t>
        </r>
      </text>
    </comment>
    <comment ref="AL103" authorId="0" shapeId="0" xr:uid="{636461F9-2C19-420E-8B30-155DDD4966E8}">
      <text>
        <r>
          <rPr>
            <sz val="9"/>
            <color indexed="81"/>
            <rFont val="Tahoma"/>
            <family val="2"/>
          </rPr>
          <t>Growth rate = 105% (Threshold +/-50%)</t>
        </r>
      </text>
    </comment>
    <comment ref="AV103" authorId="0" shapeId="0" xr:uid="{BC17B526-1668-4EEF-B025-76E36A6DCCC5}">
      <text>
        <r>
          <rPr>
            <sz val="9"/>
            <color indexed="81"/>
            <rFont val="Tahoma"/>
            <family val="2"/>
          </rPr>
          <t>Growth rate = 63% (Threshold +/-50%)</t>
        </r>
      </text>
    </comment>
    <comment ref="AJ104" authorId="0" shapeId="0" xr:uid="{E698A423-F02C-4FCB-9CFA-BD06C1C0E870}">
      <text>
        <r>
          <rPr>
            <sz val="9"/>
            <color indexed="81"/>
            <rFont val="Tahoma"/>
            <family val="2"/>
          </rPr>
          <t>Growth rate = 100% (Threshold +/-50%)</t>
        </r>
      </text>
    </comment>
    <comment ref="BD104" authorId="0" shapeId="0" xr:uid="{745D89DF-7C10-4DBC-A1E4-0EFC814D15C1}">
      <text>
        <r>
          <rPr>
            <sz val="9"/>
            <color indexed="81"/>
            <rFont val="Tahoma"/>
            <family val="2"/>
          </rPr>
          <t>Growth rate = 82% (Threshold +/-50%)</t>
        </r>
      </text>
    </comment>
    <comment ref="D106" authorId="1" shapeId="0" xr:uid="{00000000-0006-0000-0F00-000001000000}">
      <text>
        <r>
          <rPr>
            <b/>
            <sz val="8"/>
            <color indexed="81"/>
            <rFont val="Arial"/>
            <family val="2"/>
          </rPr>
          <t>Only totals originally reported to the UNFCCC (or a revised version) should be reported. Eurostat uses totals obtained from the EEA dataset  "National emissions reported to the UNFCCC and to the EU Greenhouse Gas Monitoring Mechanism" as source.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Hart, Evan</author>
    <author>Antonio David</author>
  </authors>
  <commentList>
    <comment ref="BB12" authorId="0" shapeId="0" xr:uid="{7C3686D3-9EE2-4CBC-B036-B37E21924AC5}">
      <text>
        <r>
          <rPr>
            <sz val="9"/>
            <color indexed="81"/>
            <rFont val="Tahoma"/>
            <family val="2"/>
          </rPr>
          <t>Growth rate = -81% (Threshold +/-80%)</t>
        </r>
      </text>
    </comment>
    <comment ref="AH37" authorId="0" shapeId="0" xr:uid="{A359F4A2-B40C-4275-867C-AD34491DF673}">
      <text>
        <r>
          <rPr>
            <sz val="9"/>
            <color indexed="81"/>
            <rFont val="Tahoma"/>
            <family val="2"/>
          </rPr>
          <t>Growth rate = 37% (Threshold +/-30%)</t>
        </r>
      </text>
    </comment>
    <comment ref="D106" authorId="1" shapeId="0" xr:uid="{00000000-0006-0000-1000-000001000000}">
      <text>
        <r>
          <rPr>
            <b/>
            <sz val="8"/>
            <color indexed="81"/>
            <rFont val="Arial"/>
            <family val="2"/>
          </rPr>
          <t>Only totals originally reported to the UNFCCC (or a revised version) should be reported. Eurostat uses totals obtained from the EEA dataset  "National emissions reported to the UNFCCC and to the EU Greenhouse Gas Monitoring Mechanism" as source.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Hart, Evan</author>
    <author>Antonio David</author>
  </authors>
  <commentList>
    <comment ref="AH11" authorId="0" shapeId="0" xr:uid="{F654E403-D88A-4BF0-8CBF-37572586D005}">
      <text>
        <r>
          <rPr>
            <sz val="9"/>
            <color indexed="81"/>
            <rFont val="Tahoma"/>
            <family val="2"/>
          </rPr>
          <t>Growth rate = -51% (Threshold +/-30%)</t>
        </r>
      </text>
    </comment>
    <comment ref="AJ11" authorId="0" shapeId="0" xr:uid="{E21CDCC9-D67E-4C6A-B426-EDD7047532EB}">
      <text>
        <r>
          <rPr>
            <sz val="9"/>
            <color indexed="81"/>
            <rFont val="Tahoma"/>
            <family val="2"/>
          </rPr>
          <t>Growth rate = -46% (Threshold +/-30%)</t>
        </r>
      </text>
    </comment>
    <comment ref="BF11" authorId="0" shapeId="0" xr:uid="{9F4791E5-DD66-474B-B31D-EECE58F03A82}">
      <text>
        <r>
          <rPr>
            <sz val="9"/>
            <color indexed="81"/>
            <rFont val="Tahoma"/>
            <family val="2"/>
          </rPr>
          <t>Growth rate = 53% (Threshold +/-30%)</t>
        </r>
      </text>
    </comment>
    <comment ref="D106" authorId="1" shapeId="0" xr:uid="{00000000-0006-0000-1100-000001000000}">
      <text>
        <r>
          <rPr>
            <b/>
            <sz val="8"/>
            <color indexed="81"/>
            <rFont val="Arial"/>
            <family val="2"/>
          </rPr>
          <t>Only totals originally reported to the UNFCCC (or a revised version) should be reported. Eurostat uses totals obtained from the EEA dataset  "National emissions reported to the UNFCCC and to the EU Greenhouse Gas Monitoring Mechanism" as source.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Hart, Evan</author>
    <author>Antonio David</author>
  </authors>
  <commentList>
    <comment ref="AL45" authorId="0" shapeId="0" xr:uid="{9532BF97-E943-4A99-AF45-876C76C3AE0C}">
      <text>
        <r>
          <rPr>
            <sz val="9"/>
            <color indexed="81"/>
            <rFont val="Tahoma"/>
            <family val="2"/>
          </rPr>
          <t>Growth rate = 38% (Threshold +/-30%)</t>
        </r>
      </text>
    </comment>
    <comment ref="AT45" authorId="0" shapeId="0" xr:uid="{F3841322-6883-446D-B064-3BA3F6A09BFC}">
      <text>
        <r>
          <rPr>
            <sz val="9"/>
            <color indexed="81"/>
            <rFont val="Tahoma"/>
            <family val="2"/>
          </rPr>
          <t>Growth rate = 32% (Threshold +/-30%)</t>
        </r>
      </text>
    </comment>
    <comment ref="AV45" authorId="0" shapeId="0" xr:uid="{F204ED15-C534-40AD-8DA2-3C073312720D}">
      <text>
        <r>
          <rPr>
            <sz val="9"/>
            <color indexed="81"/>
            <rFont val="Tahoma"/>
            <family val="2"/>
          </rPr>
          <t>Growth rate = -31% (Threshold +/-30%)</t>
        </r>
      </text>
    </comment>
    <comment ref="AL99" authorId="0" shapeId="0" xr:uid="{F70178AC-387D-4F5D-BDF0-A5B0F7755E99}">
      <text>
        <r>
          <rPr>
            <sz val="9"/>
            <color indexed="81"/>
            <rFont val="Tahoma"/>
            <family val="2"/>
          </rPr>
          <t>Growth rate = 64% (Threshold +/-50%)</t>
        </r>
      </text>
    </comment>
    <comment ref="AT99" authorId="0" shapeId="0" xr:uid="{3E3E0E6F-172A-4031-B607-F2DE156D60A1}">
      <text>
        <r>
          <rPr>
            <sz val="9"/>
            <color indexed="81"/>
            <rFont val="Tahoma"/>
            <family val="2"/>
          </rPr>
          <t>Growth rate = 54% (Threshold +/-50%)</t>
        </r>
      </text>
    </comment>
    <comment ref="AJ104" authorId="0" shapeId="0" xr:uid="{A012B7B9-2368-4032-9D05-BDC582541161}">
      <text>
        <r>
          <rPr>
            <sz val="9"/>
            <color indexed="81"/>
            <rFont val="Tahoma"/>
            <family val="2"/>
          </rPr>
          <t>Growth rate = 100% (Threshold +/-50%)</t>
        </r>
      </text>
    </comment>
    <comment ref="D106" authorId="1" shapeId="0" xr:uid="{0E53FBEB-8129-4646-A921-075074F3DFD8}">
      <text>
        <r>
          <rPr>
            <b/>
            <sz val="8"/>
            <color indexed="81"/>
            <rFont val="Arial"/>
            <family val="2"/>
          </rPr>
          <t>Only totals originally reported to the UNFCCC (or a revised version) should be reported. Eurostat uses totals obtained from the EEA dataset  "National emissions reported to the UNFCCC and to the EU Greenhouse Gas Monitoring Mechanism" as source.</t>
        </r>
      </text>
    </comment>
  </commentList>
</comments>
</file>

<file path=xl/sharedStrings.xml><?xml version="1.0" encoding="utf-8"?>
<sst xmlns="http://schemas.openxmlformats.org/spreadsheetml/2006/main" count="4856" uniqueCount="1188">
  <si>
    <t>NO</t>
  </si>
  <si>
    <t>Air Emissions Accounts Questionnaire</t>
  </si>
  <si>
    <t>INTRODUCTION</t>
  </si>
  <si>
    <t>This is Eurostat's electronic questionnaire for Air emissions accounts (AEA questionnaire). The questionnaire includes 14 mandatory data sheets and 5 voluntary data sheets  to be completed. For detailed instruction on filling out the questionnaire see sheet 'instructions' and 'instructions for road sheets'.</t>
  </si>
  <si>
    <t>Please select your country:</t>
  </si>
  <si>
    <t>Norway</t>
  </si>
  <si>
    <t>Deadline for returning back this electronic questionnaire is:</t>
  </si>
  <si>
    <t>Please, submit this electronic questionnaire to Eurostat using the eDAMIS reporting system. Use the following details:</t>
  </si>
  <si>
    <r>
      <t xml:space="preserve">Domain name: </t>
    </r>
    <r>
      <rPr>
        <b/>
        <sz val="10"/>
        <color indexed="10"/>
        <rFont val="Arial"/>
        <family val="2"/>
      </rPr>
      <t>ENVDATA</t>
    </r>
  </si>
  <si>
    <t xml:space="preserve"> </t>
  </si>
  <si>
    <r>
      <t xml:space="preserve">Data set name: </t>
    </r>
    <r>
      <rPr>
        <b/>
        <sz val="10"/>
        <color indexed="10"/>
        <rFont val="Arial"/>
        <family val="2"/>
      </rPr>
      <t>ENVDATA_AEA_A</t>
    </r>
  </si>
  <si>
    <r>
      <t>End of (mandatory) reference period</t>
    </r>
    <r>
      <rPr>
        <b/>
        <sz val="10"/>
        <rFont val="Arial"/>
        <family val="2"/>
      </rPr>
      <t>:</t>
    </r>
    <r>
      <rPr>
        <b/>
        <sz val="10"/>
        <color indexed="10"/>
        <rFont val="Arial"/>
        <family val="2"/>
      </rPr>
      <t xml:space="preserve"> 2021</t>
    </r>
  </si>
  <si>
    <t>The eDAMIS system has been installed in the National Statistical Institutes and your local eDAMIS coordinator will give you a user-id and password.</t>
  </si>
  <si>
    <r>
      <t xml:space="preserve">Should you have any questions regarding data transmission do not hesitate to contact your local eDAMIS coordinator or the Eurostat eDAMIS helpdesk at: </t>
    </r>
    <r>
      <rPr>
        <b/>
        <sz val="10"/>
        <color indexed="12"/>
        <rFont val="Arial"/>
        <family val="2"/>
      </rPr>
      <t>estat-support-edamis@ec.europa.eu</t>
    </r>
    <r>
      <rPr>
        <sz val="10"/>
        <rFont val="Arial"/>
        <family val="2"/>
      </rPr>
      <t xml:space="preserve"> or call (+352) 4301 33213</t>
    </r>
  </si>
  <si>
    <r>
      <t>Who is the primary contact point for air emissions accounts in your country?</t>
    </r>
    <r>
      <rPr>
        <i/>
        <sz val="10"/>
        <rFont val="Arial"/>
        <family val="2"/>
      </rPr>
      <t xml:space="preserve"> (institution, unit, name, email, telephone)</t>
    </r>
  </si>
  <si>
    <t>STRUCTURE OF QUESTIONNAIRE</t>
  </si>
  <si>
    <t>Number of decimals shown in data tables</t>
  </si>
  <si>
    <t>3 decimals</t>
  </si>
  <si>
    <t>Calculation Method (based on number of decimals)</t>
  </si>
  <si>
    <t>ROUND(SUM(V))</t>
  </si>
  <si>
    <t>Sheet</t>
  </si>
  <si>
    <t>Title</t>
  </si>
  <si>
    <t>Content</t>
  </si>
  <si>
    <t>Type</t>
  </si>
  <si>
    <t>intro</t>
  </si>
  <si>
    <t>for information</t>
  </si>
  <si>
    <t>structure</t>
  </si>
  <si>
    <t>Structure of questionnaire</t>
  </si>
  <si>
    <t>Provides an overview of this electronic EXCEL workbook</t>
  </si>
  <si>
    <t>instructions</t>
  </si>
  <si>
    <t>Instructions for completing the AEA questionnaire and overview of the checking rules</t>
  </si>
  <si>
    <t>Provides instructions for completing the AEA questionnaire and gives an overview of the checking rules</t>
  </si>
  <si>
    <t>instructions for ROAD sheets</t>
  </si>
  <si>
    <t>Instructions for completing sheets CO2_ROAD, NOx_ROAD, NMVOC_ROAD, PM10_ROAD, PM2.5_ROAD</t>
  </si>
  <si>
    <t>Provide instructions for completing sheets CO2_ROAD, NOx_ROAD, NMVOC_ROAD, PM10_ROAD, PM2.5_ROAD</t>
  </si>
  <si>
    <t>footnote instructions</t>
  </si>
  <si>
    <t xml:space="preserve">Instructions for reporting of the footnotes </t>
  </si>
  <si>
    <t xml:space="preserve">Provides instructions for SDMX compliant reporting of footnotes  </t>
  </si>
  <si>
    <t>footnote_list</t>
  </si>
  <si>
    <t>List of footnotes</t>
  </si>
  <si>
    <t>Please insert footnote texts for each footnote symbol you use in the pollutants' tables</t>
  </si>
  <si>
    <r>
      <t xml:space="preserve">CO2 </t>
    </r>
    <r>
      <rPr>
        <vertAlign val="superscript"/>
        <sz val="10"/>
        <rFont val="Arial"/>
        <family val="2"/>
      </rPr>
      <t>[1]</t>
    </r>
  </si>
  <si>
    <t>Emissions of carbon dioxide (without emissions from biomass) by economic activity and households and bridging items between Air Emissions Accounts totals and UNFCCC totals</t>
  </si>
  <si>
    <r>
      <t>Data sheet for CO</t>
    </r>
    <r>
      <rPr>
        <vertAlign val="subscript"/>
        <sz val="10"/>
        <rFont val="Arial"/>
        <family val="2"/>
      </rPr>
      <t>2</t>
    </r>
    <r>
      <rPr>
        <sz val="10"/>
        <rFont val="Arial"/>
        <family val="2"/>
      </rPr>
      <t>-emissions (without emissions from biomass)
[thousand tonnes]</t>
    </r>
  </si>
  <si>
    <t>Checking results:_x000D_
    - 1330 Symbol error(s) (figures or footnotes)_x000D_
    - 6 Plausibility issue(s)</t>
  </si>
  <si>
    <r>
      <t xml:space="preserve">CO2_ROAD </t>
    </r>
    <r>
      <rPr>
        <vertAlign val="superscript"/>
        <sz val="10"/>
        <rFont val="Arial"/>
        <family val="2"/>
      </rPr>
      <t>[1]</t>
    </r>
  </si>
  <si>
    <r>
      <t xml:space="preserve">Emissions of carbon dioxide (without emissions from biomass) from </t>
    </r>
    <r>
      <rPr>
        <b/>
        <sz val="10"/>
        <rFont val="Arial"/>
        <family val="2"/>
      </rPr>
      <t>road transpor</t>
    </r>
    <r>
      <rPr>
        <sz val="10"/>
        <rFont val="Arial"/>
        <family val="2"/>
      </rPr>
      <t>t by economic activity and households and bridging items between Air Emissions Accounts totals and UNFCCC total for road transport (CRF 1.A.3.b).</t>
    </r>
  </si>
  <si>
    <r>
      <t>Data sheet for CO</t>
    </r>
    <r>
      <rPr>
        <vertAlign val="subscript"/>
        <sz val="10"/>
        <rFont val="Arial"/>
        <family val="2"/>
      </rPr>
      <t>2</t>
    </r>
    <r>
      <rPr>
        <sz val="10"/>
        <rFont val="Arial"/>
        <family val="2"/>
      </rPr>
      <t>-emissions from road transport (without emissions from biomass)
[thousand tonnes]</t>
    </r>
  </si>
  <si>
    <t>Checking results:_x000D_
    - 1260 Symbol error(s) (figures or footnotes)_x000D_
    - 4 Plausibility issue(s)</t>
  </si>
  <si>
    <r>
      <t xml:space="preserve">Biomass CO2 </t>
    </r>
    <r>
      <rPr>
        <vertAlign val="superscript"/>
        <sz val="10"/>
        <rFont val="Arial"/>
        <family val="2"/>
      </rPr>
      <t>[1]</t>
    </r>
  </si>
  <si>
    <t>Emissions of carbon dioxide from biomass by economic activity and households and bridging items between Air Emissions Accounts totals and UNFCCC totals</t>
  </si>
  <si>
    <r>
      <t>Data sheet for CO</t>
    </r>
    <r>
      <rPr>
        <vertAlign val="subscript"/>
        <sz val="10"/>
        <rFont val="Arial"/>
        <family val="2"/>
      </rPr>
      <t>2</t>
    </r>
    <r>
      <rPr>
        <sz val="10"/>
        <rFont val="Arial"/>
        <family val="2"/>
      </rPr>
      <t>-emissions from biomass
[thousand tonnes]</t>
    </r>
  </si>
  <si>
    <t>Checking results:_x000D_
    - 1330 Symbol error(s) (figures or footnotes)_x000D_
    - 10 Plausibility issue(s)</t>
  </si>
  <si>
    <t>N2O</t>
  </si>
  <si>
    <t>Emissions of nitrous oxide by economic activity and households and bridging items between Air Emissions Accounts totals and UNFCCC totals</t>
  </si>
  <si>
    <r>
      <t>Data sheet for N</t>
    </r>
    <r>
      <rPr>
        <vertAlign val="subscript"/>
        <sz val="10"/>
        <rFont val="Arial"/>
        <family val="2"/>
      </rPr>
      <t>2</t>
    </r>
    <r>
      <rPr>
        <sz val="10"/>
        <rFont val="Arial"/>
        <family val="2"/>
      </rPr>
      <t>O-emissions
[tonnes]</t>
    </r>
  </si>
  <si>
    <t>Checking results:_x000D_
    - 1330 Symbol error(s) (figures or footnotes)_x000D_
    - 4 Plausibility issue(s)</t>
  </si>
  <si>
    <t>CH4</t>
  </si>
  <si>
    <t>Emissions of methane by economic activity and households and bridging items between Air Emissions Accounts totals and UNFCCC totals</t>
  </si>
  <si>
    <r>
      <t>Data sheet for CH</t>
    </r>
    <r>
      <rPr>
        <vertAlign val="subscript"/>
        <sz val="10"/>
        <rFont val="Arial"/>
        <family val="2"/>
      </rPr>
      <t>4</t>
    </r>
    <r>
      <rPr>
        <sz val="10"/>
        <rFont val="Arial"/>
        <family val="2"/>
      </rPr>
      <t>-emissions
[tonnes]</t>
    </r>
  </si>
  <si>
    <t>HFC</t>
  </si>
  <si>
    <t>Emissions of hydrofluorocarbons (HFCs, given in CO2-equivalents) by economic activity and households and bridging items between Air Emissions Accounts totals and UNFCCC totals</t>
  </si>
  <si>
    <r>
      <t>Data sheet for HFCs-emissions
[tonnes CO</t>
    </r>
    <r>
      <rPr>
        <vertAlign val="subscript"/>
        <sz val="10"/>
        <rFont val="Arial"/>
        <family val="2"/>
      </rPr>
      <t>2</t>
    </r>
    <r>
      <rPr>
        <sz val="10"/>
        <rFont val="Arial"/>
        <family val="2"/>
      </rPr>
      <t>-equivalents]</t>
    </r>
  </si>
  <si>
    <t>Checking results:_x000D_
    - 1330 Symbol error(s) (figures or footnotes)_x000D_
    - 2 Plausibility issue(s)</t>
  </si>
  <si>
    <t>PFC</t>
  </si>
  <si>
    <t>Emissions of perfluorocarbons (PFCs, given in CO2-equivalents) by economic activity and households and bridging items between Air Emissions Accounts totals and UNFCCC totals</t>
  </si>
  <si>
    <r>
      <t>Data sheet for PFCs-emissions
[tonnes CO</t>
    </r>
    <r>
      <rPr>
        <vertAlign val="subscript"/>
        <sz val="10"/>
        <rFont val="Arial"/>
        <family val="2"/>
      </rPr>
      <t>2</t>
    </r>
    <r>
      <rPr>
        <sz val="10"/>
        <rFont val="Arial"/>
        <family val="2"/>
      </rPr>
      <t>-equivalents]</t>
    </r>
  </si>
  <si>
    <t>Checking results:_x000D_
    - 1330 Symbol error(s) (figures or footnotes)_x000D_
    - 3 Plausibility issue(s)</t>
  </si>
  <si>
    <t>SF6_NF3</t>
  </si>
  <si>
    <t>Emissions of sulphur hexafluorids (SF6) and nitrogen trifluoride (NF3) (given in CO2-equivalents) by economic activity and households and bridging items between Air Emissions Accounts totals and UNFCCC totals</t>
  </si>
  <si>
    <r>
      <t>Data sheet for SF6 and NF3-emissions
[tonnes CO</t>
    </r>
    <r>
      <rPr>
        <vertAlign val="subscript"/>
        <sz val="10"/>
        <rFont val="Arial"/>
        <family val="2"/>
      </rPr>
      <t>2</t>
    </r>
    <r>
      <rPr>
        <sz val="10"/>
        <rFont val="Arial"/>
        <family val="2"/>
      </rPr>
      <t>-equivalents]</t>
    </r>
  </si>
  <si>
    <t>Checking results:_x000D_
    - 1330 Symbol error(s) (figures or footnotes)_x000D_
    - 7 Plausibility issue(s)</t>
  </si>
  <si>
    <t>NOx</t>
  </si>
  <si>
    <t>Emissions of nitrogen oxides by economic activity and households and bridging items between  Air Emissions Accounts totals and CLRTAP totals</t>
  </si>
  <si>
    <r>
      <t>Data sheet for NOx-emissions
[tonnes NO2-equivalents</t>
    </r>
    <r>
      <rPr>
        <sz val="10"/>
        <rFont val="Arial"/>
        <family val="2"/>
      </rPr>
      <t>]</t>
    </r>
  </si>
  <si>
    <t>NOx_ROAD</t>
  </si>
  <si>
    <r>
      <t xml:space="preserve">Emissions of nitrogen oxides from </t>
    </r>
    <r>
      <rPr>
        <b/>
        <sz val="10"/>
        <rFont val="Arial"/>
        <family val="2"/>
      </rPr>
      <t xml:space="preserve">road transport </t>
    </r>
    <r>
      <rPr>
        <sz val="10"/>
        <rFont val="Arial"/>
        <family val="2"/>
      </rPr>
      <t>by economic activity and households and bridging items between Air Emissions Accounts totals  (road transport) and and road transport emissions as reported to CLRTAP.</t>
    </r>
  </si>
  <si>
    <t>Data sheet for NOx-emissions from road transport
[tonnes NO2-equivalents]</t>
  </si>
  <si>
    <t>SOx</t>
  </si>
  <si>
    <t>Emissions of sulphur dioxides by economic activity and households and bridging items between  Air Emissions Accounts totals and CLRTAP totals</t>
  </si>
  <si>
    <t>Data sheet for SO2-emissions
[tonnes SO2-equivalents]</t>
  </si>
  <si>
    <t>Checking results:_x000D_
    - 1330 Symbol error(s) (figures or footnotes)_x000D_
    - 17 Plausibility issue(s)</t>
  </si>
  <si>
    <t>NH3</t>
  </si>
  <si>
    <t>Emissions of ammonia by economic activity and households and bridging items between Air Emissions Accounts totals and CLRTAP totals</t>
  </si>
  <si>
    <r>
      <t>Data sheet for NH</t>
    </r>
    <r>
      <rPr>
        <vertAlign val="subscript"/>
        <sz val="10"/>
        <rFont val="Arial"/>
        <family val="2"/>
      </rPr>
      <t>3</t>
    </r>
    <r>
      <rPr>
        <sz val="10"/>
        <rFont val="Arial"/>
        <family val="2"/>
      </rPr>
      <t>-emissions
[tonnes]</t>
    </r>
  </si>
  <si>
    <t>Checking results:_x000D_
    - 1330 Symbol error(s) (figures or footnotes)</t>
  </si>
  <si>
    <t>NMVOC</t>
  </si>
  <si>
    <t>Emissions of non-methane volatile organic compounds by economic activity and households and bridging items between Air Emissions Accounts totals and CLRTAP totals</t>
  </si>
  <si>
    <t>Data sheet for NMVOC-emissions
[tonnes]</t>
  </si>
  <si>
    <t>Checking results:_x000D_
    - 1330 Symbol error(s) (figures or footnotes)_x000D_
    - 15 Plausibility issue(s)</t>
  </si>
  <si>
    <t xml:space="preserve"> NMVOC_ROAD</t>
  </si>
  <si>
    <r>
      <t xml:space="preserve">Emissions of non-methane volatile organic compounds from </t>
    </r>
    <r>
      <rPr>
        <b/>
        <sz val="10"/>
        <rFont val="Arial"/>
        <family val="2"/>
      </rPr>
      <t xml:space="preserve">road transport </t>
    </r>
    <r>
      <rPr>
        <sz val="10"/>
        <rFont val="Arial"/>
        <family val="2"/>
      </rPr>
      <t>by economic activity and households and bridging items between Air Emissions Accounts totals and road transport emissions as reported to CLRTAP.</t>
    </r>
  </si>
  <si>
    <t>Data sheet for SO2-emissions from road transport
[tonnes SO2-equivalents]</t>
  </si>
  <si>
    <t>Checking results:_x000D_
    - 1260 Symbol error(s) (figures or footnotes)_x000D_
    - 7 Plausibility issue(s)</t>
  </si>
  <si>
    <t>CO</t>
  </si>
  <si>
    <t>Emissions of carbon monoxide by economic activity and households and bridging items between Air Emissions Accounts totals and CLRTAP totals</t>
  </si>
  <si>
    <t>Data sheet for CO-emissions
[tonnes]</t>
  </si>
  <si>
    <t>PM10</t>
  </si>
  <si>
    <t>PM10-emissions by economic activity and households and bridging items between Air Emissions Accounts totals and CLRTAP totals</t>
  </si>
  <si>
    <t>Data sheet for PM10-emissions
[tonnes]</t>
  </si>
  <si>
    <t>Checking results:_x000D_
    - 1330 Symbol error(s) (figures or footnotes)_x000D_
    - 12 Plausibility issue(s)</t>
  </si>
  <si>
    <t>PM10_ROAD</t>
  </si>
  <si>
    <r>
      <t xml:space="preserve">PM2.5-emissions from </t>
    </r>
    <r>
      <rPr>
        <b/>
        <sz val="10"/>
        <rFont val="Arial"/>
        <family val="2"/>
      </rPr>
      <t>road transport</t>
    </r>
    <r>
      <rPr>
        <sz val="10"/>
        <rFont val="Arial"/>
        <family val="2"/>
      </rPr>
      <t xml:space="preserve"> by economic activity and households and bridging items betweenAir Emissions Accounts totals and road transport emissions as reported to CLRTAP.</t>
    </r>
  </si>
  <si>
    <t>Data sheet for PM2.5-emissions from road transport
[tonnes]</t>
  </si>
  <si>
    <t>Checking results:_x000D_
    - 1260 Symbol error(s) (figures or footnotes)_x000D_
    - 3 Plausibility issue(s)</t>
  </si>
  <si>
    <t>PM2.5</t>
  </si>
  <si>
    <t>PM2.5-emissions by economic activity and households and bridging items between Air Emissions Accounts totals and CLRTAP totals</t>
  </si>
  <si>
    <t>Data sheet for PM2.5-emissions
[tonnes]</t>
  </si>
  <si>
    <t>PM2.5_ROAD</t>
  </si>
  <si>
    <r>
      <t>PM10-emissions from</t>
    </r>
    <r>
      <rPr>
        <b/>
        <sz val="10"/>
        <rFont val="Arial"/>
        <family val="2"/>
      </rPr>
      <t xml:space="preserve"> road transport</t>
    </r>
    <r>
      <rPr>
        <sz val="10"/>
        <rFont val="Arial"/>
        <family val="2"/>
      </rPr>
      <t xml:space="preserve"> by economic activity and households and bridging items between Air Emissions Accounts totals and road transport emissions as reported to CLRTAP.</t>
    </r>
  </si>
  <si>
    <t>Data sheet for PM10-emissions from road transport
[tonnes]</t>
  </si>
  <si>
    <t>Check report</t>
  </si>
  <si>
    <t>Informs about data problems of empty cells, consistency and plausibility</t>
  </si>
  <si>
    <r>
      <t xml:space="preserve"> </t>
    </r>
    <r>
      <rPr>
        <vertAlign val="superscript"/>
        <sz val="10"/>
        <rFont val="Arial"/>
        <family val="2"/>
      </rPr>
      <t>[1]</t>
    </r>
  </si>
  <si>
    <t>In general, Air Emissions Accounts data should include CO2 emissions from biomass used as fuel. Usually, CO2 emissions from biomass are excluded from the UNFCCC totals (though reported separately). It has been decided to include two data sheets for CO2 emissions: one without emissions from biomass and one explicitly showing those from biomass. By requesting data in this way it is clear exactly if CO2 emissions are included or not in the Air Emissions Accounts data.</t>
  </si>
  <si>
    <t>Instructions for completing the AEA questionnaire and overview of the validation rules</t>
  </si>
  <si>
    <t>1. INSTRUCTIONS for completing the AEA questionnaire</t>
  </si>
  <si>
    <t>The following technical instructions relate to the handling of the electronic EXCEL questionnaire.</t>
  </si>
  <si>
    <t xml:space="preserve">The concepts and methods for the actual compilation of the data for the mandatory data sheets can be found in the </t>
  </si>
  <si>
    <t xml:space="preserve">Manual for Air Emissions Accounts, 2015 edition', available here: </t>
  </si>
  <si>
    <t>http://ec.europa.eu/eurostat/web/environment/methodology</t>
  </si>
  <si>
    <t xml:space="preserve">For complinting the voluntary sheets see the sheet 'instructions for ROAD sheets'. </t>
  </si>
  <si>
    <t>Please note the following:</t>
  </si>
  <si>
    <t>1) Pre-defined footnotes 'n' ('not to be published') and 's' ('Eurostat estimate') are to be set exclusively by Eurostat.</t>
  </si>
  <si>
    <t>2) The built-in checking tool is aligned to the agreed AEA validation rules.</t>
  </si>
  <si>
    <t xml:space="preserve">3) The questionnaire is an Excel file with embedded macros. Should you have problems opening the file and enabling the macros, please check your local Excel settings related to macros.
</t>
  </si>
  <si>
    <t>1.A) Getting started</t>
  </si>
  <si>
    <t>1. Please select your country code from the drop-down menu in the 'intro' sheet. Do not forget to provide the primary contact person for AEA in your country.</t>
  </si>
  <si>
    <t>2. Complete the data sheets for the greenhouse gases and air pollutants. Please do not change the format of the questionnaire (i.e., add/delete rows or columns) since Eurostat uses automated routines for data validation.</t>
  </si>
  <si>
    <r>
      <t xml:space="preserve">3. Each data sheet offers a time range from year 1995 until 2022. According to Regulation 691/2011 reporting data for years </t>
    </r>
    <r>
      <rPr>
        <b/>
        <sz val="10"/>
        <rFont val="Arial"/>
        <family val="2"/>
      </rPr>
      <t xml:space="preserve">2017-2021 </t>
    </r>
    <r>
      <rPr>
        <sz val="10"/>
        <rFont val="Arial"/>
        <family val="2"/>
      </rPr>
      <t>is mandatory. If you have data available beyond this time range, please report it. Eurostat appreciates receiving data starting from 2008.</t>
    </r>
  </si>
  <si>
    <t>1.B) How to correctly report figures and symbols?</t>
  </si>
  <si>
    <t>4. Figures have to be reported in the white cells of the data sheets.</t>
  </si>
  <si>
    <t>5. Please report exact figures, not rounded values. The maximum number of significant figures is fifteen (default in excel).</t>
  </si>
  <si>
    <t>6. Please report positive figures. Negative figures are only accepted in the bridging item 'national residents abroad' and in 'other adjustments and statistical discrepancy'.</t>
  </si>
  <si>
    <t>7. Please report real zero ('0') if there are no emissions in the respective NACE industry.</t>
  </si>
  <si>
    <t>8. Please report colon (':') for data not available, i.e. if the volume of emissions in the given industry is not known. Note, that in such case the superior sub-total or total cannot be derived.</t>
  </si>
  <si>
    <t>9. 'Not available' (:) symbol is not allowed for mandatory cells. Mandatory cells are defined in the validation rules.</t>
  </si>
  <si>
    <t xml:space="preserve">10. Empty cells (white value cells) are not allowed. </t>
  </si>
  <si>
    <t>2. THE BUILT-IN CHECKING TOOL</t>
  </si>
  <si>
    <t>There is a checking tool built in the questionnaire, please use it! To reduce the validation time, Eurostat appreciates receiving error-free questionnaires.</t>
  </si>
  <si>
    <t>The tool checks empty cells, valid/invalid symbols, errors in footnotes, inconsistencies, plausibility issues and identifies incorrect use of confidentiality flags. The detailed validation rules for AEA are available at: https://ec.europa.eu/eurostat/web/environment/methodology.</t>
  </si>
  <si>
    <t>2.A) How to use the checking tool?</t>
  </si>
  <si>
    <t>The checking macro runs automatically upon closing the questionnaire, i.e. over all data sheets. This is intended to force the checks to be done.</t>
  </si>
  <si>
    <t>The tool can also be used manually:</t>
  </si>
  <si>
    <t xml:space="preserve"> - to check individual data sheets by pressing the 'Check' button at the top of each data sheet.</t>
  </si>
  <si>
    <t xml:space="preserve"> - to check the whole questionnaire by pressing the 'Check the whole' button in the 'intro' sheet and 'structure' sheet.</t>
  </si>
  <si>
    <t xml:space="preserve"> 2.B) What is checked and how are errors/warnings displayed?</t>
  </si>
  <si>
    <t>Errors and warnings are visualised in the data sheets through cells highlighted in different colours. In addition, by hovering the mouse over the highlighted cell a comment appears with detailed explanation of the detected problem.</t>
  </si>
  <si>
    <t>Eurostat kindly asks you to address each highlighted cell. If correctly done, after the next check the highlight will disappear from the concerned cell. In case of plausibility warnings (orange cells) there are two options: If the implausibility is caused by an error, please correct it. If the value is correct, please add a footnote explaining the detected implausibility.</t>
  </si>
  <si>
    <t>The checking tool produces an error report which you find in the sheet 'Check Report'. It provides a list of cells with links where the errors or other issues were detected.</t>
  </si>
  <si>
    <t>The below list details the performed checks and the display of the error messages.</t>
  </si>
  <si>
    <t>Validation rule number</t>
  </si>
  <si>
    <r>
      <rPr>
        <b/>
        <sz val="10"/>
        <rFont val="Arial"/>
        <family val="2"/>
      </rPr>
      <t>Checking for empty cells:</t>
    </r>
    <r>
      <rPr>
        <sz val="10"/>
        <rFont val="Arial"/>
        <family val="2"/>
      </rPr>
      <t xml:space="preserve"> empty cells are highlighted in </t>
    </r>
    <r>
      <rPr>
        <b/>
        <sz val="10"/>
        <color theme="5" tint="0.39997558519241921"/>
        <rFont val="Arial"/>
        <family val="2"/>
      </rPr>
      <t>light</t>
    </r>
    <r>
      <rPr>
        <sz val="10"/>
        <color theme="5" tint="0.39997558519241921"/>
        <rFont val="Arial"/>
        <family val="2"/>
      </rPr>
      <t xml:space="preserve"> </t>
    </r>
    <r>
      <rPr>
        <b/>
        <sz val="10"/>
        <color theme="5" tint="0.39997558519241921"/>
        <rFont val="Arial"/>
        <family val="2"/>
      </rPr>
      <t>red</t>
    </r>
    <r>
      <rPr>
        <sz val="10"/>
        <rFont val="Arial"/>
        <family val="2"/>
      </rPr>
      <t>.</t>
    </r>
  </si>
  <si>
    <t>No. 3</t>
  </si>
  <si>
    <r>
      <rPr>
        <b/>
        <sz val="10"/>
        <rFont val="Arial"/>
        <family val="2"/>
      </rPr>
      <t>Footnote check:</t>
    </r>
    <r>
      <rPr>
        <sz val="10"/>
        <rFont val="Arial"/>
        <family val="2"/>
      </rPr>
      <t xml:space="preserve"> verifies if footnotes are used correctly. It also verifies that a 'free text' footnote symbol has a footnote text in the yellow footnote area. Otherwise, the cell is highlighted in </t>
    </r>
    <r>
      <rPr>
        <b/>
        <sz val="10"/>
        <color rgb="FFFF0000"/>
        <rFont val="Arial"/>
        <family val="2"/>
      </rPr>
      <t>red</t>
    </r>
    <r>
      <rPr>
        <sz val="10"/>
        <rFont val="Arial"/>
        <family val="2"/>
      </rPr>
      <t>.</t>
    </r>
  </si>
  <si>
    <t>No. 7, 10</t>
  </si>
  <si>
    <r>
      <rPr>
        <b/>
        <sz val="10"/>
        <rFont val="Arial"/>
        <family val="2"/>
      </rPr>
      <t>Mandatory cells check</t>
    </r>
    <r>
      <rPr>
        <sz val="10"/>
        <rFont val="Arial"/>
        <family val="2"/>
      </rPr>
      <t xml:space="preserve">: The dataset must include all mandatory characteristics for the five mandatory reporting years. Cells with missing data for all gases and pollutants except F-gases, and except bridging items and item NACE L68A will be highlighted in </t>
    </r>
    <r>
      <rPr>
        <b/>
        <sz val="10"/>
        <color rgb="FFFFFF00"/>
        <rFont val="Arial"/>
        <family val="2"/>
      </rPr>
      <t>yellow</t>
    </r>
    <r>
      <rPr>
        <sz val="10"/>
        <rFont val="Arial"/>
        <family val="2"/>
      </rPr>
      <t xml:space="preserve">. </t>
    </r>
  </si>
  <si>
    <t>No. 1</t>
  </si>
  <si>
    <r>
      <rPr>
        <b/>
        <sz val="10"/>
        <rFont val="Arial"/>
        <family val="2"/>
      </rPr>
      <t xml:space="preserve">Consistency checks: </t>
    </r>
    <r>
      <rPr>
        <sz val="10"/>
        <rFont val="Arial"/>
        <family val="2"/>
      </rPr>
      <t xml:space="preserve">concern the sum of components which has to equal the corresponding total or subtotal. For example, the sum of A01, A02, A03 should be equal to the value reported in A. When problems occur, the cell corresponding to the total or subtotal is highlighted in </t>
    </r>
    <r>
      <rPr>
        <b/>
        <sz val="10"/>
        <color theme="3" tint="0.39997558519241921"/>
        <rFont val="Arial"/>
        <family val="2"/>
      </rPr>
      <t>blue</t>
    </r>
    <r>
      <rPr>
        <sz val="10"/>
        <rFont val="Arial"/>
        <family val="2"/>
      </rPr>
      <t xml:space="preserve">.                                    </t>
    </r>
  </si>
  <si>
    <t>No. 4</t>
  </si>
  <si>
    <t xml:space="preserve">Nace category H50 should be bigger than bridging item 'less national residents abroad - water transport'. NACE category H51 should be bigger than bridging item 'less national residents abroad - water transport'. If this is not the case, please correct the erroneous figure (either in the relevant NACE category or in the bridging item). </t>
  </si>
  <si>
    <t>No.  4.20, 4.21</t>
  </si>
  <si>
    <r>
      <rPr>
        <b/>
        <sz val="10"/>
        <rFont val="Arial"/>
        <family val="2"/>
      </rPr>
      <t xml:space="preserve">Cross-table consistency checks: </t>
    </r>
    <r>
      <rPr>
        <sz val="10"/>
        <rFont val="Arial"/>
        <family val="2"/>
      </rPr>
      <t>checks if figures are reported consistently across tables, based on the following rules:</t>
    </r>
  </si>
  <si>
    <t>- Figures in PM2.5 sheet cannot be superior to the corresponding figures in PM10 sheet.</t>
  </si>
  <si>
    <t>No. 4.22</t>
  </si>
  <si>
    <t xml:space="preserve">- Figures in 'ROAD' sheets cannot be superior to the corresponding figures in the 'mother sheet' of the same pollutant. </t>
  </si>
  <si>
    <t>No. 4.23, 4.24</t>
  </si>
  <si>
    <r>
      <t xml:space="preserve">If the above criteria are not followed, the </t>
    </r>
    <r>
      <rPr>
        <b/>
        <sz val="10"/>
        <rFont val="Arial"/>
        <family val="2"/>
      </rPr>
      <t xml:space="preserve">font </t>
    </r>
    <r>
      <rPr>
        <sz val="10"/>
        <rFont val="Arial"/>
        <family val="2"/>
      </rPr>
      <t xml:space="preserve">is diplayed in </t>
    </r>
    <r>
      <rPr>
        <b/>
        <sz val="10"/>
        <color rgb="FFFF0000"/>
        <rFont val="Arial"/>
        <family val="2"/>
      </rPr>
      <t>red</t>
    </r>
    <r>
      <rPr>
        <sz val="10"/>
        <rFont val="Arial"/>
        <family val="2"/>
      </rPr>
      <t>.</t>
    </r>
  </si>
  <si>
    <t>red</t>
  </si>
  <si>
    <r>
      <rPr>
        <b/>
        <sz val="10"/>
        <rFont val="Arial"/>
        <family val="2"/>
      </rPr>
      <t>Confidentiality check:</t>
    </r>
    <r>
      <rPr>
        <sz val="10"/>
        <rFont val="Arial"/>
        <family val="2"/>
      </rPr>
      <t xml:space="preserve"> verifies that certain confidentiality rules are applied:</t>
    </r>
  </si>
  <si>
    <t>- Avoid confidentiality at 1 digit NACE level;</t>
  </si>
  <si>
    <t>No. 11</t>
  </si>
  <si>
    <t>- Cells with zero or 'not available' cannot be confidential;</t>
  </si>
  <si>
    <t>No. 12</t>
  </si>
  <si>
    <t>- Ensure that the figure flagged as confidential cannot be derived through calculation.</t>
  </si>
  <si>
    <t>No. 13</t>
  </si>
  <si>
    <r>
      <t xml:space="preserve">If the above criteria are not followed, cells are highlighted in </t>
    </r>
    <r>
      <rPr>
        <b/>
        <sz val="10"/>
        <color theme="7" tint="0.39997558519241921"/>
        <rFont val="Arial"/>
        <family val="2"/>
      </rPr>
      <t>purple</t>
    </r>
    <r>
      <rPr>
        <sz val="10"/>
        <rFont val="Arial"/>
        <family val="2"/>
      </rPr>
      <t>.</t>
    </r>
  </si>
  <si>
    <r>
      <rPr>
        <b/>
        <sz val="10"/>
        <rFont val="Arial"/>
        <family val="2"/>
      </rPr>
      <t xml:space="preserve">Plausibility checks: </t>
    </r>
    <r>
      <rPr>
        <sz val="10"/>
        <rFont val="Arial"/>
        <family val="2"/>
      </rPr>
      <t xml:space="preserve">detect implausible changes between consecutive years in time series of the same reporting. Implausible changes are defined as follows: </t>
    </r>
  </si>
  <si>
    <t>- Totals of one-digit NACE industries (A, B, C, etc.) mustn't vary more than 30% from one year to the next if they represent more than 10% of all industries (total A_U) of that year.</t>
  </si>
  <si>
    <t>- NACE industries A01-A03, E36-E39 and H49-H53 mustn't vary more than 80% from one year to the next if they represent more than 30% of total A, E and H respectively.</t>
  </si>
  <si>
    <t>- NACE industries C10-C33 mustn't vary more than 80% from one year to the next if they represent more than 5% of total C.</t>
  </si>
  <si>
    <t>- Other two-digit NACE industries mustn't vary more than 80% from one year to the next if they represent more than 5% of all industries (total A_U) of that year.</t>
  </si>
  <si>
    <t>- Two-digit Households positions mustn't vary more than 30% from one year to the next if they represent more than 50% of Total Households of that year.</t>
  </si>
  <si>
    <t>- Total Households mustn't vary more than 30% from one year to the next and represent more than 10% of Total Industries plus Households of that year.</t>
  </si>
  <si>
    <t>- Bridging items mustn't vary more than 50% from one year to the next if they contribute at least 50% to the superior total, i.e. to National residents abroad or National residents in the territory.</t>
  </si>
  <si>
    <t>Implausible changes must be explained with a free text footnote or, in the case of breaks in the series, with a pre-defined footnote b) and the corresponding free text footnote.</t>
  </si>
  <si>
    <r>
      <t xml:space="preserve">Cells with implausible changes are highlighted in </t>
    </r>
    <r>
      <rPr>
        <b/>
        <sz val="10"/>
        <color theme="9" tint="-0.249977111117893"/>
        <rFont val="Arial"/>
        <family val="2"/>
      </rPr>
      <t>orange</t>
    </r>
    <r>
      <rPr>
        <sz val="10"/>
        <rFont val="Arial"/>
        <family val="2"/>
      </rPr>
      <t>.</t>
    </r>
  </si>
  <si>
    <t>No. 14</t>
  </si>
  <si>
    <r>
      <t>Cells with implausible changes explained with a free text footnote or a b) footnote are highlighted in</t>
    </r>
    <r>
      <rPr>
        <sz val="10"/>
        <color rgb="FF66FF99"/>
        <rFont val="Arial"/>
        <family val="2"/>
      </rPr>
      <t xml:space="preserve"> </t>
    </r>
    <r>
      <rPr>
        <b/>
        <sz val="10"/>
        <color rgb="FF00CC00"/>
        <rFont val="Arial"/>
        <family val="2"/>
      </rPr>
      <t>green.</t>
    </r>
  </si>
  <si>
    <t>No. 15</t>
  </si>
  <si>
    <r>
      <t xml:space="preserve">In case there are both consistency and plausibility issues, the cell is highlighted in </t>
    </r>
    <r>
      <rPr>
        <b/>
        <sz val="10"/>
        <color theme="9" tint="-0.249977111117893"/>
        <rFont val="Arial"/>
        <family val="2"/>
      </rPr>
      <t>orange</t>
    </r>
    <r>
      <rPr>
        <sz val="10"/>
        <rFont val="Arial"/>
        <family val="2"/>
      </rPr>
      <t xml:space="preserve"> and the value appears in </t>
    </r>
    <r>
      <rPr>
        <b/>
        <sz val="10"/>
        <color theme="3" tint="0.39997558519241921"/>
        <rFont val="Arial"/>
        <family val="2"/>
      </rPr>
      <t>blue</t>
    </r>
    <r>
      <rPr>
        <sz val="10"/>
        <rFont val="Arial"/>
        <family val="2"/>
      </rPr>
      <t>.</t>
    </r>
  </si>
  <si>
    <r>
      <t xml:space="preserve">For emissions of CO2, SOx, NOx, CO, PM2.5 and PM10, if TOT_CONV (EEA total) equals to the reported TOT_NACE_HH (Total NACE plus households), it is very likely that the residence principle was not applied to the AEA. The cell in this case is highlited in </t>
    </r>
    <r>
      <rPr>
        <sz val="10"/>
        <color theme="9" tint="0.39997558519241921"/>
        <rFont val="Arial"/>
        <family val="2"/>
      </rPr>
      <t>light orange</t>
    </r>
    <r>
      <rPr>
        <sz val="10"/>
        <rFont val="Arial"/>
        <family val="2"/>
      </rPr>
      <t>. Please provide a footnote clarifying why the residence principle was not applied.</t>
    </r>
  </si>
  <si>
    <t>No.18</t>
  </si>
  <si>
    <t>Data Sheet</t>
  </si>
  <si>
    <t>Parameter Sheet</t>
  </si>
  <si>
    <t>CO2</t>
  </si>
  <si>
    <t>Parameters_SDMX_Converter</t>
  </si>
  <si>
    <t>Biomass CO2</t>
  </si>
  <si>
    <t>Element</t>
  </si>
  <si>
    <t>PosType</t>
  </si>
  <si>
    <t>Position</t>
  </si>
  <si>
    <t>DataStart</t>
  </si>
  <si>
    <t>F5</t>
  </si>
  <si>
    <t>FREQ</t>
  </si>
  <si>
    <t>DIM</t>
  </si>
  <si>
    <t>FIX</t>
  </si>
  <si>
    <t>A</t>
  </si>
  <si>
    <t>DataEnd</t>
  </si>
  <si>
    <t>AV106</t>
  </si>
  <si>
    <t>REF_AREA</t>
  </si>
  <si>
    <t>CELL</t>
  </si>
  <si>
    <t>D1</t>
  </si>
  <si>
    <t>TranscodingSheet</t>
  </si>
  <si>
    <t>Transcoding</t>
  </si>
  <si>
    <t>DEMAND_PROD</t>
  </si>
  <si>
    <t>CJ5</t>
  </si>
  <si>
    <t>SkipObservationWithValue</t>
  </si>
  <si>
    <t>null</t>
  </si>
  <si>
    <t>ACCOUNTING_ENTRY</t>
  </si>
  <si>
    <t>EC</t>
  </si>
  <si>
    <t>ConceptSeparator</t>
  </si>
  <si>
    <t>)</t>
  </si>
  <si>
    <t>COUNTERPART_AREA</t>
  </si>
  <si>
    <t>CK5</t>
  </si>
  <si>
    <t>DefaultValue</t>
  </si>
  <si>
    <t>INTERACTORS</t>
  </si>
  <si>
    <t>COLUMN</t>
  </si>
  <si>
    <t>CL</t>
  </si>
  <si>
    <t>MissingObservationCharacter</t>
  </si>
  <si>
    <t>:</t>
  </si>
  <si>
    <t>BRIDGE_ITEMS</t>
  </si>
  <si>
    <t>CM</t>
  </si>
  <si>
    <t>SkipIncompleteKeys</t>
  </si>
  <si>
    <t>true</t>
  </si>
  <si>
    <t>AIRPOL</t>
  </si>
  <si>
    <t>CN5</t>
  </si>
  <si>
    <t>STO</t>
  </si>
  <si>
    <t>CO5</t>
  </si>
  <si>
    <t>UNIT_MEASURE</t>
  </si>
  <si>
    <t>CP5</t>
  </si>
  <si>
    <t>PRODUCT</t>
  </si>
  <si>
    <t>CR5</t>
  </si>
  <si>
    <t>SECTOR</t>
  </si>
  <si>
    <t>CS5</t>
  </si>
  <si>
    <t>TIME_PERIOD</t>
  </si>
  <si>
    <t>ROW</t>
  </si>
  <si>
    <t>4</t>
  </si>
  <si>
    <t>OBS_STATUS_1</t>
  </si>
  <si>
    <t>ATT</t>
  </si>
  <si>
    <t>OBS_LEVEL</t>
  </si>
  <si>
    <t>1/3</t>
  </si>
  <si>
    <t>OBS_STATUS_2</t>
  </si>
  <si>
    <t>1/4</t>
  </si>
  <si>
    <t>OBS_STATUS_3</t>
  </si>
  <si>
    <t>1/5</t>
  </si>
  <si>
    <t>OBS_STATUS_4</t>
  </si>
  <si>
    <t>1/6</t>
  </si>
  <si>
    <t>CONF_STATUS</t>
  </si>
  <si>
    <t>1/2</t>
  </si>
  <si>
    <t>UNIT_MULT</t>
  </si>
  <si>
    <t>CQ5</t>
  </si>
  <si>
    <t>COMMENT_OBS</t>
  </si>
  <si>
    <t>1/1</t>
  </si>
  <si>
    <t>Text</t>
  </si>
  <si>
    <t>Dimension</t>
  </si>
  <si>
    <t>Value</t>
  </si>
  <si>
    <t>b</t>
  </si>
  <si>
    <t>B</t>
  </si>
  <si>
    <t>e</t>
  </si>
  <si>
    <t>E</t>
  </si>
  <si>
    <t>p</t>
  </si>
  <si>
    <t>P</t>
  </si>
  <si>
    <t>c</t>
  </si>
  <si>
    <t>C</t>
  </si>
  <si>
    <t>d</t>
  </si>
  <si>
    <t>D</t>
  </si>
  <si>
    <t xml:space="preserve">At its 2021 meeting, the working group on environmental accounts agreed that Eurostat would investigate possibilities to split the AEA into stationary versus mobile emission sources; the latter including road transport emissions. Such a split could enhance significantly the potential for integrated analyses with other accounts (e.g. PEFA, ESA) and statistics (transport, energy).This split should readily be available to compilers of AEA. </t>
  </si>
  <si>
    <t xml:space="preserve">At the 2022 meeting, the working group environmental accounts agreed to add 5-7 ‘of which’ sheets for road transport emissions to the AEA questionnaire. The ‘of which’ sheets have the same format as the sheets already included in the AEA questionnaire. </t>
  </si>
  <si>
    <t>1.	Five new sheets in the AEA questionnaire</t>
  </si>
  <si>
    <t>Eurostat decided to add five ‘of which’ sheets for road transport emissions to the 2023 AEA questionnaire: CO2_ROAD, NOx_ROAD, NMVOC_ROAD, PM10_ROAD and PM2.5_ROAD. With these new sheets, you may report road transport emissions separately.</t>
  </si>
  <si>
    <t>2.	Definition of road transport emissions</t>
  </si>
  <si>
    <t>Road transport emissions to be reported in the extended AEA questionnaire are defined exactly the same way as road transport emissions are defined in the greenhouse gas and air pollutant emission inventories (UNFCCC and CLRTAP inventories), under CRF/NFR category 1.A.3.B. Namely, all combustion and evaporative emissions arising from fuel use in road vehicles, including the use of agricultural vehicles on paved roads, as well as dissipative emissions from automobile tire and brake wear and road abrasion are included (see below the detailed list). This is also indicated in row 106 of the relevant questionnaire sheets.</t>
  </si>
  <si>
    <t>Road transport emissions correspond to the following CRF and NFR categories:</t>
  </si>
  <si>
    <t>CRF codes (UNFCCC greenhouse gas emission inventories)</t>
  </si>
  <si>
    <t xml:space="preserve">Road transportation: Cars </t>
  </si>
  <si>
    <t xml:space="preserve">1.A.3.b.i </t>
  </si>
  <si>
    <t xml:space="preserve">Road transportation: Light duty trucks </t>
  </si>
  <si>
    <t>1.A.3.b.ii</t>
  </si>
  <si>
    <t xml:space="preserve">Road transportation: Heavy-duty trucks and buses </t>
  </si>
  <si>
    <t>1.A.3.b.iii</t>
  </si>
  <si>
    <t xml:space="preserve">Road transportation: Motorcycles </t>
  </si>
  <si>
    <t>1.A.3.b.iv</t>
  </si>
  <si>
    <t xml:space="preserve">Road transportation: Other </t>
  </si>
  <si>
    <t>1.A.3.b.v</t>
  </si>
  <si>
    <t>NFR codes (CLRTAP emission inventories of air pollutants)</t>
  </si>
  <si>
    <t xml:space="preserve">Road transportation: Passenger cars </t>
  </si>
  <si>
    <t xml:space="preserve">Road transportation: Light duty vehicles </t>
  </si>
  <si>
    <t xml:space="preserve">Road transportation: Heavy-duty vehicles and buses </t>
  </si>
  <si>
    <t xml:space="preserve">Road transportation: Mopeds &amp; motorcycles </t>
  </si>
  <si>
    <t xml:space="preserve">Road transportation: Gasoline evaporation  </t>
  </si>
  <si>
    <t>A.3.b.v</t>
  </si>
  <si>
    <t xml:space="preserve">Road transportation: Automobile tyre and break wear </t>
  </si>
  <si>
    <t>1.A.3.b.vi</t>
  </si>
  <si>
    <t xml:space="preserve">Road transportation: Automobile road abrasion </t>
  </si>
  <si>
    <t>1.A.3.b.vii</t>
  </si>
  <si>
    <t>3.	How to complete the sheets related to road transport emissions</t>
  </si>
  <si>
    <r>
      <t xml:space="preserve">Sheet CO2_ROAD: </t>
    </r>
    <r>
      <rPr>
        <sz val="10"/>
        <rFont val="Arial"/>
        <family val="2"/>
      </rPr>
      <t xml:space="preserve">CO2 emissions from road transport (CRF 1.A.3.b), as reported to UNFCCC. Notably this CRF source includes only fossil fuel based CO2-emissions. Do not forget to adjust for the residence principle before you distribute to the 64 NACE divisions and households. </t>
    </r>
  </si>
  <si>
    <r>
      <rPr>
        <b/>
        <sz val="10"/>
        <rFont val="Arial"/>
        <family val="2"/>
      </rPr>
      <t>Sheets NOx_ROAD, NMVOC_ROAD, PM10_ROAD, PM2.5_ROAD</t>
    </r>
    <r>
      <rPr>
        <sz val="10"/>
        <rFont val="Arial"/>
        <family val="2"/>
      </rPr>
      <t>: Emissions from road transport (NFR 1.A.3.b), as reported to CLRTAP.  Do not forget to adjust for the residence principle before you distribute to the 64 NACE divisions and households.</t>
    </r>
  </si>
  <si>
    <r>
      <rPr>
        <b/>
        <sz val="10"/>
        <rFont val="Arial"/>
        <family val="2"/>
      </rPr>
      <t>Bridging items</t>
    </r>
    <r>
      <rPr>
        <sz val="10"/>
        <rFont val="Arial"/>
        <family val="2"/>
      </rPr>
      <t xml:space="preserve"> (all five sheets): </t>
    </r>
  </si>
  <si>
    <r>
      <t xml:space="preserve">- </t>
    </r>
    <r>
      <rPr>
        <b/>
        <sz val="10"/>
        <rFont val="Arial"/>
        <family val="2"/>
      </rPr>
      <t>Less national residents abroad – land transport (item 2.2 in the questionnaire)</t>
    </r>
    <r>
      <rPr>
        <sz val="10"/>
        <rFont val="Arial"/>
        <family val="2"/>
      </rPr>
      <t>: Deduct emissions from road transport by resident units based on fuel purchases in the rest of the world.</t>
    </r>
  </si>
  <si>
    <r>
      <t xml:space="preserve">- </t>
    </r>
    <r>
      <rPr>
        <b/>
        <sz val="10"/>
        <rFont val="Arial"/>
        <family val="2"/>
      </rPr>
      <t>Plus non-residents on the territory - land transport (item 3.1 in the questionnaire)</t>
    </r>
    <r>
      <rPr>
        <sz val="10"/>
        <rFont val="Arial"/>
        <family val="2"/>
      </rPr>
      <t>: Add emissions from road transport undertaken by non-resident units based on fuel purchases on domestic territory.</t>
    </r>
  </si>
  <si>
    <r>
      <t xml:space="preserve">- </t>
    </r>
    <r>
      <rPr>
        <b/>
        <sz val="10"/>
        <rFont val="Arial"/>
        <family val="2"/>
      </rPr>
      <t>Air emissions from road transport as reported to international conventions (UNFCCC and CLRTAP inventories, territory principle)</t>
    </r>
    <r>
      <rPr>
        <sz val="10"/>
        <rFont val="Arial"/>
        <family val="2"/>
      </rPr>
      <t>: Includes all emissions from road transport undertaken by resident units and non-residents based on fuel purchases on domestic territory, i.e. this corresponds to the sum of emissions  reported under the CRF and NFR codes in the table above.</t>
    </r>
  </si>
  <si>
    <t>Instructions for SDMX compliant reporting of footnotes in the EXCEL questionnaire (.xlsm)</t>
  </si>
  <si>
    <t>How to report footnotes?</t>
  </si>
  <si>
    <t xml:space="preserve">In this questionnaire reporting of footnotes includes two components: 	</t>
  </si>
  <si>
    <r>
      <t xml:space="preserve">(1) a </t>
    </r>
    <r>
      <rPr>
        <b/>
        <i/>
        <sz val="10"/>
        <color theme="1"/>
        <rFont val="Arial"/>
        <family val="2"/>
      </rPr>
      <t>footnote symbol</t>
    </r>
    <r>
      <rPr>
        <sz val="10"/>
        <color theme="1"/>
        <rFont val="Arial"/>
        <family val="2"/>
      </rPr>
      <t xml:space="preserve"> reported in the data sheet next to a reported value, and</t>
    </r>
  </si>
  <si>
    <t>(2) a footnote content associated with the symbol, displayed in the sheet entitled 'footnote_list'</t>
  </si>
  <si>
    <r>
      <rPr>
        <b/>
        <i/>
        <sz val="10"/>
        <rFont val="Arial"/>
        <family val="2"/>
      </rPr>
      <t>Footnote symbols</t>
    </r>
    <r>
      <rPr>
        <sz val="10"/>
        <rFont val="Arial"/>
        <family val="2"/>
      </rPr>
      <t xml:space="preserve"> are reported in the so-called </t>
    </r>
    <r>
      <rPr>
        <b/>
        <i/>
        <sz val="10"/>
        <rFont val="Arial"/>
        <family val="2"/>
      </rPr>
      <t>footnote-symbol-cell</t>
    </r>
    <r>
      <rPr>
        <sz val="10"/>
        <rFont val="Arial"/>
        <family val="2"/>
      </rPr>
      <t xml:space="preserve">, i.e. yellow cells next to the white value cells. </t>
    </r>
  </si>
  <si>
    <r>
      <t xml:space="preserve">There are two types of footnote symbols – letters with a closing bracket for </t>
    </r>
    <r>
      <rPr>
        <b/>
        <i/>
        <sz val="10"/>
        <rFont val="Arial"/>
        <family val="2"/>
      </rPr>
      <t>pre-defined footnotes</t>
    </r>
    <r>
      <rPr>
        <sz val="10"/>
        <rFont val="Arial"/>
        <family val="2"/>
      </rPr>
      <t xml:space="preserve"> (e.g. ‘</t>
    </r>
    <r>
      <rPr>
        <sz val="10"/>
        <color rgb="FFFF0000"/>
        <rFont val="Arial"/>
        <family val="2"/>
      </rPr>
      <t>p)</t>
    </r>
    <r>
      <rPr>
        <sz val="10"/>
        <rFont val="Arial"/>
        <family val="2"/>
      </rPr>
      <t xml:space="preserve">’) and numbers with a closing bracket for </t>
    </r>
    <r>
      <rPr>
        <b/>
        <i/>
        <sz val="10"/>
        <rFont val="Arial"/>
        <family val="2"/>
      </rPr>
      <t>'free text' footnotes</t>
    </r>
    <r>
      <rPr>
        <sz val="10"/>
        <rFont val="Arial"/>
        <family val="2"/>
      </rPr>
      <t xml:space="preserve"> (e.g. ‘</t>
    </r>
    <r>
      <rPr>
        <sz val="10"/>
        <color rgb="FFFF0000"/>
        <rFont val="Arial"/>
        <family val="2"/>
      </rPr>
      <t>2)</t>
    </r>
    <r>
      <rPr>
        <sz val="10"/>
        <rFont val="Arial"/>
        <family val="2"/>
      </rPr>
      <t>’).</t>
    </r>
  </si>
  <si>
    <t>Pre-defined footnotes with standard meanings</t>
  </si>
  <si>
    <t xml:space="preserve">So called 'pre-defined footnotes' are footnotes with standard meaning. </t>
  </si>
  <si>
    <t>The following table shows the letter-symbols, labels and meanings of 'pre-defined footnotes' that users may employ in this questionnaire.</t>
  </si>
  <si>
    <t xml:space="preserve">Symbol </t>
  </si>
  <si>
    <t xml:space="preserve">Label </t>
  </si>
  <si>
    <t xml:space="preserve">Meaning </t>
  </si>
  <si>
    <t>b)</t>
  </si>
  <si>
    <t>Break in time series</t>
  </si>
  <si>
    <t>Break occurring when there is a change in the standards for defining and observing a variable over time.
The flag 'b' is to be attached to the first time period after the break.
Where possible, further details should be provided in the national quality report via ESS-MH, under the sub-concept 15.2 Comparability - over time.</t>
  </si>
  <si>
    <t>c)</t>
  </si>
  <si>
    <t>Confidential</t>
  </si>
  <si>
    <t>Confidential data are data which are subject to confidentiality clauses.
Where possible, further details should be provided in the national quality report via ESS-MH, under the concept 7. ‘Confidentiality’.</t>
  </si>
  <si>
    <t>d)</t>
  </si>
  <si>
    <t>Secondary confidentiality</t>
  </si>
  <si>
    <t>Secondary confidential data are data made confidential in order to prevent third parties to indirectly calculate the data points genuinely flagged as confidential.
Please note that this footnote converts into confidential (c) when published in Eurostat’s online database.</t>
  </si>
  <si>
    <t>e)</t>
  </si>
  <si>
    <t>Estimated data</t>
  </si>
  <si>
    <t xml:space="preserve">The ‘e’ (estimate) flag shall be used only if one or several data points have been calculated using a significantly different methodology and/or sources than the rest of the data points in the questionnaire. </t>
  </si>
  <si>
    <t>p)</t>
  </si>
  <si>
    <t xml:space="preserve">Provisional </t>
  </si>
  <si>
    <t>The ‘p’ (provisional) flag shall be used when a data point value is expected to be revised and submitted to Eurostat before the next data collection. In the case of early estimates, the flag ‘e’ is deemed sufficient and the ‘p’ flag can be omitted. Notice all ‘p’ (provisional) flags sent during a given data collection will be systematically removed during the subsequent data collection, unless the ‘p’ flags are again resubmitted.</t>
  </si>
  <si>
    <t>The following combinations of pre-defined footnotes are allowed:</t>
  </si>
  <si>
    <t>Combinations of pre-defined footnote symbols in Excel questionnaire</t>
  </si>
  <si>
    <t>Combinations of pre-defined footnotes</t>
  </si>
  <si>
    <t>))b)e)</t>
  </si>
  <si>
    <t>Break in time series whilst estimated data</t>
  </si>
  <si>
    <t>))b)p)</t>
  </si>
  <si>
    <t>Break in time series whilst provisional</t>
  </si>
  <si>
    <t>))b)e)p)</t>
  </si>
  <si>
    <t>Break in time series whilst estimated data whilst provisional</t>
  </si>
  <si>
    <t>)c)b)</t>
  </si>
  <si>
    <t>Confidential whilst break in time series</t>
  </si>
  <si>
    <t>)d)b)</t>
  </si>
  <si>
    <t>Secondary confidentiality whilst break in time series</t>
  </si>
  <si>
    <t>))e)p)</t>
  </si>
  <si>
    <t>Estimated data whilst provisional</t>
  </si>
  <si>
    <t>Free text' footnotes</t>
  </si>
  <si>
    <t xml:space="preserve">A 'free text' footnote is used for any meaning beyond the pre-defined footnotes. </t>
  </si>
  <si>
    <r>
      <t>The symbol for 'free text' footnotes are numbers followed by a closing bracket (e.g. '</t>
    </r>
    <r>
      <rPr>
        <sz val="10"/>
        <color rgb="FFFF0000"/>
        <rFont val="Arial"/>
        <family val="2"/>
      </rPr>
      <t>1)</t>
    </r>
    <r>
      <rPr>
        <sz val="10"/>
        <rFont val="Arial"/>
        <family val="2"/>
      </rPr>
      <t>').</t>
    </r>
  </si>
  <si>
    <t>The content of 'free text' footnotes must be specified by the user in the sheet 'footnote_list'.</t>
  </si>
  <si>
    <t xml:space="preserve">Note that one and only one 'free text' footnote symbol can be associated to a reported value (data point). </t>
  </si>
  <si>
    <t>Specific order of footnote symbols must be respected!</t>
  </si>
  <si>
    <t xml:space="preserve">It is possible to associate more than one footnote to a value-cell (data point). </t>
  </si>
  <si>
    <r>
      <t xml:space="preserve">In case of multiple footnote symbols, </t>
    </r>
    <r>
      <rPr>
        <b/>
        <sz val="10"/>
        <rFont val="Arial"/>
        <family val="2"/>
      </rPr>
      <t>a specific order must be followed</t>
    </r>
    <r>
      <rPr>
        <sz val="10"/>
        <rFont val="Arial"/>
        <family val="2"/>
      </rPr>
      <t xml:space="preserve">!	</t>
    </r>
  </si>
  <si>
    <r>
      <rPr>
        <u/>
        <sz val="10"/>
        <rFont val="Arial"/>
        <family val="2"/>
      </rPr>
      <t>1</t>
    </r>
    <r>
      <rPr>
        <u/>
        <vertAlign val="superscript"/>
        <sz val="10"/>
        <rFont val="Arial"/>
        <family val="2"/>
      </rPr>
      <t>st</t>
    </r>
    <r>
      <rPr>
        <u/>
        <sz val="10"/>
        <rFont val="Arial"/>
        <family val="2"/>
      </rPr>
      <t xml:space="preserve"> position</t>
    </r>
    <r>
      <rPr>
        <sz val="10"/>
        <rFont val="Arial"/>
        <family val="2"/>
      </rPr>
      <t xml:space="preserve"> - First must come the </t>
    </r>
    <r>
      <rPr>
        <b/>
        <i/>
        <sz val="10"/>
        <rFont val="Arial"/>
        <family val="2"/>
      </rPr>
      <t>'free text' footnote symbol</t>
    </r>
    <r>
      <rPr>
        <sz val="10"/>
        <rFont val="Arial"/>
        <family val="2"/>
      </rPr>
      <t>. The first position is always reserved for this! You must put a bracket even if you do not have any 'free text' footnote in case of further pre-defined footnote symbols should follow.</t>
    </r>
  </si>
  <si>
    <r>
      <rPr>
        <u/>
        <sz val="10"/>
        <rFont val="Arial"/>
        <family val="2"/>
      </rPr>
      <t>2</t>
    </r>
    <r>
      <rPr>
        <u/>
        <vertAlign val="superscript"/>
        <sz val="10"/>
        <rFont val="Arial"/>
        <family val="2"/>
      </rPr>
      <t>nd</t>
    </r>
    <r>
      <rPr>
        <u/>
        <sz val="10"/>
        <rFont val="Arial"/>
        <family val="2"/>
      </rPr>
      <t xml:space="preserve"> position</t>
    </r>
    <r>
      <rPr>
        <sz val="10"/>
        <rFont val="Arial"/>
        <family val="2"/>
      </rPr>
      <t xml:space="preserve"> - Secondly, </t>
    </r>
    <r>
      <rPr>
        <b/>
        <i/>
        <sz val="10"/>
        <rFont val="Arial"/>
        <family val="2"/>
      </rPr>
      <t>footnote symbol for confidentiality</t>
    </r>
    <r>
      <rPr>
        <sz val="10"/>
        <rFont val="Arial"/>
        <family val="2"/>
      </rPr>
      <t xml:space="preserve">: this can be </t>
    </r>
    <r>
      <rPr>
        <sz val="10"/>
        <color rgb="FFFF0000"/>
        <rFont val="Arial"/>
        <family val="2"/>
      </rPr>
      <t>c)</t>
    </r>
    <r>
      <rPr>
        <sz val="10"/>
        <rFont val="Arial"/>
        <family val="2"/>
      </rPr>
      <t xml:space="preserve"> or </t>
    </r>
    <r>
      <rPr>
        <sz val="10"/>
        <color rgb="FFFF0000"/>
        <rFont val="Arial"/>
        <family val="2"/>
      </rPr>
      <t>d)</t>
    </r>
    <r>
      <rPr>
        <sz val="10"/>
        <rFont val="Arial"/>
        <family val="2"/>
      </rPr>
      <t xml:space="preserve">. The second position is always reserved for one and only one footnote symbol expressing confidentiality. You must put a bracket without letter if you do not have to express any confidentiality in case further pre-defined footnote symbols should follow.  </t>
    </r>
  </si>
  <si>
    <r>
      <rPr>
        <u/>
        <sz val="10"/>
        <rFont val="Arial"/>
        <family val="2"/>
      </rPr>
      <t>3</t>
    </r>
    <r>
      <rPr>
        <u/>
        <vertAlign val="superscript"/>
        <sz val="10"/>
        <rFont val="Arial"/>
        <family val="2"/>
      </rPr>
      <t>rd</t>
    </r>
    <r>
      <rPr>
        <u/>
        <sz val="10"/>
        <rFont val="Arial"/>
        <family val="2"/>
      </rPr>
      <t xml:space="preserve"> and more position</t>
    </r>
    <r>
      <rPr>
        <sz val="10"/>
        <rFont val="Arial"/>
        <family val="2"/>
      </rPr>
      <t xml:space="preserve"> - Finally, the third and possibly fourth, fifth and sixth positions are reserved for other pre-defined footnote symbols, namely </t>
    </r>
    <r>
      <rPr>
        <sz val="10"/>
        <color rgb="FFFF0000"/>
        <rFont val="Arial"/>
        <family val="2"/>
      </rPr>
      <t>b)</t>
    </r>
    <r>
      <rPr>
        <sz val="10"/>
        <rFont val="Arial"/>
        <family val="2"/>
      </rPr>
      <t xml:space="preserve">, </t>
    </r>
    <r>
      <rPr>
        <sz val="10"/>
        <color rgb="FFFF0000"/>
        <rFont val="Arial"/>
        <family val="2"/>
      </rPr>
      <t>e)</t>
    </r>
    <r>
      <rPr>
        <sz val="10"/>
        <rFont val="Arial"/>
        <family val="2"/>
      </rPr>
      <t xml:space="preserve">, and </t>
    </r>
    <r>
      <rPr>
        <sz val="10"/>
        <color rgb="FFFF0000"/>
        <rFont val="Arial"/>
        <family val="2"/>
      </rPr>
      <t>p).</t>
    </r>
    <r>
      <rPr>
        <sz val="10"/>
        <rFont val="Arial"/>
        <family val="2"/>
      </rPr>
      <t xml:space="preserve"> </t>
    </r>
  </si>
  <si>
    <r>
      <t>The following table summarises</t>
    </r>
    <r>
      <rPr>
        <b/>
        <sz val="10"/>
        <rFont val="Arial"/>
        <family val="2"/>
      </rPr>
      <t xml:space="preserve"> the specific order for reporting footnote symbols</t>
    </r>
    <r>
      <rPr>
        <sz val="10"/>
        <rFont val="Arial"/>
        <family val="2"/>
      </rPr>
      <t>:</t>
    </r>
  </si>
  <si>
    <t xml:space="preserve">Position </t>
  </si>
  <si>
    <t xml:space="preserve">Footnote type </t>
  </si>
  <si>
    <t>What to do if  'empty'</t>
  </si>
  <si>
    <r>
      <t>1</t>
    </r>
    <r>
      <rPr>
        <vertAlign val="superscript"/>
        <sz val="10"/>
        <rFont val="Arial"/>
        <family val="2"/>
      </rPr>
      <t>st</t>
    </r>
  </si>
  <si>
    <r>
      <t>free text', number followed by right bracket: e.g. ‘</t>
    </r>
    <r>
      <rPr>
        <sz val="10"/>
        <color rgb="FFFF0000"/>
        <rFont val="Arial"/>
        <family val="2"/>
      </rPr>
      <t>1)</t>
    </r>
    <r>
      <rPr>
        <sz val="10"/>
        <rFont val="Arial"/>
        <family val="2"/>
      </rPr>
      <t>’</t>
    </r>
    <r>
      <rPr>
        <b/>
        <sz val="10"/>
        <color rgb="FFFF0000"/>
        <rFont val="Arial"/>
        <family val="2"/>
      </rPr>
      <t xml:space="preserve"> (Note: only one is possible!)</t>
    </r>
  </si>
  <si>
    <t>A right bracket without number must be set in case pre-defined symbols should follow.</t>
  </si>
  <si>
    <r>
      <t>2</t>
    </r>
    <r>
      <rPr>
        <vertAlign val="superscript"/>
        <sz val="10"/>
        <rFont val="Arial"/>
        <family val="2"/>
      </rPr>
      <t>nd</t>
    </r>
  </si>
  <si>
    <r>
      <t xml:space="preserve">Confidentiality related predefined footnote symbol: </t>
    </r>
    <r>
      <rPr>
        <sz val="10"/>
        <color rgb="FFFF0000"/>
        <rFont val="Arial"/>
        <family val="2"/>
      </rPr>
      <t>c)</t>
    </r>
    <r>
      <rPr>
        <sz val="10"/>
        <rFont val="Arial"/>
        <family val="2"/>
      </rPr>
      <t xml:space="preserve"> or </t>
    </r>
    <r>
      <rPr>
        <sz val="10"/>
        <color rgb="FFFF0000"/>
        <rFont val="Arial"/>
        <family val="2"/>
      </rPr>
      <t>d)</t>
    </r>
    <r>
      <rPr>
        <sz val="10"/>
        <rFont val="Arial"/>
        <family val="2"/>
      </rPr>
      <t xml:space="preserve">     (only one!)</t>
    </r>
  </si>
  <si>
    <t>A right bracket without letter must be set in case further pre-defined symbols should follow.</t>
  </si>
  <si>
    <r>
      <t>3</t>
    </r>
    <r>
      <rPr>
        <vertAlign val="superscript"/>
        <sz val="10"/>
        <rFont val="Arial"/>
        <family val="2"/>
      </rPr>
      <t>rd</t>
    </r>
    <r>
      <rPr>
        <sz val="10"/>
        <rFont val="Arial"/>
        <family val="2"/>
      </rPr>
      <t xml:space="preserve"> and more</t>
    </r>
  </si>
  <si>
    <r>
      <t xml:space="preserve">Other pre-defined footnote symbols: </t>
    </r>
    <r>
      <rPr>
        <sz val="10"/>
        <color rgb="FFFF0000"/>
        <rFont val="Arial"/>
        <family val="2"/>
      </rPr>
      <t>b)e)p)</t>
    </r>
  </si>
  <si>
    <t>No brackets to be set.</t>
  </si>
  <si>
    <t>Examples (use cases) for footnote reporting</t>
  </si>
  <si>
    <t>Example</t>
  </si>
  <si>
    <t>Meaning</t>
  </si>
  <si>
    <t xml:space="preserve">No. </t>
  </si>
  <si>
    <t>Symbols</t>
  </si>
  <si>
    <r>
      <t>1</t>
    </r>
    <r>
      <rPr>
        <b/>
        <vertAlign val="superscript"/>
        <sz val="10"/>
        <rFont val="Arial"/>
        <family val="2"/>
      </rPr>
      <t xml:space="preserve">st </t>
    </r>
    <r>
      <rPr>
        <b/>
        <sz val="10"/>
        <rFont val="Arial"/>
        <family val="2"/>
      </rPr>
      <t>position 'free text'</t>
    </r>
  </si>
  <si>
    <r>
      <t>2</t>
    </r>
    <r>
      <rPr>
        <b/>
        <vertAlign val="superscript"/>
        <sz val="10"/>
        <rFont val="Arial"/>
        <family val="2"/>
      </rPr>
      <t>nd</t>
    </r>
    <r>
      <rPr>
        <b/>
        <sz val="10"/>
        <rFont val="Arial"/>
        <family val="2"/>
      </rPr>
      <t xml:space="preserve"> position confidentiality</t>
    </r>
  </si>
  <si>
    <r>
      <t>3</t>
    </r>
    <r>
      <rPr>
        <b/>
        <vertAlign val="superscript"/>
        <sz val="10"/>
        <rFont val="Arial"/>
        <family val="2"/>
      </rPr>
      <t>rd</t>
    </r>
    <r>
      <rPr>
        <b/>
        <sz val="10"/>
        <rFont val="Arial"/>
        <family val="2"/>
      </rPr>
      <t xml:space="preserve"> &amp; more position</t>
    </r>
  </si>
  <si>
    <t>1)</t>
  </si>
  <si>
    <t xml:space="preserve">Free text' footnote is given in separate sheet </t>
  </si>
  <si>
    <t xml:space="preserve">empty </t>
  </si>
  <si>
    <t>empty</t>
  </si>
  <si>
    <t>1)d)</t>
  </si>
  <si>
    <t>Secondary' confidentiality</t>
  </si>
  <si>
    <t>1)c)p)</t>
  </si>
  <si>
    <t>Free text' footnote is given in separate sheet</t>
  </si>
  <si>
    <t>Primary' confidentiality'</t>
  </si>
  <si>
    <t>Provisional value</t>
  </si>
  <si>
    <t>1)c)b)p)</t>
  </si>
  <si>
    <t>Primary' confidentiality</t>
  </si>
  <si>
    <t>Break in series and provisional value</t>
  </si>
  <si>
    <t>1))b)</t>
  </si>
  <si>
    <t>Break in series</t>
  </si>
  <si>
    <t>)c)p)</t>
  </si>
  <si>
    <t>)d)b)p)</t>
  </si>
  <si>
    <t>)d)</t>
  </si>
  <si>
    <t>))b)</t>
  </si>
  <si>
    <t>Country :</t>
  </si>
  <si>
    <t>Flags Mode</t>
  </si>
  <si>
    <t>Type:</t>
  </si>
  <si>
    <t>Content:</t>
  </si>
  <si>
    <t>Footnotes (associating symbols to text)</t>
  </si>
  <si>
    <t>footnote symbol</t>
  </si>
  <si>
    <t>footnote text associated to symbol</t>
  </si>
  <si>
    <t>n)</t>
  </si>
  <si>
    <t>Not to be published (only to be set by Eurostat!)</t>
  </si>
  <si>
    <t>s)</t>
  </si>
  <si>
    <t>Eurostat estimate (only to be set by Eurostat!)</t>
  </si>
  <si>
    <t>C19 includes C20 and C21 for confidentiality reasons</t>
  </si>
  <si>
    <t>2)</t>
  </si>
  <si>
    <t>Impossible to correct the figure</t>
  </si>
  <si>
    <t>3)</t>
  </si>
  <si>
    <t>J61 is included in H53</t>
  </si>
  <si>
    <t>4)</t>
  </si>
  <si>
    <t>Sector U is included in S due to lack of more detailed data. For this reason U is set as 0.</t>
  </si>
  <si>
    <t>5)</t>
  </si>
  <si>
    <t>Reduced economic activity due to the financial crisis caused an emission reduction (N2O)</t>
  </si>
  <si>
    <t>6)</t>
  </si>
  <si>
    <t>Changes in reported emissions from aluminium production (PFC)</t>
  </si>
  <si>
    <t>7)</t>
  </si>
  <si>
    <t>The change is within expected variability (SF6)</t>
  </si>
  <si>
    <t>8)</t>
  </si>
  <si>
    <t>Increased use in E37-E39 (HFC)</t>
  </si>
  <si>
    <t>9)</t>
  </si>
  <si>
    <t>Increased use of wood waste in district heating (Biomass)</t>
  </si>
  <si>
    <t>10)</t>
  </si>
  <si>
    <t xml:space="preserve">First year with ended lifetime for windows isolated with SF6 </t>
  </si>
  <si>
    <t>11)</t>
  </si>
  <si>
    <t>Error in the "other adjustment-controle"</t>
  </si>
  <si>
    <t>12)</t>
  </si>
  <si>
    <t>Increased consumption of black liquor (biomass)</t>
  </si>
  <si>
    <t>13)</t>
  </si>
  <si>
    <t xml:space="preserve">Large increase in consumption of heavy fuel oil in international shipping. </t>
  </si>
  <si>
    <t>14)</t>
  </si>
  <si>
    <t>Large consumption of heavy fuel oil with high sulfur content in water transport.(SOx)</t>
  </si>
  <si>
    <t>15)</t>
  </si>
  <si>
    <t>Increased use of bio fuel in petrol and auto diesel (biomass)</t>
  </si>
  <si>
    <t>16)</t>
  </si>
  <si>
    <t>Decreased consumption of black liquor (biomass)</t>
  </si>
  <si>
    <t>17)</t>
  </si>
  <si>
    <t>Increased consumption of wood waste. (biomass)</t>
  </si>
  <si>
    <t>18)</t>
  </si>
  <si>
    <t>Increased use of petrol coke (SOx)</t>
  </si>
  <si>
    <t>19)</t>
  </si>
  <si>
    <t>Increased consumption of natural gas in ships</t>
  </si>
  <si>
    <t>20)</t>
  </si>
  <si>
    <t>Increased consumtion of biodiesel</t>
  </si>
  <si>
    <t>21)</t>
  </si>
  <si>
    <t>Increased consumtion of biogas</t>
  </si>
  <si>
    <t>22)</t>
  </si>
  <si>
    <t>Increased use of solvents (NMVOC)</t>
  </si>
  <si>
    <t>23)</t>
  </si>
  <si>
    <t>Increased figures on use in international sea transport in 2015. Calculated figures are highly uncertain</t>
  </si>
  <si>
    <t>24)</t>
  </si>
  <si>
    <t>Phasing out SF6 in footwear</t>
  </si>
  <si>
    <t>25)</t>
  </si>
  <si>
    <t>Increased emissions due to higher economic activity after the financial crisis</t>
  </si>
  <si>
    <t>26)</t>
  </si>
  <si>
    <t>The increase/decrease are due to an unintended emission at one facility in 2017. (SF6)</t>
  </si>
  <si>
    <t>27)</t>
  </si>
  <si>
    <t>Lower use due to closing-down of one plant</t>
  </si>
  <si>
    <t>28)</t>
  </si>
  <si>
    <t>Increased import of chemicals</t>
  </si>
  <si>
    <t>29)</t>
  </si>
  <si>
    <t>Change in type of chemicals imported</t>
  </si>
  <si>
    <t>30)</t>
  </si>
  <si>
    <t>First year to obtain sufficiently detailed data to differentiate between Non-resident and Resident Emissions</t>
  </si>
  <si>
    <t>31)</t>
  </si>
  <si>
    <t>Increased use of SF6 (insulation) in electricity production</t>
  </si>
  <si>
    <t>32)</t>
  </si>
  <si>
    <t>Increased consumption of marine gas oils in oil and gas extraction</t>
  </si>
  <si>
    <t>33)</t>
  </si>
  <si>
    <t>Increased consumption of marine gas oils</t>
  </si>
  <si>
    <t>34)</t>
  </si>
  <si>
    <t>Increased consumption of jet kerosene</t>
  </si>
  <si>
    <t>35)</t>
  </si>
  <si>
    <t>Increased consumption og solvents due to the COVID-19 pandemic</t>
  </si>
  <si>
    <t>36)</t>
  </si>
  <si>
    <t>Decreased consumption of marine gas oils</t>
  </si>
  <si>
    <t>37)</t>
  </si>
  <si>
    <t>Decreased consumption of other fossil fuels</t>
  </si>
  <si>
    <t>38)</t>
  </si>
  <si>
    <t>Increased consumption of other fossil fuels</t>
  </si>
  <si>
    <t>39)</t>
  </si>
  <si>
    <t>High sulfur content in fuels used in water transport</t>
  </si>
  <si>
    <t>40)</t>
  </si>
  <si>
    <t>Increased use of wood waste and pellets (Biomass)</t>
  </si>
  <si>
    <t>41)</t>
  </si>
  <si>
    <t>Increased use of autodiesel</t>
  </si>
  <si>
    <t>42)</t>
  </si>
  <si>
    <t>Increased aluminium production, reopening of facility closed in 2009</t>
  </si>
  <si>
    <t>43)</t>
  </si>
  <si>
    <t>Increased use of auto petrol</t>
  </si>
  <si>
    <t>44)</t>
  </si>
  <si>
    <t>Increased use of auto petrol and autodiesel</t>
  </si>
  <si>
    <t>45)</t>
  </si>
  <si>
    <t>Decreased use of auto petrol</t>
  </si>
  <si>
    <t>46)</t>
  </si>
  <si>
    <t>Difference due to change to AR5 GWP values</t>
  </si>
  <si>
    <t>47)</t>
  </si>
  <si>
    <t>Reduced imports in 2001 and 2002, leading to reduced amount of products reaching end of life in 2019</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</si>
  <si>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</si>
  <si>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</si>
  <si>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</si>
  <si>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</si>
  <si>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</si>
  <si>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</si>
  <si>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</si>
  <si>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</si>
  <si>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</si>
  <si>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</si>
  <si>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</si>
  <si>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</si>
  <si>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</si>
  <si>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</si>
  <si>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</si>
  <si>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</si>
  <si>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</si>
  <si>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</si>
  <si>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</si>
  <si>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</si>
  <si>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</si>
  <si>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</si>
  <si>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</si>
  <si>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</si>
  <si>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</si>
  <si>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</si>
  <si>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</si>
  <si>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</si>
  <si>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</si>
  <si>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</si>
  <si>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</si>
  <si>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</si>
  <si>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</si>
  <si>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</si>
  <si>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</si>
  <si>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</si>
  <si>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</si>
  <si>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</si>
  <si>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</si>
  <si>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</si>
  <si>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</si>
  <si>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</si>
  <si>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</si>
  <si>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</si>
  <si>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</si>
  <si>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</si>
  <si>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</si>
  <si>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</si>
  <si>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</si>
  <si>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</si>
  <si>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</si>
  <si>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</si>
  <si>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DATAENTRY</t>
  </si>
  <si>
    <t>Country:</t>
  </si>
  <si>
    <t>Air Pollutant</t>
  </si>
  <si>
    <t>POL</t>
  </si>
  <si>
    <t>LABEL</t>
  </si>
  <si>
    <t>Unit</t>
  </si>
  <si>
    <t>Million National Currency</t>
  </si>
  <si>
    <t>UNIT LABEL</t>
  </si>
  <si>
    <t>Air emissions by industry</t>
  </si>
  <si>
    <r>
      <t xml:space="preserve">   Household air emissions</t>
    </r>
    <r>
      <rPr>
        <b/>
        <sz val="8"/>
        <rFont val="Arial"/>
        <family val="2"/>
      </rPr>
      <t xml:space="preserve">
                                          </t>
    </r>
    <r>
      <rPr>
        <b/>
        <sz val="10"/>
        <rFont val="Arial"/>
        <family val="2"/>
      </rPr>
      <t>Households, totals</t>
    </r>
  </si>
  <si>
    <t>- Transport</t>
  </si>
  <si>
    <t>- Heating/cooling</t>
  </si>
  <si>
    <t>- Other</t>
  </si>
  <si>
    <r>
      <t xml:space="preserve">   Bridging items</t>
    </r>
    <r>
      <rPr>
        <b/>
        <sz val="10"/>
        <rFont val="Arial"/>
        <family val="2"/>
      </rPr>
      <t xml:space="preserve">
                                Total Air emissions accounts (industry </t>
    </r>
    <r>
      <rPr>
        <i/>
        <sz val="10"/>
        <rFont val="Arial"/>
        <family val="2"/>
      </rPr>
      <t>(row 5)</t>
    </r>
    <r>
      <rPr>
        <b/>
        <sz val="10"/>
        <rFont val="Arial"/>
        <family val="2"/>
      </rPr>
      <t xml:space="preserve"> + households </t>
    </r>
    <r>
      <rPr>
        <i/>
        <sz val="10"/>
        <rFont val="Arial"/>
        <family val="2"/>
      </rPr>
      <t>(row 91)</t>
    </r>
    <r>
      <rPr>
        <b/>
        <sz val="10"/>
        <rFont val="Arial"/>
        <family val="2"/>
      </rPr>
      <t>)</t>
    </r>
  </si>
  <si>
    <t>less National residents abroad</t>
  </si>
  <si>
    <t>-  National fishing vessels operating abroad</t>
  </si>
  <si>
    <t>-  Land transport</t>
  </si>
  <si>
    <t>-  Water transport</t>
  </si>
  <si>
    <t>-  Air transport</t>
  </si>
  <si>
    <t>plus Non-residents on the territory</t>
  </si>
  <si>
    <t>+  Land transport</t>
  </si>
  <si>
    <t>+ Water transport</t>
  </si>
  <si>
    <t>+  Air transport</t>
  </si>
  <si>
    <t>Other adjustments and statistical discrepancy</t>
  </si>
  <si>
    <r>
      <t>'Total CO</t>
    </r>
    <r>
      <rPr>
        <b/>
        <vertAlign val="subscript"/>
        <sz val="10"/>
        <color indexed="10"/>
        <rFont val="Arial"/>
        <family val="2"/>
      </rPr>
      <t>2</t>
    </r>
    <r>
      <rPr>
        <b/>
        <sz val="10"/>
        <color indexed="10"/>
        <rFont val="Arial"/>
        <family val="2"/>
      </rPr>
      <t xml:space="preserve"> emissions without LULUCF' as reported to UNFCCC </t>
    </r>
    <r>
      <rPr>
        <sz val="10"/>
        <color indexed="10"/>
        <rFont val="Arial"/>
        <family val="2"/>
      </rPr>
      <t>(table 10s1)</t>
    </r>
  </si>
  <si>
    <t>Year of submission to UNFCCC</t>
  </si>
  <si>
    <t>Parameters for the pollutants</t>
  </si>
  <si>
    <t>Parameters for the row classification</t>
  </si>
  <si>
    <t>Plausibility check</t>
  </si>
  <si>
    <t>Confidentiality</t>
  </si>
  <si>
    <t>Consistency check using equations</t>
  </si>
  <si>
    <t>Flags</t>
  </si>
  <si>
    <t>General parameters</t>
  </si>
  <si>
    <t>Pollutants</t>
  </si>
  <si>
    <t>EurobasePollutant</t>
  </si>
  <si>
    <t>Eurobase
Unit</t>
  </si>
  <si>
    <t>Label</t>
  </si>
  <si>
    <t>Other Label</t>
  </si>
  <si>
    <t>Type of data table</t>
  </si>
  <si>
    <t>Flag Row</t>
  </si>
  <si>
    <t>Row in "structure"</t>
  </si>
  <si>
    <t>Of Which</t>
  </si>
  <si>
    <t>Nr of decimals for consistency check</t>
  </si>
  <si>
    <t>Mandatory</t>
  </si>
  <si>
    <t>Questionnaire code</t>
  </si>
  <si>
    <t>Eurobase code</t>
  </si>
  <si>
    <t>Type of character</t>
  </si>
  <si>
    <t>Row</t>
  </si>
  <si>
    <t>Parent</t>
  </si>
  <si>
    <t>Annual growth</t>
  </si>
  <si>
    <t>Row for elephant</t>
  </si>
  <si>
    <t>Share to total</t>
  </si>
  <si>
    <t>2ndConf</t>
  </si>
  <si>
    <t>3rdConf</t>
  </si>
  <si>
    <t>Text to be displayed</t>
  </si>
  <si>
    <t>Equation</t>
  </si>
  <si>
    <t>Row to display message</t>
  </si>
  <si>
    <t>Code</t>
  </si>
  <si>
    <t>Semantic</t>
  </si>
  <si>
    <t>Request Value</t>
  </si>
  <si>
    <t>Disable Plausibility</t>
  </si>
  <si>
    <t>Eurostat</t>
  </si>
  <si>
    <t>Questionnaire - starting year</t>
  </si>
  <si>
    <t>THS_T</t>
  </si>
  <si>
    <t>Carbon Dioxide
(without emissions from biomass used as a fuel)</t>
  </si>
  <si>
    <t>1000 tonnes (Gg)|'''Total CO2 equivalent emissions, including indirect CO2,  without land use, land-use change and forestry' (as reported to UNFCCC table 10s2)</t>
  </si>
  <si>
    <t>5 decimals</t>
  </si>
  <si>
    <t>X</t>
  </si>
  <si>
    <t>A_U   01-99</t>
  </si>
  <si>
    <t>TOTAL</t>
  </si>
  <si>
    <t>Total industries</t>
  </si>
  <si>
    <t>Other adjustments = Total UNFCCC/CLRTAP - Total AEA + Residents abroad - Non-residents on the territory</t>
  </si>
  <si>
    <t>OR(OR(ROUND(SUM(#106),2)=ROUND(SUM(#95,#105) + IF(#101=":",SUM(#102:#104),SUM(#101)) - IF(#96=":",SUM(#97:#100),SUM(#96)),2), COUNTIF(#95:#105, ":")=11), COUNTIF(#106, ":")=1)</t>
  </si>
  <si>
    <t>Standard</t>
  </si>
  <si>
    <t>No</t>
  </si>
  <si>
    <t>Yes</t>
  </si>
  <si>
    <t>Questionnaire - end year</t>
  </si>
  <si>
    <t>Bio CO2</t>
  </si>
  <si>
    <t>CO2_BIO</t>
  </si>
  <si>
    <t>Carbon Dioxide from biomass used as a fuel</t>
  </si>
  <si>
    <t>1000 tonnes (Gg)|'''CO2 from biomass' as reported to UNFCCC (table 10s2: memo item)</t>
  </si>
  <si>
    <t>Agriculture, forestry and fishing</t>
  </si>
  <si>
    <t>Real estate activities: L &gt;= L68A</t>
  </si>
  <si>
    <t>OR(#62=":",SUM(#62)&gt;=SUM(#63))</t>
  </si>
  <si>
    <t>Number of pollutants</t>
  </si>
  <si>
    <t>T</t>
  </si>
  <si>
    <t>Nitrous oxide</t>
  </si>
  <si>
    <t>tonnes (Mg)|'''Total direct N2O emissions without N2O from LULUCF (as reported to UNFCCC table 10s4)</t>
  </si>
  <si>
    <t>A01</t>
  </si>
  <si>
    <t>Crop and animal production, hunting and related service activities</t>
  </si>
  <si>
    <t>Water transport: H50 must be bigger than the bridging item 'less national residents abroad - water transport'</t>
  </si>
  <si>
    <t>OR(#47=":",SUM(#47)&gt;=SUM(#99))</t>
  </si>
  <si>
    <t>Number of equations</t>
  </si>
  <si>
    <t>Methane</t>
  </si>
  <si>
    <t>tonnes (Mg)|'''Total CH4 emissions without CH4 from LULUCF (as reported to UNFCCC table 10s3)</t>
  </si>
  <si>
    <t>A02</t>
  </si>
  <si>
    <t>Forestry and logging</t>
  </si>
  <si>
    <t>Air transport: H51 must be bigger than bridging item 'less national residents abroad - air transport'</t>
  </si>
  <si>
    <t>OR(#48=":",SUM(#48)&gt;=SUM(#100))</t>
  </si>
  <si>
    <t>Number of rows</t>
  </si>
  <si>
    <t>TCO2E</t>
  </si>
  <si>
    <t>Hydrofluorocarbons</t>
  </si>
  <si>
    <t>tonnes (Mg) CO2-equivalents|'''Emissions of HFCs (as reported to UNFCCC table 10s5)</t>
  </si>
  <si>
    <t>A03</t>
  </si>
  <si>
    <t>Fishing and aquaculture</t>
  </si>
  <si>
    <t xml:space="preserve">Total AEA equals with inventory total, which is not plausible. </t>
  </si>
  <si>
    <t>SUM(#95)&lt;&gt;SUM(#106)</t>
  </si>
  <si>
    <t>n</t>
  </si>
  <si>
    <t>Not to be published</t>
  </si>
  <si>
    <t>Start row</t>
  </si>
  <si>
    <t>Perfluorocarbons</t>
  </si>
  <si>
    <t>tonnes (Mg) CO2-equivalents|'''Emissions of PFCs (as reported to UNFCCC table 10s5)</t>
  </si>
  <si>
    <t>Mining and quarrying</t>
  </si>
  <si>
    <t>Provisional</t>
  </si>
  <si>
    <t>Start column</t>
  </si>
  <si>
    <t>NF3_SF6</t>
  </si>
  <si>
    <t>Sulphur hexafluoride and nitrogen trifluoride</t>
  </si>
  <si>
    <t>tonnes (Mg) CO2-equivalents|'''Emissions of SF6 and NF3 (as reported to UNFCCC table 10s5)</t>
  </si>
  <si>
    <t>Manufacturing</t>
  </si>
  <si>
    <t>s</t>
  </si>
  <si>
    <t>Eurostat estimate</t>
  </si>
  <si>
    <t>Column for codes</t>
  </si>
  <si>
    <t>NOX</t>
  </si>
  <si>
    <t>TNO2E</t>
  </si>
  <si>
    <t>Nitrogen oxides</t>
  </si>
  <si>
    <t>tonnes (Mg) NO2-equivalents|'''National total for the entire territory' as reported to CLRTAP (Annex 1)</t>
  </si>
  <si>
    <t>C10-C12</t>
  </si>
  <si>
    <t>Manufacture of food products, beverages and tobacco
products</t>
  </si>
  <si>
    <t>Label column</t>
  </si>
  <si>
    <t>SO2</t>
  </si>
  <si>
    <t>SOX</t>
  </si>
  <si>
    <t>TSO2E</t>
  </si>
  <si>
    <t>Sulphur oxides</t>
  </si>
  <si>
    <t>tonnes (Mg) SO2-equivalents|'''National total for the entire territory' as reported to CLRTAP (Annex 1)</t>
  </si>
  <si>
    <t>C13-C15</t>
  </si>
  <si>
    <t>Manufacture of textiles, wearing apparel and leather products</t>
  </si>
  <si>
    <t>Ammonia</t>
  </si>
  <si>
    <t>tonnes (Mg)|'''National total for the entire territory' as reported to CLRTAP (Annex 1)</t>
  </si>
  <si>
    <t>C16-C18</t>
  </si>
  <si>
    <t>Manufacture of wood, paper, printing and reproduction</t>
  </si>
  <si>
    <t>Non-methane volatile organic compounds</t>
  </si>
  <si>
    <t>C16</t>
  </si>
  <si>
    <t>Manufacture of wood and of products of wood and cork, except furniture; manufacture of articles of straw and plaiting materials</t>
  </si>
  <si>
    <t>Item can have many NA sub-items</t>
  </si>
  <si>
    <t>Carbon monoxide</t>
  </si>
  <si>
    <t>C17</t>
  </si>
  <si>
    <t>Manufacture of paper and paper products</t>
  </si>
  <si>
    <t>Number of fixed flags</t>
  </si>
  <si>
    <t>Particulate matter 
(less than or equal to a nominal 10 microns)</t>
  </si>
  <si>
    <t>C18</t>
  </si>
  <si>
    <t>Printing and reproduction of recorded media</t>
  </si>
  <si>
    <t>Number of footnotes</t>
  </si>
  <si>
    <t>PM2_5</t>
  </si>
  <si>
    <t>Particulate matter
(less than or equal to a nominal 2.5 microns)</t>
  </si>
  <si>
    <t>C19</t>
  </si>
  <si>
    <t>Manufacture of coke and refined petroleum products</t>
  </si>
  <si>
    <t>AEA pollutants codes</t>
  </si>
  <si>
    <t>Number of check types/colors</t>
  </si>
  <si>
    <t>CO2_ROAD</t>
  </si>
  <si>
    <t>Carbon dioxide from road transport
(without emissions from biomass used as a fuel)</t>
  </si>
  <si>
    <t>1000 tonnes (Gg)|'''CO2 emissions from road transport (CRF 1.A.3.b), as reported to UNFCCC (Table 1s1)</t>
  </si>
  <si>
    <t>C20</t>
  </si>
  <si>
    <t>Manufacture of chemicals and chemical products</t>
  </si>
  <si>
    <t>Number of code list</t>
  </si>
  <si>
    <t>Nitrogen oxides from road transport</t>
  </si>
  <si>
    <t>tonnes (Mg) NO2-equivalents|'''Road transport emissions as reported to CLRTAP (Annex 1)</t>
  </si>
  <si>
    <t>C21</t>
  </si>
  <si>
    <t>Manufacture of basic pharmaceutical products and pharmaceutical preparations</t>
  </si>
  <si>
    <t>Disable Plausibility on Footnotes</t>
  </si>
  <si>
    <t>NMVOC_ROAD</t>
  </si>
  <si>
    <t>Non-methane volatile organic compounds from road transport</t>
  </si>
  <si>
    <t>tonnes (Mg)|'''Road transport emissions as reported to CLRTAP (Annex 1)</t>
  </si>
  <si>
    <t>C22_C23</t>
  </si>
  <si>
    <t>Manufacture of rubber and plastic products and other non-metallic mineral products</t>
  </si>
  <si>
    <t>Flags and Footnotes Coding System</t>
  </si>
  <si>
    <t>SDMX Flags</t>
  </si>
  <si>
    <t xml:space="preserve">Particulate matter 
(less than or equal to a nominal 10 microns) from road transport </t>
  </si>
  <si>
    <t>C22</t>
  </si>
  <si>
    <t>Manufacture of rubber and plastic products</t>
  </si>
  <si>
    <t>Mandatory starting year</t>
  </si>
  <si>
    <t>Particulate matter
(less than or equal to a nominal 2.5 microns) from road transport</t>
  </si>
  <si>
    <t>C23</t>
  </si>
  <si>
    <t>Manufacture of other non-metallic mineral products</t>
  </si>
  <si>
    <t>Mandatory end year</t>
  </si>
  <si>
    <t>C24_C25</t>
  </si>
  <si>
    <t>Manufacture of basic metals and fabricated metal products, except machinery and equipment</t>
  </si>
  <si>
    <t>Accept use of Eurostat flags</t>
  </si>
  <si>
    <t>C24</t>
  </si>
  <si>
    <t>Manufacture of basic metals</t>
  </si>
  <si>
    <t>AEA total codes</t>
  </si>
  <si>
    <t>Types of data tables</t>
  </si>
  <si>
    <t>C25</t>
  </si>
  <si>
    <t>Manufacture of fabricated metal products, except machinery and equipment</t>
  </si>
  <si>
    <t>Start Items</t>
  </si>
  <si>
    <t>Number of items</t>
  </si>
  <si>
    <t>Consistency check</t>
  </si>
  <si>
    <t>Equations - start</t>
  </si>
  <si>
    <t>Nb of equations</t>
  </si>
  <si>
    <t>C26</t>
  </si>
  <si>
    <t>Manufacture of computer, electronic and optical products</t>
  </si>
  <si>
    <t>Nace</t>
  </si>
  <si>
    <t>C27</t>
  </si>
  <si>
    <t>Manufacture of electrical equipment</t>
  </si>
  <si>
    <t>Country label</t>
  </si>
  <si>
    <t>Country code</t>
  </si>
  <si>
    <t>Road</t>
  </si>
  <si>
    <t>C28</t>
  </si>
  <si>
    <t>Manufacture of machinery and equipment n.e.c.</t>
  </si>
  <si>
    <t xml:space="preserve">Albania </t>
  </si>
  <si>
    <t xml:space="preserve">AL </t>
  </si>
  <si>
    <t>C29_C30</t>
  </si>
  <si>
    <t>Manufacture of motor vehicles, trailers, semi-trailers and of other transport equipment</t>
  </si>
  <si>
    <t>Austria</t>
  </si>
  <si>
    <t>AT</t>
  </si>
  <si>
    <t>Parameters to export data in flat file</t>
  </si>
  <si>
    <t>Type of character accepted</t>
  </si>
  <si>
    <t xml:space="preserve">not used </t>
  </si>
  <si>
    <t>C29</t>
  </si>
  <si>
    <t>Manufacture of motor vehicles, trailers and semi-trailers</t>
  </si>
  <si>
    <t>Belgium</t>
  </si>
  <si>
    <t>BE</t>
  </si>
  <si>
    <t>Flat file separator</t>
  </si>
  <si>
    <t>&lt;TAB&gt;</t>
  </si>
  <si>
    <t xml:space="preserve"> -&gt; Type &lt;TAB&gt; for tabulation</t>
  </si>
  <si>
    <t>Positive only</t>
  </si>
  <si>
    <t>updated</t>
  </si>
  <si>
    <t>C30</t>
  </si>
  <si>
    <t>Manufacture of other transport equipment</t>
  </si>
  <si>
    <t>Bosnia and Herzegovina</t>
  </si>
  <si>
    <t>BA</t>
  </si>
  <si>
    <t>File extension</t>
  </si>
  <si>
    <t>.txt</t>
  </si>
  <si>
    <t xml:space="preserve"> -&gt; Do not forget the "."</t>
  </si>
  <si>
    <t>Any value</t>
  </si>
  <si>
    <t>C31-C33</t>
  </si>
  <si>
    <t>Manufacture of furniture; jewellery, musical instruments, toys; repair and installation of machinery and equipment</t>
  </si>
  <si>
    <t>Bulgaria</t>
  </si>
  <si>
    <t>BG</t>
  </si>
  <si>
    <t>Text footnotes separator</t>
  </si>
  <si>
    <t>|</t>
  </si>
  <si>
    <t>Year</t>
  </si>
  <si>
    <t>C31_C32</t>
  </si>
  <si>
    <t>Manufacture of furniture; other manufacturing</t>
  </si>
  <si>
    <t>Croatia</t>
  </si>
  <si>
    <t>HR</t>
  </si>
  <si>
    <t>Add empty rows</t>
  </si>
  <si>
    <t xml:space="preserve"> -&gt; X to activate, empty otherwise</t>
  </si>
  <si>
    <t>Frozen</t>
  </si>
  <si>
    <t>C33</t>
  </si>
  <si>
    <t>Repair and installation of machinery and equipment</t>
  </si>
  <si>
    <t>Cyprus</t>
  </si>
  <si>
    <t>CY</t>
  </si>
  <si>
    <t>Add M flag</t>
  </si>
  <si>
    <t>Percentage</t>
  </si>
  <si>
    <t>Electricity, gas, steam and air conditioning supply</t>
  </si>
  <si>
    <t>Czechia</t>
  </si>
  <si>
    <t>CZ</t>
  </si>
  <si>
    <t>Round values</t>
  </si>
  <si>
    <t>Of which: total &gt; sum(sub-totals)</t>
  </si>
  <si>
    <t>Water supply; sewerage, waste management and remediation activities</t>
  </si>
  <si>
    <t>Denmark</t>
  </si>
  <si>
    <t>DK</t>
  </si>
  <si>
    <t>E36</t>
  </si>
  <si>
    <t>Water collection, treatment and supply</t>
  </si>
  <si>
    <t>Estonia</t>
  </si>
  <si>
    <t>EE</t>
  </si>
  <si>
    <t>Number of decimals</t>
  </si>
  <si>
    <t>E37-E39</t>
  </si>
  <si>
    <t>Sewerage, waste management, remediation activities</t>
  </si>
  <si>
    <t>Finland</t>
  </si>
  <si>
    <t>FI</t>
  </si>
  <si>
    <t>0 decimals</t>
  </si>
  <si>
    <t>F</t>
  </si>
  <si>
    <t>Construction</t>
  </si>
  <si>
    <t>France</t>
  </si>
  <si>
    <t>FR</t>
  </si>
  <si>
    <t>1 decimal</t>
  </si>
  <si>
    <t>G</t>
  </si>
  <si>
    <t>Wholesale and retail trade; repair of motor vehicles and motorcycles</t>
  </si>
  <si>
    <t>Germany</t>
  </si>
  <si>
    <t>DE</t>
  </si>
  <si>
    <t>2 decimals</t>
  </si>
  <si>
    <t>G45</t>
  </si>
  <si>
    <t>Wholesale and retail trade and repair of motor vehicles and motorcycles</t>
  </si>
  <si>
    <t>Greece</t>
  </si>
  <si>
    <t>EL</t>
  </si>
  <si>
    <t>G46</t>
  </si>
  <si>
    <t>Wholesale trade, except of motor vehicles and motorcycles</t>
  </si>
  <si>
    <t>Hungary</t>
  </si>
  <si>
    <t>HU</t>
  </si>
  <si>
    <t>4 decimals</t>
  </si>
  <si>
    <t>Warnings</t>
  </si>
  <si>
    <t>G47</t>
  </si>
  <si>
    <t>Retail trade, except of motor vehicles and motorcycles</t>
  </si>
  <si>
    <t>Iceland</t>
  </si>
  <si>
    <t>IS</t>
  </si>
  <si>
    <t>Color</t>
  </si>
  <si>
    <t>Description of the issue</t>
  </si>
  <si>
    <t>Display message</t>
  </si>
  <si>
    <t>Description</t>
  </si>
  <si>
    <t>H</t>
  </si>
  <si>
    <t>Transportation and storage</t>
  </si>
  <si>
    <t>Ireland</t>
  </si>
  <si>
    <t>IE</t>
  </si>
  <si>
    <t>6 decimals</t>
  </si>
  <si>
    <t>Default Value</t>
  </si>
  <si>
    <t>Default display for a data cell.</t>
  </si>
  <si>
    <t>H49</t>
  </si>
  <si>
    <t>Land transport and transport via pipelines</t>
  </si>
  <si>
    <t>Italy</t>
  </si>
  <si>
    <t>IT</t>
  </si>
  <si>
    <t>7 decimals</t>
  </si>
  <si>
    <t>Illegal Symbol</t>
  </si>
  <si>
    <t>[@1]</t>
  </si>
  <si>
    <t>This error occurs when an illegal symbol is reported.</t>
  </si>
  <si>
    <t>H50</t>
  </si>
  <si>
    <t>Water transport</t>
  </si>
  <si>
    <t>Latvia</t>
  </si>
  <si>
    <t>LV</t>
  </si>
  <si>
    <t>Consistency (Total &lt;&gt; Subtotal)</t>
  </si>
  <si>
    <t>Reported total or sub-total does not equal sum of sub-items; the calculated sum of sub-items  = @1.</t>
  </si>
  <si>
    <t xml:space="preserve">This consistency error is highlighted when all sub-items are reported and  the reported total or sub-total does not equal the sum of the sub-items and it calculates the correct total or sub-total based on the reported figures. </t>
  </si>
  <si>
    <t>H51</t>
  </si>
  <si>
    <t>Air transport</t>
  </si>
  <si>
    <t>Liechtenstein</t>
  </si>
  <si>
    <t>LI</t>
  </si>
  <si>
    <t>Consistency (Sub Sectors)</t>
  </si>
  <si>
    <t>The reported total or sub-total cannot be calculated as one item is 'not available'.</t>
  </si>
  <si>
    <t>This consistency error is highlighted when the total or the sub-total is reported and it is equal with the sum of the reported sub-items and one of the sub-items is 'not available'. The message is displayed in the total.</t>
  </si>
  <si>
    <t>H52</t>
  </si>
  <si>
    <t>Warehousing and support activities for transportation</t>
  </si>
  <si>
    <t>Lithuania</t>
  </si>
  <si>
    <t>LT</t>
  </si>
  <si>
    <t>Calculated value = @1.</t>
  </si>
  <si>
    <t>This consistency error occurs when all figures are reported except one, which is reported as "not available". If all figures are correctly reported, the missing figure can be calculated from the remaining figures. The message is displayed in the cell where the symbol ":" is reported.</t>
  </si>
  <si>
    <t>H53</t>
  </si>
  <si>
    <t>Postal and courier activities</t>
  </si>
  <si>
    <t>Luxembourg</t>
  </si>
  <si>
    <t>LU</t>
  </si>
  <si>
    <t>Consistency (Total &lt;= SubTotal)</t>
  </si>
  <si>
    <t>The reported total or sub-total cannot be calculated as more than one sub-item is indicated as 'not available'.</t>
  </si>
  <si>
    <t xml:space="preserve">This consistency error is highlighted when the total or the sub-total is reported and it is smaller or equal with the sum of the sub-items and several sub-items are 'not available'. </t>
  </si>
  <si>
    <t>I</t>
  </si>
  <si>
    <t>Accommodation and food service activities</t>
  </si>
  <si>
    <t>Malta</t>
  </si>
  <si>
    <t>MT</t>
  </si>
  <si>
    <t>The reported total is equal to the sum-of the sub-items and more of the sub-items are 'not available'.</t>
  </si>
  <si>
    <r>
      <t xml:space="preserve">This consistency error is highlighted when the total or the sub-total is reported and it is equal to the sum of the sub-items, while several sub-items are 'not available'.
</t>
    </r>
    <r>
      <rPr>
        <b/>
        <sz val="9"/>
        <color theme="1"/>
        <rFont val="Calibri"/>
        <family val="2"/>
        <scheme val="minor"/>
      </rPr>
      <t>Currently activated; in order to deactivate this check, add an "x" to cell C15 in this parameter sheet.</t>
    </r>
  </si>
  <si>
    <t>J</t>
  </si>
  <si>
    <t>Information and communication</t>
  </si>
  <si>
    <t>Moldova</t>
  </si>
  <si>
    <t>MD</t>
  </si>
  <si>
    <t>Types of rounding</t>
  </si>
  <si>
    <t>Consistency (Equation)</t>
  </si>
  <si>
    <t>@1</t>
  </si>
  <si>
    <t>This message is displayed when the equations (see column AC in this sheet) are not verified. The message to be displayed is available in column AB.</t>
  </si>
  <si>
    <t>J58-J60</t>
  </si>
  <si>
    <t>Publishing, motion picture, video, television programme production; sound recording, programming and broadcasting activities</t>
  </si>
  <si>
    <t>Montenegro</t>
  </si>
  <si>
    <t>ME</t>
  </si>
  <si>
    <t>SUM(ROUND(V))</t>
  </si>
  <si>
    <t>Plausibility</t>
  </si>
  <si>
    <t>Growth rate = @1 (Threshold +/-@2)</t>
  </si>
  <si>
    <t>Plausibility issue</t>
  </si>
  <si>
    <t>J58</t>
  </si>
  <si>
    <t>Publishing activities</t>
  </si>
  <si>
    <t>Netherlands</t>
  </si>
  <si>
    <t>NL</t>
  </si>
  <si>
    <t>Plausibility and consistency</t>
  </si>
  <si>
    <t>Simultaneous plausibility and consistency issue.</t>
  </si>
  <si>
    <t>J59_J60</t>
  </si>
  <si>
    <t>Motion picture, video, television programme production; programming and broadcasting activities</t>
  </si>
  <si>
    <t>North Macedonia</t>
  </si>
  <si>
    <t>MK</t>
  </si>
  <si>
    <t>c)10)</t>
  </si>
  <si>
    <t>Default Footnote</t>
  </si>
  <si>
    <t>Default display of the footnotes.</t>
  </si>
  <si>
    <t>J61</t>
  </si>
  <si>
    <t>Telecommunications</t>
  </si>
  <si>
    <t>a)21)</t>
  </si>
  <si>
    <t>Illegal footnote</t>
  </si>
  <si>
    <t>@1) No footnote description.</t>
  </si>
  <si>
    <t>This error occurs when a footnote is included, but there is not text in the footnote area.</t>
  </si>
  <si>
    <t>J62_J63</t>
  </si>
  <si>
    <t>Computer programming, consultancy, and information service activities</t>
  </si>
  <si>
    <t>Poland</t>
  </si>
  <si>
    <t>PL</t>
  </si>
  <si>
    <t>@1) Wrong footnote number.</t>
  </si>
  <si>
    <t>This error occurs when the footnote includes a number that does not exist in the footnote area.</t>
  </si>
  <si>
    <t>K</t>
  </si>
  <si>
    <t>Financial and insurance activities</t>
  </si>
  <si>
    <t>Portugal</t>
  </si>
  <si>
    <t>PT</t>
  </si>
  <si>
    <t>@1) Wrong footnote letter.</t>
  </si>
  <si>
    <t>This error occurs when the footnote includes a letter that does not exist in the footnote area.</t>
  </si>
  <si>
    <t>K64</t>
  </si>
  <si>
    <t>Financial service activities, except insurance and pension funding</t>
  </si>
  <si>
    <t>Romania</t>
  </si>
  <si>
    <t>RO</t>
  </si>
  <si>
    <t>Wrong footnote ending [@1].</t>
  </si>
  <si>
    <t>This error occurs when the footnote does not have a parenthesis at the end.</t>
  </si>
  <si>
    <t>K65</t>
  </si>
  <si>
    <t>Insurance, reinsurance and pension funding, except compulsory social security</t>
  </si>
  <si>
    <t>Serbia</t>
  </si>
  <si>
    <t>RS</t>
  </si>
  <si>
    <t>@1) flag not allowed with value '@2'.</t>
  </si>
  <si>
    <t>This error occurs when the footnote cannot be used together with what was reported in the data cell.</t>
  </si>
  <si>
    <t>K66</t>
  </si>
  <si>
    <t>Activities auxiliary to financial services and insurance activities</t>
  </si>
  <si>
    <t>Slovak Republic</t>
  </si>
  <si>
    <t>SK</t>
  </si>
  <si>
    <t>This check is done for all footnotes and, depending on the error, one of the above five message (cell I56-I60) will be displayed.</t>
  </si>
  <si>
    <t>L</t>
  </si>
  <si>
    <t>Real estate activities</t>
  </si>
  <si>
    <t>Slovenia</t>
  </si>
  <si>
    <t>SI</t>
  </si>
  <si>
    <t>Confidentiality error</t>
  </si>
  <si>
    <t>Secondary confidentiality required under sector @1 (see 'instructions' sheet).</t>
  </si>
  <si>
    <t xml:space="preserve">This confidentiality error is highlighted when only one sub-item (i.e. this highlighted one) is flagged confidential. In such a case it is recommended to flag additional sub-items (secondary confidentiality flag 'd') on the same hierarchical MF-level in order to enable displaying the total or sub-total. </t>
  </si>
  <si>
    <t>L68A</t>
  </si>
  <si>
    <t>Imputed rents of owner-occupied dwellings</t>
  </si>
  <si>
    <t>Spain</t>
  </si>
  <si>
    <t>ES</t>
  </si>
  <si>
    <t>Confidentiality warning</t>
  </si>
  <si>
    <t>Confidentiality not correctly applied (see 'instructions' sheet).</t>
  </si>
  <si>
    <t xml:space="preserve">This confidentiality error is highlighted when a total or sub-total is flagged confidential although it should not because one or two sub-items are flagged confidential. In such cases it is recommended to flag additional sub-items (secondary confidentiality) in order to enable displaying the total or sub-total. Also this confidentiality error is highlighted when the c) flag is used for zero or 'not available' cells.   </t>
  </si>
  <si>
    <t>M</t>
  </si>
  <si>
    <t>Professional, scientific and technical activities</t>
  </si>
  <si>
    <t>Sweden</t>
  </si>
  <si>
    <t>SE</t>
  </si>
  <si>
    <t>Frozen row</t>
  </si>
  <si>
    <t>Not evaluated.</t>
  </si>
  <si>
    <t>M69-M71</t>
  </si>
  <si>
    <t>Legal and accounting activities; activities of head offices; management consultancy activities; architectural and engineering activities; technical testing and analysis</t>
  </si>
  <si>
    <t>Switzerland</t>
  </si>
  <si>
    <t>CH</t>
  </si>
  <si>
    <t>Only Font color will be used ==&gt;</t>
  </si>
  <si>
    <t>Of which</t>
  </si>
  <si>
    <t>Value should be smaller or equal to the value in the same cell of sheet '@1'.</t>
  </si>
  <si>
    <t>An error is displayed if the "of which" value is bigger than the one to be compared with (e.g. if PM2.5&gt;PM10)</t>
  </si>
  <si>
    <t>M69_M70</t>
  </si>
  <si>
    <t>Legal and accounting activities; activities of head offices; management consultancy activities</t>
  </si>
  <si>
    <t>Türkiye</t>
  </si>
  <si>
    <t>TR</t>
  </si>
  <si>
    <t>Plausibility with Footnote</t>
  </si>
  <si>
    <t>M71</t>
  </si>
  <si>
    <t>Architectural and engineering activities; technical testing and analysis</t>
  </si>
  <si>
    <t>Ukraine</t>
  </si>
  <si>
    <t>UA</t>
  </si>
  <si>
    <t>M72</t>
  </si>
  <si>
    <t>Scientific research and development</t>
  </si>
  <si>
    <t>United Kingdom</t>
  </si>
  <si>
    <t>UK</t>
  </si>
  <si>
    <t>Mandatory Cell</t>
  </si>
  <si>
    <t>Reporting this cell is mandatory, not available symbol is not allowed!</t>
  </si>
  <si>
    <t>This error occurs when a not available symbol is used on a mandatory cell</t>
  </si>
  <si>
    <t>M73-M75</t>
  </si>
  <si>
    <t>Advertising and market research; other professional, scientific and technical activities; veterinary activities</t>
  </si>
  <si>
    <t>Eurostat reserved flag</t>
  </si>
  <si>
    <t>Raised only is 'Accept Eurostat Flag Use' option is activated. Does not take the lead on Stadard Footnote Error (Act as Information). Use the Display message to add the message as cell Comment.</t>
  </si>
  <si>
    <t>M73</t>
  </si>
  <si>
    <t>Advertising and market research</t>
  </si>
  <si>
    <t>SDMX footnote syntax</t>
  </si>
  <si>
    <t xml:space="preserve">@1) is not a valid ‘free-text’ footnote symbol </t>
  </si>
  <si>
    <t>Occurs when a non numeric or extra numeric (&lt;0 or &gt;100) is used as ‘free-text’ footnote symbol on the first position of the SDMX format(1st position = ‘free-text’ footnote)</t>
  </si>
  <si>
    <t>M74_M75</t>
  </si>
  <si>
    <t>Other professional, scientific and technical activities; veterinary activities</t>
  </si>
  <si>
    <t xml:space="preserve">@1) is not a valid pre-defined footnote symbol expressing confidentiality </t>
  </si>
  <si>
    <t>Occurs when a non-confidential pre-defined footnote symbol is used in second position of the SDMX format BUT PRE-DEFINED FOOTNOTE SYMBOL DOES EXIST</t>
  </si>
  <si>
    <t>N</t>
  </si>
  <si>
    <t>Administrative and support service activities</t>
  </si>
  <si>
    <t>@1) is not a valid pre-defined footnote symbol</t>
  </si>
  <si>
    <t>Occurs when a non-valid footnote symbol is used in second position of SDMX format AND pre-defined footnote symbol does not exist at all</t>
  </si>
  <si>
    <t>N77</t>
  </si>
  <si>
    <t>Rental and leasing activities</t>
  </si>
  <si>
    <t>Wrong use of brackets (footnote separators)</t>
  </si>
  <si>
    <t>Occurs when flag is coditied like this: c))b)</t>
  </si>
  <si>
    <t>N78</t>
  </si>
  <si>
    <t>Employment activities</t>
  </si>
  <si>
    <t>@1) is not a valid pre-defined footnote symbol for the third (and more) position</t>
  </si>
  <si>
    <t>Occurs when a pre-defined footnote symbol expressing confidentiality is used in third position of SDMX format like ))c)</t>
  </si>
  <si>
    <t>N79</t>
  </si>
  <si>
    <t>Travel agency, tour operator reservation service and related activities</t>
  </si>
  <si>
    <t>@1) is not a valid footnote symbol for the third (and more) position</t>
  </si>
  <si>
    <t>Occurs when the footnote symbol (letter or number) is not allowed for the third position of SDMX format</t>
  </si>
  <si>
    <t>N80-N82</t>
  </si>
  <si>
    <t>Security and investigation, service and landscape, office administrative and support activities</t>
  </si>
  <si>
    <t>@1) is duplicated</t>
  </si>
  <si>
    <t>Occurs when a footnote symbol is used twice. (does not apply when an Excel formula is used)</t>
  </si>
  <si>
    <t>O</t>
  </si>
  <si>
    <t>Public administration and defence; compulsory social security</t>
  </si>
  <si>
    <t>Classical Flag syntax</t>
  </si>
  <si>
    <t>@1) other confidential flag used (@2)</t>
  </si>
  <si>
    <t>Occurs when more than one confidential flag is used (c, d or n)</t>
  </si>
  <si>
    <t>Education</t>
  </si>
  <si>
    <t>@1) is a pre-defined footnote symbol that can be set by Eurostat only</t>
  </si>
  <si>
    <t>Occurs when a n) or s) footnote symbol is used directly by MS (and respective option/switch disabled)</t>
  </si>
  <si>
    <t>Q</t>
  </si>
  <si>
    <t>Human health and social work activities</t>
  </si>
  <si>
    <t>Equation Total AEA</t>
  </si>
  <si>
    <t>New Message</t>
  </si>
  <si>
    <t>Q86</t>
  </si>
  <si>
    <t>Human health activities</t>
  </si>
  <si>
    <t>Missing country code</t>
  </si>
  <si>
    <t>Country is not selected on the 'intro' sheet.</t>
  </si>
  <si>
    <t>Occurs when no country is selected on the 'intro' sheet.</t>
  </si>
  <si>
    <t>Q87_Q88</t>
  </si>
  <si>
    <t>Residential care activities and social work activities without accommodation</t>
  </si>
  <si>
    <t>R</t>
  </si>
  <si>
    <t>Arts, entertainment and recreation</t>
  </si>
  <si>
    <t>R90-R92</t>
  </si>
  <si>
    <t>Creative, arts and entertainment activities; libraries, archives, museums and other cultural activities; gambling and betting activities</t>
  </si>
  <si>
    <t>R93</t>
  </si>
  <si>
    <t>Sports activities and amusement and recreation activities</t>
  </si>
  <si>
    <t>S</t>
  </si>
  <si>
    <t>Other service activities</t>
  </si>
  <si>
    <t>S94</t>
  </si>
  <si>
    <t>Activities of membership organisations</t>
  </si>
  <si>
    <t>S95</t>
  </si>
  <si>
    <t>Repair of computers and personal and household goods</t>
  </si>
  <si>
    <t>S96</t>
  </si>
  <si>
    <t>Other personal service activities</t>
  </si>
  <si>
    <t>Activities of households as employers; undifferentiated goods- and services-producing activities of households for own use</t>
  </si>
  <si>
    <t>U</t>
  </si>
  <si>
    <t>Activities of extraterritorial organisations and bodies</t>
  </si>
  <si>
    <t>ZZ</t>
  </si>
  <si>
    <t>HH</t>
  </si>
  <si>
    <t>Total Households</t>
  </si>
  <si>
    <t>ZZ1</t>
  </si>
  <si>
    <t>HH_TRA</t>
  </si>
  <si>
    <t>Transport</t>
  </si>
  <si>
    <t>ZZ2</t>
  </si>
  <si>
    <t>HH_HEAT</t>
  </si>
  <si>
    <t>Heating</t>
  </si>
  <si>
    <t>ZZ3</t>
  </si>
  <si>
    <t>HH_OTH</t>
  </si>
  <si>
    <t>Other</t>
  </si>
  <si>
    <t>TOT_NACE_HH</t>
  </si>
  <si>
    <t>Calculated Total (Industry+Household)</t>
  </si>
  <si>
    <t>BIRA</t>
  </si>
  <si>
    <t>TOT_NRA</t>
  </si>
  <si>
    <t>BIRA1</t>
  </si>
  <si>
    <t>NRA_FISH</t>
  </si>
  <si>
    <t>BIRA2</t>
  </si>
  <si>
    <t>NRA_LAND</t>
  </si>
  <si>
    <t>BIRA3</t>
  </si>
  <si>
    <t>NRA_WATER</t>
  </si>
  <si>
    <t>BIRA4</t>
  </si>
  <si>
    <t>NRA_AIR</t>
  </si>
  <si>
    <t>BINR</t>
  </si>
  <si>
    <t>TOT_NRES</t>
  </si>
  <si>
    <t>BINR1</t>
  </si>
  <si>
    <t>NRES_LAND</t>
  </si>
  <si>
    <t>BINR2</t>
  </si>
  <si>
    <t>NRES_WATER</t>
  </si>
  <si>
    <t>BINR3</t>
  </si>
  <si>
    <t>NRES_AIR</t>
  </si>
  <si>
    <t>BISD</t>
  </si>
  <si>
    <t>ADJ_OTH</t>
  </si>
  <si>
    <t>TOTREP</t>
  </si>
  <si>
    <t>TOT_CONV</t>
  </si>
  <si>
    <t>'Total CO2 emissions without LUCF' as reported to UNFCCC (table 10s1)</t>
  </si>
  <si>
    <t>TOTY</t>
  </si>
  <si>
    <t>0_TOT_YR_SUBM</t>
  </si>
  <si>
    <t>BRIDGE_ITEM</t>
  </si>
  <si>
    <t>1000 tonnes (Gg)</t>
  </si>
  <si>
    <t>W2</t>
  </si>
  <si>
    <t>ATU</t>
  </si>
  <si>
    <t>RES</t>
  </si>
  <si>
    <t>_Z</t>
  </si>
  <si>
    <t>TN</t>
  </si>
  <si>
    <t>_T</t>
  </si>
  <si>
    <t>S1</t>
  </si>
  <si>
    <t>C10T12</t>
  </si>
  <si>
    <t>C13T15</t>
  </si>
  <si>
    <t>C31_32</t>
  </si>
  <si>
    <t>E37T39</t>
  </si>
  <si>
    <t>J59_60</t>
  </si>
  <si>
    <t>J62_63</t>
  </si>
  <si>
    <t>M69_70</t>
  </si>
  <si>
    <t>M74_75</t>
  </si>
  <si>
    <t>N80T82</t>
  </si>
  <si>
    <t>Q87_88</t>
  </si>
  <si>
    <t>R90T92</t>
  </si>
  <si>
    <t>HH_TR</t>
  </si>
  <si>
    <r>
      <t xml:space="preserve">   Bridging items</t>
    </r>
    <r>
      <rPr>
        <b/>
        <sz val="10"/>
        <rFont val="Arial"/>
        <family val="2"/>
      </rPr>
      <t xml:space="preserve">
1                               Total Air emissions accounts (industry </t>
    </r>
    <r>
      <rPr>
        <i/>
        <sz val="10"/>
        <rFont val="Arial"/>
        <family val="2"/>
      </rPr>
      <t>(row 5)</t>
    </r>
    <r>
      <rPr>
        <b/>
        <sz val="10"/>
        <rFont val="Arial"/>
        <family val="2"/>
      </rPr>
      <t xml:space="preserve"> + households </t>
    </r>
    <r>
      <rPr>
        <i/>
        <sz val="10"/>
        <rFont val="Arial"/>
        <family val="2"/>
      </rPr>
      <t>(row 91)</t>
    </r>
    <r>
      <rPr>
        <b/>
        <sz val="10"/>
        <rFont val="Arial"/>
        <family val="2"/>
      </rPr>
      <t>)</t>
    </r>
  </si>
  <si>
    <t>ATU_HH</t>
  </si>
  <si>
    <t>RES_ABR</t>
  </si>
  <si>
    <t>RES_ABR_FWTR</t>
  </si>
  <si>
    <t>RES_ABR_LTR</t>
  </si>
  <si>
    <t>RES_ABR_WTR</t>
  </si>
  <si>
    <t>RES_ABR_ATR</t>
  </si>
  <si>
    <t>TER_NRES</t>
  </si>
  <si>
    <t>TER_NRES_LTR</t>
  </si>
  <si>
    <t>TER_NRES_WTR</t>
  </si>
  <si>
    <t>TER_NRES_ATR</t>
  </si>
  <si>
    <t>ADJ_SD</t>
  </si>
  <si>
    <t>'Total CO2 equivalent emissions, including indirect CO2,  without land use, land-use change and forestry' (as reported to UNFCCC table 10s2)</t>
  </si>
  <si>
    <t>TER</t>
  </si>
  <si>
    <t>Explanatory notes for bridging items:</t>
  </si>
  <si>
    <t>Total Air emissions accounts (industry (row 5) + households (row 91)) - residence principle</t>
  </si>
  <si>
    <t>Fishing vessels operated by resident units bunkering outside of the reporting country</t>
  </si>
  <si>
    <t>Land transport (incl. rail) by resident units fuelling outside of the reporting country</t>
  </si>
  <si>
    <t>Domestic navigation by resident units bunkering at ports outside of the reporting country and all international navigation by resident units</t>
  </si>
  <si>
    <t>Domestic aviation by resident units bunkering at airports outside of the reporting country and all international aviation by resident units</t>
  </si>
  <si>
    <t>Land transport (incl. rail) by non-resident units fuelling on the territory of the reporting country</t>
  </si>
  <si>
    <t>Domestic navigation by non-residents bunkering at ports of the reporting country</t>
  </si>
  <si>
    <t>Domestic aviation by non-residents bunkering at airports of the reporting country</t>
  </si>
  <si>
    <t>National totals derived from UNFCCC inventories that include domestic aviation/navigation bunkering at airports/ports of the reporting country, while excluding international transport and LULUCF - territory principle</t>
  </si>
  <si>
    <r>
      <t xml:space="preserve">   Bridging items</t>
    </r>
    <r>
      <rPr>
        <b/>
        <sz val="10"/>
        <rFont val="Arial"/>
        <family val="2"/>
      </rPr>
      <t xml:space="preserve">
1                              Total Air emissions accounts (industry </t>
    </r>
    <r>
      <rPr>
        <i/>
        <sz val="10"/>
        <rFont val="Arial"/>
        <family val="2"/>
      </rPr>
      <t>(row 5)</t>
    </r>
    <r>
      <rPr>
        <b/>
        <sz val="10"/>
        <rFont val="Arial"/>
        <family val="2"/>
      </rPr>
      <t xml:space="preserve"> + households </t>
    </r>
    <r>
      <rPr>
        <i/>
        <sz val="10"/>
        <rFont val="Arial"/>
        <family val="2"/>
      </rPr>
      <t>(row 91)</t>
    </r>
    <r>
      <rPr>
        <b/>
        <sz val="10"/>
        <rFont val="Arial"/>
        <family val="2"/>
      </rPr>
      <t>)</t>
    </r>
  </si>
  <si>
    <t>'CO2 from biomass' as reported to UNFCCC (table 10s2: memo item)</t>
  </si>
  <si>
    <t>tonnes (Mg)</t>
  </si>
  <si>
    <t>'Total direct N2O emissions without N2O from LULUCF (as reported to UNFCCC table 10s4)</t>
  </si>
  <si>
    <t>tonnes (Mg) CO2-equivalents</t>
  </si>
  <si>
    <t>'Emissions of SF6 and NF3 (as reported to UNFCCC table 10s5)</t>
  </si>
  <si>
    <t>'Total CH4 emissions without CH4 from LULUCF (as reported to UNFCCC table 10s3)</t>
  </si>
  <si>
    <t>'Emissions of HFCs (as reported to UNFCCC table 10s5)</t>
  </si>
  <si>
    <t>'Emissions of PFCs (as reported to UNFCCC table 10s5)</t>
  </si>
  <si>
    <t>stressor</t>
  </si>
  <si>
    <t>impact</t>
  </si>
  <si>
    <t>factor</t>
  </si>
  <si>
    <t>impact_unit</t>
  </si>
  <si>
    <t>stressor_unit</t>
  </si>
  <si>
    <t>GHG</t>
  </si>
  <si>
    <t>Gg</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</si>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</sst>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 ##0"/>
    <numFmt numFmtId="165" formatCode="00"/>
    <numFmt numFmtId="166" formatCode="#,##0.0"/>
    <numFmt numFmtId="167" formatCode="0000"/>
    <numFmt numFmtId="168" formatCode="[$-809]dd\ mmmm\ yyyy;@"/>
    <numFmt numFmtId="169" formatCode="#,##0.000"/>
  </numFmts>
  <fonts count="95">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b/>
      <sz val="10"/>
      <color indexed="10"/>
      <name val="Arial"/>
      <family val="2"/>
    </font>
    <font>
      <b/>
      <sz val="10"/>
      <color indexed="48"/>
      <name val="Arial"/>
      <family val="2"/>
    </font>
    <font>
      <b/>
      <u/>
      <sz val="10"/>
      <name val="Arial"/>
      <family val="2"/>
    </font>
    <font>
      <b/>
      <u/>
      <sz val="10"/>
      <name val="Albertus Extra Bold"/>
      <family val="2"/>
    </font>
    <font>
      <b/>
      <sz val="14"/>
      <name val="Arial"/>
      <family val="2"/>
    </font>
    <font>
      <b/>
      <sz val="12"/>
      <name val="Arial"/>
      <family val="2"/>
    </font>
    <font>
      <sz val="8"/>
      <name val="Arial"/>
      <family val="2"/>
    </font>
    <font>
      <i/>
      <sz val="8"/>
      <color indexed="10"/>
      <name val="Arial"/>
      <family val="2"/>
    </font>
    <font>
      <b/>
      <sz val="8"/>
      <name val="Arial"/>
      <family val="2"/>
    </font>
    <font>
      <sz val="8"/>
      <color indexed="10"/>
      <name val="Arial"/>
      <family val="2"/>
    </font>
    <font>
      <b/>
      <sz val="10"/>
      <color indexed="10"/>
      <name val="Albertus Extra Bold"/>
      <family val="2"/>
    </font>
    <font>
      <b/>
      <sz val="8"/>
      <color indexed="10"/>
      <name val="Arial"/>
      <family val="2"/>
    </font>
    <font>
      <i/>
      <sz val="10"/>
      <name val="Arial"/>
      <family val="2"/>
    </font>
    <font>
      <b/>
      <sz val="12"/>
      <color indexed="10"/>
      <name val="Arial"/>
      <family val="2"/>
    </font>
    <font>
      <b/>
      <u/>
      <sz val="10"/>
      <color indexed="10"/>
      <name val="Arial"/>
      <family val="2"/>
    </font>
    <font>
      <sz val="10"/>
      <color indexed="10"/>
      <name val="Arial"/>
      <family val="2"/>
    </font>
    <font>
      <b/>
      <sz val="14"/>
      <color indexed="20"/>
      <name val="Arial"/>
      <family val="2"/>
    </font>
    <font>
      <sz val="10"/>
      <color indexed="12"/>
      <name val="Arial"/>
      <family val="2"/>
    </font>
    <font>
      <i/>
      <sz val="8"/>
      <name val="Arial"/>
      <family val="2"/>
    </font>
    <font>
      <b/>
      <i/>
      <sz val="10"/>
      <name val="Arial"/>
      <family val="2"/>
    </font>
    <font>
      <vertAlign val="superscript"/>
      <sz val="10"/>
      <name val="Arial"/>
      <family val="2"/>
    </font>
    <font>
      <u/>
      <sz val="10"/>
      <name val="Arial"/>
      <family val="2"/>
    </font>
    <font>
      <vertAlign val="subscript"/>
      <sz val="10"/>
      <name val="Arial"/>
      <family val="2"/>
    </font>
    <font>
      <u/>
      <sz val="10"/>
      <color indexed="10"/>
      <name val="Arial"/>
      <family val="2"/>
    </font>
    <font>
      <b/>
      <vertAlign val="subscript"/>
      <sz val="10"/>
      <color indexed="10"/>
      <name val="Arial"/>
      <family val="2"/>
    </font>
    <font>
      <b/>
      <sz val="12"/>
      <color indexed="12"/>
      <name val="Arial"/>
      <family val="2"/>
    </font>
    <font>
      <b/>
      <i/>
      <sz val="8"/>
      <name val="Arial"/>
      <family val="2"/>
    </font>
    <font>
      <b/>
      <sz val="10"/>
      <color indexed="12"/>
      <name val="Arial"/>
      <family val="2"/>
    </font>
    <font>
      <sz val="8"/>
      <color indexed="8"/>
      <name val="Arial Unicode MS"/>
      <family val="2"/>
      <charset val="238"/>
    </font>
    <font>
      <b/>
      <i/>
      <sz val="9"/>
      <name val="Arial"/>
      <family val="2"/>
    </font>
    <font>
      <sz val="10"/>
      <color indexed="9"/>
      <name val="Arial"/>
      <family val="2"/>
    </font>
    <font>
      <b/>
      <sz val="8"/>
      <color indexed="81"/>
      <name val="Arial"/>
      <family val="2"/>
    </font>
    <font>
      <b/>
      <sz val="10"/>
      <color indexed="16"/>
      <name val="Arial"/>
      <family val="2"/>
    </font>
    <font>
      <sz val="8"/>
      <color rgb="FF000000"/>
      <name val="Arial"/>
      <family val="2"/>
    </font>
    <font>
      <sz val="8"/>
      <color rgb="FFFF0000"/>
      <name val="Arial"/>
      <family val="2"/>
    </font>
    <font>
      <sz val="11"/>
      <name val="Calibri"/>
      <family val="2"/>
      <scheme val="minor"/>
    </font>
    <font>
      <b/>
      <sz val="11"/>
      <name val="Calibri"/>
      <family val="2"/>
      <scheme val="minor"/>
    </font>
    <font>
      <b/>
      <sz val="10"/>
      <color rgb="FF000000"/>
      <name val="Arial"/>
      <family val="2"/>
    </font>
    <font>
      <i/>
      <sz val="8"/>
      <color rgb="FF000000"/>
      <name val="Arial"/>
      <family val="2"/>
    </font>
    <font>
      <b/>
      <i/>
      <sz val="9"/>
      <color rgb="FF000000"/>
      <name val="Arial"/>
      <family val="2"/>
    </font>
    <font>
      <sz val="10"/>
      <color rgb="FF000000"/>
      <name val="Arial"/>
      <family val="2"/>
    </font>
    <font>
      <sz val="10"/>
      <color rgb="FFFFFFFF"/>
      <name val="Arial"/>
      <family val="2"/>
    </font>
    <font>
      <sz val="10"/>
      <color rgb="FF538ED5"/>
      <name val="Arial"/>
      <family val="2"/>
    </font>
    <font>
      <sz val="10"/>
      <color rgb="FFFF0000"/>
      <name val="Arial"/>
      <family val="2"/>
    </font>
    <font>
      <sz val="10"/>
      <color theme="1"/>
      <name val="Arial"/>
      <family val="2"/>
    </font>
    <font>
      <b/>
      <sz val="11"/>
      <color theme="0"/>
      <name val="Calibri"/>
      <family val="2"/>
      <scheme val="minor"/>
    </font>
    <font>
      <sz val="9"/>
      <color indexed="81"/>
      <name val="Tahoma"/>
      <family val="2"/>
    </font>
    <font>
      <b/>
      <sz val="11"/>
      <color theme="1"/>
      <name val="Calibri"/>
      <family val="2"/>
      <scheme val="minor"/>
    </font>
    <font>
      <sz val="9"/>
      <color theme="1"/>
      <name val="Calibri"/>
      <family val="2"/>
      <scheme val="minor"/>
    </font>
    <font>
      <b/>
      <sz val="9"/>
      <color theme="1"/>
      <name val="Calibri"/>
      <family val="2"/>
      <scheme val="minor"/>
    </font>
    <font>
      <sz val="11"/>
      <color rgb="FFFF0000"/>
      <name val="Calibri"/>
      <family val="2"/>
      <scheme val="minor"/>
    </font>
    <font>
      <b/>
      <sz val="11"/>
      <color rgb="FFFF0000"/>
      <name val="Calibri"/>
      <family val="2"/>
      <scheme val="minor"/>
    </font>
    <font>
      <b/>
      <u/>
      <sz val="12"/>
      <color rgb="FFFF0000"/>
      <name val="Arial"/>
      <family val="2"/>
    </font>
    <font>
      <b/>
      <sz val="14"/>
      <color rgb="FF800080"/>
      <name val="Arial"/>
      <family val="2"/>
    </font>
    <font>
      <b/>
      <sz val="10"/>
      <color theme="3" tint="0.39997558519241921"/>
      <name val="Arial"/>
      <family val="2"/>
    </font>
    <font>
      <b/>
      <sz val="10"/>
      <color rgb="FFFF0000"/>
      <name val="Arial"/>
      <family val="2"/>
    </font>
    <font>
      <b/>
      <sz val="10"/>
      <color theme="7" tint="0.39997558519241921"/>
      <name val="Arial"/>
      <family val="2"/>
    </font>
    <font>
      <b/>
      <sz val="10"/>
      <color theme="9" tint="-0.249977111117893"/>
      <name val="Arial"/>
      <family val="2"/>
    </font>
    <font>
      <sz val="14"/>
      <name val="Arial"/>
      <family val="2"/>
    </font>
    <font>
      <sz val="14"/>
      <color indexed="10"/>
      <name val="Arial"/>
      <family val="2"/>
    </font>
    <font>
      <b/>
      <sz val="13"/>
      <name val="Arial"/>
      <family val="2"/>
    </font>
    <font>
      <b/>
      <sz val="11"/>
      <color indexed="10"/>
      <name val="Arial"/>
      <family val="2"/>
    </font>
    <font>
      <sz val="14"/>
      <color indexed="8"/>
      <name val="Arial"/>
      <family val="2"/>
    </font>
    <font>
      <b/>
      <sz val="13"/>
      <color indexed="10"/>
      <name val="Arial"/>
      <family val="2"/>
    </font>
    <font>
      <b/>
      <sz val="12"/>
      <color indexed="60"/>
      <name val="Arial"/>
      <family val="2"/>
    </font>
    <font>
      <sz val="12"/>
      <color indexed="10"/>
      <name val="Arial"/>
      <family val="2"/>
    </font>
    <font>
      <sz val="12"/>
      <name val="Arial"/>
      <family val="2"/>
    </font>
    <font>
      <sz val="10"/>
      <color rgb="FF66FF99"/>
      <name val="Arial"/>
      <family val="2"/>
    </font>
    <font>
      <b/>
      <sz val="10"/>
      <color rgb="FF00CC00"/>
      <name val="Arial"/>
      <family val="2"/>
    </font>
    <font>
      <b/>
      <vertAlign val="superscript"/>
      <sz val="10"/>
      <name val="Arial"/>
      <family val="2"/>
    </font>
    <font>
      <b/>
      <sz val="10"/>
      <color theme="1"/>
      <name val="Arial"/>
      <family val="2"/>
    </font>
    <font>
      <b/>
      <i/>
      <sz val="10"/>
      <color theme="1"/>
      <name val="Arial"/>
      <family val="2"/>
    </font>
    <font>
      <u/>
      <vertAlign val="superscript"/>
      <sz val="10"/>
      <name val="Arial"/>
      <family val="2"/>
    </font>
    <font>
      <b/>
      <sz val="10"/>
      <color rgb="FFFFFF00"/>
      <name val="Arial"/>
      <family val="2"/>
    </font>
    <font>
      <sz val="10"/>
      <color theme="5" tint="0.39997558519241921"/>
      <name val="Arial"/>
      <family val="2"/>
    </font>
    <font>
      <b/>
      <sz val="10"/>
      <color theme="5" tint="0.39997558519241921"/>
      <name val="Arial"/>
      <family val="2"/>
    </font>
    <font>
      <b/>
      <sz val="9"/>
      <color indexed="81"/>
      <name val="Tahoma"/>
      <family val="2"/>
    </font>
    <font>
      <b/>
      <sz val="12"/>
      <color rgb="FF000000"/>
      <name val="Arial"/>
      <family val="2"/>
    </font>
    <font>
      <sz val="10"/>
      <color theme="9" tint="0.39997558519241921"/>
      <name val="Arial"/>
      <family val="2"/>
    </font>
    <font>
      <b/>
      <sz val="10"/>
      <color rgb="FFFFFFFF"/>
      <name val="Arial"/>
      <family val="2"/>
    </font>
    <font>
      <sz val="8"/>
      <color rgb="FFFFFFFF"/>
      <name val="Arial"/>
      <family val="2"/>
    </font>
    <font>
      <b/>
      <i/>
      <sz val="9"/>
      <color rgb="FFFFFFFF"/>
      <name val="Arial"/>
      <family val="2"/>
    </font>
    <font>
      <i/>
      <sz val="8"/>
      <color rgb="FFFFFFFF"/>
      <name val="Arial"/>
      <family val="2"/>
    </font>
    <font>
      <sz val="8"/>
      <color rgb="FF000000"/>
      <name val="Tahoma"/>
      <family val="2"/>
    </font>
    <font>
      <b/>
      <sz val="10"/>
      <color rgb="FF339966"/>
      <name val="Arial"/>
      <family val="2"/>
    </font>
    <font>
      <sz val="10"/>
      <color rgb="FFFF99CC"/>
      <name val="Arial"/>
      <family val="2"/>
    </font>
    <font>
      <sz val="10"/>
      <color rgb="FFC0C0C0"/>
      <name val="Arial"/>
      <family val="2"/>
    </font>
    <font>
      <sz val="10"/>
      <color rgb="FFFFFFCC"/>
      <name val="Arial"/>
      <family val="2"/>
    </font>
    <font>
      <b/>
      <sz val="11"/>
      <color rgb="FF000000"/>
      <name val="Calibri"/>
      <family val="2"/>
      <charset val="1"/>
    </font>
  </fonts>
  <fills count="39">
    <fill>
      <patternFill patternType="none"/>
    </fill>
    <fill>
      <patternFill patternType="gray125"/>
    </fill>
    <fill>
      <patternFill patternType="solid">
        <fgColor indexed="42"/>
        <bgColor indexed="64"/>
      </patternFill>
    </fill>
    <fill>
      <patternFill patternType="solid">
        <fgColor indexed="27"/>
        <bgColor indexed="64"/>
      </patternFill>
    </fill>
    <fill>
      <patternFill patternType="solid">
        <fgColor indexed="13"/>
        <bgColor indexed="64"/>
      </patternFill>
    </fill>
    <fill>
      <patternFill patternType="solid">
        <fgColor indexed="41"/>
        <bgColor indexed="64"/>
      </patternFill>
    </fill>
    <fill>
      <patternFill patternType="solid">
        <fgColor indexed="45"/>
        <bgColor indexed="64"/>
      </patternFill>
    </fill>
    <fill>
      <patternFill patternType="solid">
        <fgColor rgb="FFFFFFFF"/>
        <bgColor indexed="64"/>
      </patternFill>
    </fill>
    <fill>
      <patternFill patternType="solid">
        <fgColor rgb="FFFFFF99"/>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538ED5"/>
        <bgColor indexed="64"/>
      </patternFill>
    </fill>
    <fill>
      <patternFill patternType="solid">
        <fgColor rgb="FFFFCC66"/>
        <bgColor indexed="64"/>
      </patternFill>
    </fill>
    <fill>
      <patternFill patternType="solid">
        <fgColor rgb="FF7030A0"/>
        <bgColor indexed="64"/>
      </patternFill>
    </fill>
    <fill>
      <patternFill patternType="solid">
        <fgColor rgb="FF9C5BCD"/>
        <bgColor indexed="64"/>
      </patternFill>
    </fill>
    <fill>
      <patternFill patternType="solid">
        <fgColor theme="0" tint="-0.34998626667073579"/>
        <bgColor indexed="64"/>
      </patternFill>
    </fill>
    <fill>
      <patternFill patternType="solid">
        <fgColor rgb="FFC11515"/>
        <bgColor indexed="64"/>
      </patternFill>
    </fill>
    <fill>
      <patternFill patternType="solid">
        <fgColor theme="1"/>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CCFFFF"/>
        <bgColor indexed="64"/>
      </patternFill>
    </fill>
    <fill>
      <patternFill patternType="solid">
        <fgColor rgb="FFFFFF00"/>
        <bgColor indexed="64"/>
      </patternFill>
    </fill>
    <fill>
      <patternFill patternType="solid">
        <fgColor rgb="FFFF99FF"/>
        <bgColor indexed="64"/>
      </patternFill>
    </fill>
    <fill>
      <patternFill patternType="solid">
        <fgColor theme="0" tint="-0.14999847407452621"/>
        <bgColor indexed="64"/>
      </patternFill>
    </fill>
    <fill>
      <patternFill patternType="solid">
        <fgColor rgb="FF66FF99"/>
        <bgColor indexed="64"/>
      </patternFill>
    </fill>
    <fill>
      <patternFill patternType="solid">
        <fgColor rgb="FF5297D6"/>
        <bgColor indexed="64"/>
      </patternFill>
    </fill>
    <fill>
      <patternFill patternType="solid">
        <fgColor rgb="FFC0C0C0"/>
        <bgColor indexed="64"/>
      </patternFill>
    </fill>
    <fill>
      <patternFill patternType="solid">
        <fgColor rgb="FFFF9933"/>
        <bgColor indexed="64"/>
      </patternFill>
    </fill>
    <fill>
      <patternFill patternType="solid">
        <fgColor theme="5" tint="0.59999389629810485"/>
        <bgColor indexed="64"/>
      </patternFill>
    </fill>
    <fill>
      <patternFill patternType="solid">
        <fgColor rgb="FF00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rgb="FFE6B8B7"/>
        <bgColor indexed="64"/>
      </patternFill>
    </fill>
  </fills>
  <borders count="41">
    <border>
      <left/>
      <right/>
      <top/>
      <bottom/>
      <diagonal/>
    </border>
    <border>
      <left/>
      <right/>
      <top/>
      <bottom style="medium">
        <color indexed="64"/>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style="thin">
        <color indexed="64"/>
      </left>
      <right/>
      <top style="medium">
        <color indexed="64"/>
      </top>
      <bottom/>
      <diagonal/>
    </border>
    <border>
      <left style="medium">
        <color indexed="64"/>
      </left>
      <right/>
      <top style="medium">
        <color indexed="64"/>
      </top>
      <bottom/>
      <diagonal/>
    </border>
    <border>
      <left/>
      <right style="thin">
        <color auto="1"/>
      </right>
      <top style="thin">
        <color indexed="64"/>
      </top>
      <bottom style="thin">
        <color indexed="64"/>
      </bottom>
      <diagonal/>
    </border>
    <border>
      <left style="thin">
        <color indexed="64"/>
      </left>
      <right style="thin">
        <color auto="1"/>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auto="1"/>
      </right>
      <top/>
      <bottom/>
      <diagonal/>
    </border>
    <border>
      <left style="thin">
        <color indexed="23"/>
      </left>
      <right/>
      <top style="thin">
        <color indexed="23"/>
      </top>
      <bottom/>
      <diagonal/>
    </border>
    <border>
      <left/>
      <right style="thin">
        <color indexed="23"/>
      </right>
      <top style="thin">
        <color indexed="23"/>
      </top>
      <bottom/>
      <diagonal/>
    </border>
    <border>
      <left style="thin">
        <color indexed="23"/>
      </left>
      <right/>
      <top/>
      <bottom/>
      <diagonal/>
    </border>
    <border>
      <left/>
      <right style="thin">
        <color indexed="23"/>
      </right>
      <top/>
      <bottom/>
      <diagonal/>
    </border>
    <border>
      <left style="thin">
        <color indexed="23"/>
      </left>
      <right/>
      <top/>
      <bottom style="thin">
        <color indexed="23"/>
      </bottom>
      <diagonal/>
    </border>
    <border>
      <left/>
      <right style="thin">
        <color indexed="23"/>
      </right>
      <top/>
      <bottom style="thin">
        <color indexed="23"/>
      </bottom>
      <diagonal/>
    </border>
    <border>
      <left style="thin">
        <color indexed="64"/>
      </left>
      <right style="thin">
        <color indexed="64"/>
      </right>
      <top style="thin">
        <color indexed="64"/>
      </top>
      <bottom style="thin">
        <color indexed="64"/>
      </bottom>
      <diagonal/>
    </border>
    <border>
      <left style="thin">
        <color indexed="64"/>
      </left>
      <right style="thin">
        <color auto="1"/>
      </right>
      <top/>
      <bottom/>
      <diagonal/>
    </border>
    <border>
      <left/>
      <right style="thin">
        <color auto="1"/>
      </right>
      <top style="medium">
        <color indexed="64"/>
      </top>
      <bottom/>
      <diagonal/>
    </border>
    <border>
      <left/>
      <right style="thin">
        <color auto="1"/>
      </right>
      <top/>
      <bottom style="medium">
        <color indexed="64"/>
      </bottom>
      <diagonal/>
    </border>
    <border>
      <left/>
      <right style="medium">
        <color auto="1"/>
      </right>
      <top style="medium">
        <color indexed="64"/>
      </top>
      <bottom/>
      <diagonal/>
    </border>
    <border>
      <left/>
      <right style="medium">
        <color auto="1"/>
      </right>
      <top/>
      <bottom/>
      <diagonal/>
    </border>
    <border>
      <left/>
      <right style="medium">
        <color auto="1"/>
      </right>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s>
  <cellStyleXfs count="5">
    <xf numFmtId="0" fontId="0" fillId="0" borderId="0"/>
    <xf numFmtId="0" fontId="7" fillId="0" borderId="0" applyNumberFormat="0" applyFill="0" applyBorder="0" applyAlignment="0" applyProtection="0">
      <alignment vertical="top"/>
      <protection locked="0"/>
    </xf>
    <xf numFmtId="0" fontId="3" fillId="0" borderId="0"/>
    <xf numFmtId="0" fontId="4" fillId="0" borderId="0"/>
    <xf numFmtId="0" fontId="3" fillId="0" borderId="0"/>
  </cellStyleXfs>
  <cellXfs count="561">
    <xf numFmtId="0" fontId="0" fillId="0" borderId="0" xfId="0"/>
    <xf numFmtId="0" fontId="11" fillId="0" borderId="2" xfId="0" applyFont="1" applyBorder="1" applyAlignment="1">
      <alignment horizontal="center" vertical="center"/>
    </xf>
    <xf numFmtId="164" fontId="18" fillId="2" borderId="1" xfId="0" applyNumberFormat="1" applyFont="1" applyFill="1" applyBorder="1" applyAlignment="1">
      <alignment horizontal="left" vertical="top"/>
    </xf>
    <xf numFmtId="164" fontId="27" fillId="2" borderId="3" xfId="0" applyNumberFormat="1" applyFont="1" applyFill="1" applyBorder="1" applyAlignment="1">
      <alignment horizontal="left" vertical="top"/>
    </xf>
    <xf numFmtId="164" fontId="27" fillId="2" borderId="4" xfId="0" applyNumberFormat="1" applyFont="1" applyFill="1" applyBorder="1" applyAlignment="1">
      <alignment horizontal="left" vertical="top"/>
    </xf>
    <xf numFmtId="0" fontId="6" fillId="2" borderId="3" xfId="0" applyFont="1" applyFill="1" applyBorder="1" applyAlignment="1">
      <alignment horizontal="right" vertical="center"/>
    </xf>
    <xf numFmtId="0" fontId="17" fillId="2" borderId="3" xfId="0" applyFont="1" applyFill="1" applyBorder="1" applyAlignment="1">
      <alignment horizontal="left" vertical="center"/>
    </xf>
    <xf numFmtId="0" fontId="6" fillId="2" borderId="1" xfId="0" applyFont="1" applyFill="1" applyBorder="1" applyAlignment="1">
      <alignment horizontal="center" vertical="center"/>
    </xf>
    <xf numFmtId="0" fontId="7" fillId="5" borderId="0" xfId="1" applyFill="1" applyAlignment="1" applyProtection="1"/>
    <xf numFmtId="0" fontId="0" fillId="0" borderId="0" xfId="0" applyAlignment="1">
      <alignment vertical="center"/>
    </xf>
    <xf numFmtId="0" fontId="5" fillId="0" borderId="0" xfId="0" applyFont="1" applyAlignment="1">
      <alignment vertical="top"/>
    </xf>
    <xf numFmtId="0" fontId="0" fillId="0" borderId="0" xfId="0" applyAlignment="1">
      <alignment vertical="top"/>
    </xf>
    <xf numFmtId="0" fontId="25" fillId="0" borderId="0" xfId="0" applyFont="1" applyAlignment="1">
      <alignment vertical="top"/>
    </xf>
    <xf numFmtId="0" fontId="0" fillId="0" borderId="0" xfId="0" applyAlignment="1">
      <alignment horizontal="center"/>
    </xf>
    <xf numFmtId="165" fontId="5" fillId="2" borderId="1" xfId="0" applyNumberFormat="1" applyFont="1" applyFill="1" applyBorder="1" applyAlignment="1">
      <alignment horizontal="left" vertical="top"/>
    </xf>
    <xf numFmtId="0" fontId="6" fillId="9" borderId="6" xfId="0" applyFont="1" applyFill="1" applyBorder="1" applyAlignment="1">
      <alignment horizontal="left" vertical="center" indent="1"/>
    </xf>
    <xf numFmtId="0" fontId="0" fillId="10" borderId="0" xfId="0" applyFill="1"/>
    <xf numFmtId="0" fontId="41" fillId="10" borderId="0" xfId="0" applyFont="1" applyFill="1"/>
    <xf numFmtId="0" fontId="41" fillId="11" borderId="11" xfId="0" applyFont="1" applyFill="1" applyBorder="1" applyAlignment="1">
      <alignment vertical="center" wrapText="1"/>
    </xf>
    <xf numFmtId="0" fontId="41" fillId="11" borderId="5" xfId="0" applyFont="1" applyFill="1" applyBorder="1" applyAlignment="1">
      <alignment horizontal="left" vertical="center" wrapText="1"/>
    </xf>
    <xf numFmtId="4" fontId="39" fillId="7" borderId="13" xfId="0" applyNumberFormat="1" applyFont="1" applyFill="1" applyBorder="1" applyAlignment="1" applyProtection="1">
      <alignment horizontal="right" vertical="center"/>
      <protection locked="0"/>
    </xf>
    <xf numFmtId="0" fontId="31" fillId="0" borderId="0" xfId="0" applyFont="1" applyAlignment="1">
      <alignment horizontal="center" vertical="center"/>
    </xf>
    <xf numFmtId="0" fontId="5" fillId="4" borderId="0" xfId="0" applyFont="1" applyFill="1" applyAlignment="1">
      <alignment horizontal="center" vertical="center" wrapText="1"/>
    </xf>
    <xf numFmtId="0" fontId="14" fillId="4" borderId="0" xfId="0" applyFont="1" applyFill="1" applyAlignment="1">
      <alignment horizontal="right" vertical="center"/>
    </xf>
    <xf numFmtId="0" fontId="5" fillId="4" borderId="0" xfId="0" applyFont="1" applyFill="1" applyAlignment="1">
      <alignment horizontal="right" vertical="center"/>
    </xf>
    <xf numFmtId="0" fontId="5" fillId="6" borderId="0" xfId="0" applyFont="1" applyFill="1" applyAlignment="1">
      <alignment horizontal="right" vertical="top"/>
    </xf>
    <xf numFmtId="0" fontId="35" fillId="6" borderId="0" xfId="0" applyFont="1" applyFill="1" applyAlignment="1">
      <alignment horizontal="right" vertical="top"/>
    </xf>
    <xf numFmtId="0" fontId="5" fillId="4" borderId="0" xfId="0" applyFont="1" applyFill="1" applyAlignment="1">
      <alignment horizontal="right" vertical="top"/>
    </xf>
    <xf numFmtId="0" fontId="5" fillId="5" borderId="0" xfId="0" applyFont="1" applyFill="1" applyAlignment="1">
      <alignment vertical="center"/>
    </xf>
    <xf numFmtId="0" fontId="3" fillId="12" borderId="12" xfId="0" applyFont="1" applyFill="1" applyBorder="1" applyAlignment="1">
      <alignment vertical="center"/>
    </xf>
    <xf numFmtId="0" fontId="0" fillId="5" borderId="0" xfId="0" applyFill="1"/>
    <xf numFmtId="0" fontId="6" fillId="0" borderId="12" xfId="0" applyFont="1" applyBorder="1" applyAlignment="1">
      <alignment horizontal="center" vertical="center"/>
    </xf>
    <xf numFmtId="0" fontId="3" fillId="5" borderId="0" xfId="0" applyFont="1" applyFill="1"/>
    <xf numFmtId="0" fontId="36" fillId="0" borderId="0" xfId="0" applyFont="1"/>
    <xf numFmtId="0" fontId="5" fillId="5" borderId="0" xfId="0" applyFont="1" applyFill="1"/>
    <xf numFmtId="0" fontId="38" fillId="5" borderId="0" xfId="0" applyFont="1" applyFill="1"/>
    <xf numFmtId="0" fontId="3" fillId="0" borderId="0" xfId="0" applyFont="1"/>
    <xf numFmtId="4" fontId="43" fillId="7" borderId="13" xfId="0" applyNumberFormat="1" applyFont="1" applyFill="1" applyBorder="1" applyAlignment="1" applyProtection="1">
      <alignment horizontal="right" vertical="center"/>
      <protection locked="0"/>
    </xf>
    <xf numFmtId="4" fontId="46" fillId="7" borderId="17" xfId="0" applyNumberFormat="1" applyFont="1" applyFill="1" applyBorder="1" applyAlignment="1" applyProtection="1">
      <alignment horizontal="right" vertical="center"/>
      <protection locked="0"/>
    </xf>
    <xf numFmtId="4" fontId="46" fillId="7" borderId="13" xfId="0" applyNumberFormat="1" applyFont="1" applyFill="1" applyBorder="1" applyAlignment="1" applyProtection="1">
      <alignment horizontal="right" vertical="center"/>
      <protection locked="0"/>
    </xf>
    <xf numFmtId="4" fontId="46" fillId="7" borderId="14" xfId="0" applyNumberFormat="1" applyFont="1" applyFill="1" applyBorder="1" applyAlignment="1" applyProtection="1">
      <alignment horizontal="right" vertical="center"/>
      <protection locked="0"/>
    </xf>
    <xf numFmtId="4" fontId="46" fillId="7" borderId="16" xfId="0" applyNumberFormat="1" applyFont="1" applyFill="1" applyBorder="1" applyAlignment="1" applyProtection="1">
      <alignment horizontal="right" vertical="center"/>
      <protection locked="0"/>
    </xf>
    <xf numFmtId="4" fontId="46" fillId="7" borderId="1" xfId="0" applyNumberFormat="1" applyFont="1" applyFill="1" applyBorder="1" applyAlignment="1" applyProtection="1">
      <alignment horizontal="right" vertical="center"/>
      <protection locked="0"/>
    </xf>
    <xf numFmtId="0" fontId="2" fillId="10" borderId="0" xfId="0" applyFont="1" applyFill="1"/>
    <xf numFmtId="0" fontId="41" fillId="17" borderId="20" xfId="0" applyFont="1" applyFill="1" applyBorder="1" applyAlignment="1">
      <alignment horizontal="center"/>
    </xf>
    <xf numFmtId="4" fontId="3" fillId="0" borderId="20" xfId="0" applyNumberFormat="1" applyFont="1" applyBorder="1" applyAlignment="1" applyProtection="1">
      <alignment horizontal="left" vertical="center"/>
      <protection locked="0"/>
    </xf>
    <xf numFmtId="0" fontId="0" fillId="11" borderId="8" xfId="0" applyFill="1" applyBorder="1" applyAlignment="1">
      <alignment horizontal="left"/>
    </xf>
    <xf numFmtId="0" fontId="0" fillId="11" borderId="8" xfId="0" applyFill="1" applyBorder="1"/>
    <xf numFmtId="4" fontId="49" fillId="0" borderId="20" xfId="0" applyNumberFormat="1" applyFont="1" applyBorder="1" applyAlignment="1" applyProtection="1">
      <alignment horizontal="left" vertical="center"/>
      <protection locked="0"/>
    </xf>
    <xf numFmtId="0" fontId="41" fillId="10" borderId="0" xfId="0" applyFont="1" applyFill="1" applyAlignment="1">
      <alignment horizontal="right"/>
    </xf>
    <xf numFmtId="0" fontId="41" fillId="11" borderId="20" xfId="0" applyFont="1" applyFill="1" applyBorder="1" applyAlignment="1">
      <alignment wrapText="1"/>
    </xf>
    <xf numFmtId="0" fontId="41" fillId="11" borderId="20" xfId="0" quotePrefix="1" applyFont="1" applyFill="1" applyBorder="1" applyAlignment="1">
      <alignment wrapText="1"/>
    </xf>
    <xf numFmtId="0" fontId="42" fillId="21" borderId="0" xfId="0" applyFont="1" applyFill="1" applyAlignment="1">
      <alignment horizontal="center" vertical="center" wrapText="1"/>
    </xf>
    <xf numFmtId="0" fontId="3" fillId="23" borderId="12" xfId="0" applyFont="1" applyFill="1" applyBorder="1" applyAlignment="1">
      <alignment vertical="center"/>
    </xf>
    <xf numFmtId="0" fontId="0" fillId="25" borderId="0" xfId="0" applyFill="1"/>
    <xf numFmtId="0" fontId="11" fillId="5" borderId="0" xfId="0" applyFont="1" applyFill="1" applyAlignment="1">
      <alignment horizontal="center" vertical="center"/>
    </xf>
    <xf numFmtId="49" fontId="25" fillId="5" borderId="0" xfId="0" applyNumberFormat="1" applyFont="1" applyFill="1" applyAlignment="1">
      <alignment horizontal="right" vertical="top"/>
    </xf>
    <xf numFmtId="0" fontId="0" fillId="5" borderId="0" xfId="0" applyFill="1" applyAlignment="1">
      <alignment vertical="center"/>
    </xf>
    <xf numFmtId="0" fontId="6" fillId="5" borderId="0" xfId="0" applyFont="1" applyFill="1" applyAlignment="1">
      <alignment vertical="center"/>
    </xf>
    <xf numFmtId="0" fontId="0" fillId="5" borderId="0" xfId="0" quotePrefix="1" applyFill="1" applyAlignment="1">
      <alignment horizontal="left"/>
    </xf>
    <xf numFmtId="0" fontId="0" fillId="5" borderId="0" xfId="0" applyFill="1" applyAlignment="1">
      <alignment horizontal="left" wrapText="1"/>
    </xf>
    <xf numFmtId="0" fontId="59" fillId="5" borderId="0" xfId="0" applyFont="1" applyFill="1" applyAlignment="1">
      <alignment horizontal="left" vertical="center" wrapText="1"/>
    </xf>
    <xf numFmtId="0" fontId="22" fillId="5" borderId="0" xfId="0" applyFont="1" applyFill="1" applyAlignment="1">
      <alignment vertical="center" wrapText="1"/>
    </xf>
    <xf numFmtId="0" fontId="3" fillId="25" borderId="0" xfId="0" applyFont="1" applyFill="1" applyAlignment="1">
      <alignment vertical="center" wrapText="1"/>
    </xf>
    <xf numFmtId="164" fontId="20" fillId="2" borderId="4" xfId="0" applyNumberFormat="1" applyFont="1" applyFill="1" applyBorder="1" applyAlignment="1">
      <alignment horizontal="left" vertical="center"/>
    </xf>
    <xf numFmtId="164" fontId="13" fillId="2" borderId="1" xfId="0" applyNumberFormat="1" applyFont="1" applyFill="1" applyBorder="1" applyAlignment="1">
      <alignment horizontal="left" vertical="center"/>
    </xf>
    <xf numFmtId="0" fontId="34" fillId="4" borderId="0" xfId="0" applyFont="1" applyFill="1" applyAlignment="1">
      <alignment horizontal="right" vertical="center"/>
    </xf>
    <xf numFmtId="0" fontId="11" fillId="5" borderId="15" xfId="0" applyFont="1" applyFill="1" applyBorder="1" applyAlignment="1">
      <alignment horizontal="center" vertical="center"/>
    </xf>
    <xf numFmtId="0" fontId="11" fillId="0" borderId="6" xfId="0" applyFont="1" applyBorder="1" applyAlignment="1">
      <alignment horizontal="center" vertical="center"/>
    </xf>
    <xf numFmtId="4" fontId="43" fillId="7" borderId="3" xfId="0" applyNumberFormat="1" applyFont="1" applyFill="1" applyBorder="1" applyAlignment="1" applyProtection="1">
      <alignment horizontal="right" vertical="center"/>
      <protection locked="0"/>
    </xf>
    <xf numFmtId="4" fontId="39" fillId="7" borderId="3" xfId="0" applyNumberFormat="1" applyFont="1" applyFill="1" applyBorder="1" applyAlignment="1" applyProtection="1">
      <alignment horizontal="right" vertical="center"/>
      <protection locked="0"/>
    </xf>
    <xf numFmtId="4" fontId="45" fillId="7" borderId="3" xfId="0" applyNumberFormat="1" applyFont="1" applyFill="1" applyBorder="1" applyAlignment="1" applyProtection="1">
      <alignment horizontal="right" vertical="center"/>
      <protection locked="0"/>
    </xf>
    <xf numFmtId="4" fontId="44" fillId="7" borderId="3" xfId="0" applyNumberFormat="1" applyFont="1" applyFill="1" applyBorder="1" applyAlignment="1" applyProtection="1">
      <alignment horizontal="right" vertical="center"/>
      <protection locked="0"/>
    </xf>
    <xf numFmtId="4" fontId="46" fillId="7" borderId="18" xfId="0" applyNumberFormat="1" applyFont="1" applyFill="1" applyBorder="1" applyAlignment="1" applyProtection="1">
      <alignment horizontal="right" vertical="center"/>
      <protection locked="0"/>
    </xf>
    <xf numFmtId="4" fontId="46" fillId="7" borderId="3" xfId="0" applyNumberFormat="1" applyFont="1" applyFill="1" applyBorder="1" applyAlignment="1" applyProtection="1">
      <alignment horizontal="right" vertical="center"/>
      <protection locked="0"/>
    </xf>
    <xf numFmtId="4" fontId="46" fillId="7" borderId="4" xfId="0" applyNumberFormat="1" applyFont="1" applyFill="1" applyBorder="1" applyAlignment="1" applyProtection="1">
      <alignment horizontal="right" vertical="center"/>
      <protection locked="0"/>
    </xf>
    <xf numFmtId="4" fontId="45" fillId="19" borderId="3" xfId="0" applyNumberFormat="1" applyFont="1" applyFill="1" applyBorder="1" applyAlignment="1" applyProtection="1">
      <alignment horizontal="right" vertical="center"/>
      <protection locked="0"/>
    </xf>
    <xf numFmtId="4" fontId="43" fillId="7" borderId="18" xfId="0" applyNumberFormat="1" applyFont="1" applyFill="1" applyBorder="1" applyAlignment="1" applyProtection="1">
      <alignment horizontal="right" vertical="center"/>
      <protection locked="0"/>
    </xf>
    <xf numFmtId="4" fontId="43" fillId="7" borderId="16" xfId="0" applyNumberFormat="1" applyFont="1" applyFill="1" applyBorder="1" applyAlignment="1" applyProtection="1">
      <alignment horizontal="right" vertical="center"/>
      <protection locked="0"/>
    </xf>
    <xf numFmtId="49" fontId="0" fillId="0" borderId="0" xfId="0" applyNumberFormat="1"/>
    <xf numFmtId="0" fontId="41" fillId="11" borderId="8" xfId="0" applyFont="1" applyFill="1" applyBorder="1" applyAlignment="1">
      <alignment vertical="center" wrapText="1"/>
    </xf>
    <xf numFmtId="0" fontId="42" fillId="21" borderId="5" xfId="0" applyFont="1" applyFill="1" applyBorder="1" applyAlignment="1">
      <alignment horizontal="center" vertical="center" wrapText="1"/>
    </xf>
    <xf numFmtId="0" fontId="41" fillId="11" borderId="20" xfId="0" applyFont="1" applyFill="1" applyBorder="1" applyAlignment="1">
      <alignment vertical="center"/>
    </xf>
    <xf numFmtId="164" fontId="5" fillId="2" borderId="3" xfId="0" applyNumberFormat="1" applyFont="1" applyFill="1" applyBorder="1" applyAlignment="1">
      <alignment horizontal="left" vertical="center"/>
    </xf>
    <xf numFmtId="0" fontId="40" fillId="8" borderId="25" xfId="0" applyFont="1" applyFill="1" applyBorder="1" applyAlignment="1" applyProtection="1">
      <alignment horizontal="right" vertical="center"/>
      <protection locked="0"/>
    </xf>
    <xf numFmtId="4" fontId="43" fillId="7" borderId="0" xfId="0" applyNumberFormat="1" applyFont="1" applyFill="1" applyAlignment="1" applyProtection="1">
      <alignment horizontal="right" vertical="center"/>
      <protection locked="0"/>
    </xf>
    <xf numFmtId="4" fontId="39" fillId="7" borderId="0" xfId="0" applyNumberFormat="1" applyFont="1" applyFill="1" applyAlignment="1" applyProtection="1">
      <alignment horizontal="right" vertical="center"/>
      <protection locked="0"/>
    </xf>
    <xf numFmtId="165" fontId="5" fillId="2" borderId="3" xfId="0" applyNumberFormat="1" applyFont="1" applyFill="1" applyBorder="1" applyAlignment="1">
      <alignment horizontal="left" vertical="top"/>
    </xf>
    <xf numFmtId="165" fontId="5" fillId="2" borderId="0" xfId="0" applyNumberFormat="1" applyFont="1" applyFill="1" applyAlignment="1">
      <alignment horizontal="left" vertical="top"/>
    </xf>
    <xf numFmtId="165" fontId="35" fillId="2" borderId="3" xfId="0" applyNumberFormat="1" applyFont="1" applyFill="1" applyBorder="1" applyAlignment="1">
      <alignment horizontal="left" vertical="top"/>
    </xf>
    <xf numFmtId="165" fontId="35" fillId="2" borderId="0" xfId="0" applyNumberFormat="1" applyFont="1" applyFill="1" applyAlignment="1">
      <alignment horizontal="left" vertical="top"/>
    </xf>
    <xf numFmtId="4" fontId="45" fillId="7" borderId="0" xfId="0" applyNumberFormat="1" applyFont="1" applyFill="1" applyAlignment="1" applyProtection="1">
      <alignment horizontal="right" vertical="center"/>
      <protection locked="0"/>
    </xf>
    <xf numFmtId="0" fontId="40" fillId="19" borderId="25" xfId="0" applyFont="1" applyFill="1" applyBorder="1" applyAlignment="1" applyProtection="1">
      <alignment horizontal="right" vertical="center"/>
      <protection locked="0"/>
    </xf>
    <xf numFmtId="4" fontId="45" fillId="19" borderId="0" xfId="0" applyNumberFormat="1" applyFont="1" applyFill="1" applyAlignment="1" applyProtection="1">
      <alignment horizontal="right" vertical="center"/>
      <protection locked="0"/>
    </xf>
    <xf numFmtId="165" fontId="24" fillId="2" borderId="0" xfId="0" applyNumberFormat="1" applyFont="1" applyFill="1" applyAlignment="1">
      <alignment horizontal="left" vertical="top"/>
    </xf>
    <xf numFmtId="166" fontId="40" fillId="8" borderId="25" xfId="0" applyNumberFormat="1" applyFont="1" applyFill="1" applyBorder="1" applyAlignment="1" applyProtection="1">
      <alignment horizontal="right" vertical="center"/>
      <protection locked="0"/>
    </xf>
    <xf numFmtId="165" fontId="32" fillId="2" borderId="0" xfId="0" applyNumberFormat="1" applyFont="1" applyFill="1" applyAlignment="1">
      <alignment horizontal="left" vertical="top"/>
    </xf>
    <xf numFmtId="4" fontId="44" fillId="7" borderId="0" xfId="0" applyNumberFormat="1" applyFont="1" applyFill="1" applyAlignment="1" applyProtection="1">
      <alignment horizontal="right" vertical="center"/>
      <protection locked="0"/>
    </xf>
    <xf numFmtId="165" fontId="5" fillId="2" borderId="4" xfId="0" applyNumberFormat="1" applyFont="1" applyFill="1" applyBorder="1" applyAlignment="1">
      <alignment horizontal="left" vertical="top"/>
    </xf>
    <xf numFmtId="164" fontId="18" fillId="2" borderId="0" xfId="0" applyNumberFormat="1" applyFont="1" applyFill="1" applyAlignment="1">
      <alignment horizontal="left" vertical="top"/>
    </xf>
    <xf numFmtId="4" fontId="46" fillId="7" borderId="0" xfId="0" applyNumberFormat="1" applyFont="1" applyFill="1" applyAlignment="1" applyProtection="1">
      <alignment horizontal="right" vertical="center"/>
      <protection locked="0"/>
    </xf>
    <xf numFmtId="0" fontId="6" fillId="2" borderId="0" xfId="0" applyFont="1" applyFill="1" applyAlignment="1">
      <alignment horizontal="right" vertical="center"/>
    </xf>
    <xf numFmtId="0" fontId="17" fillId="2" borderId="0" xfId="0" applyFont="1" applyFill="1" applyAlignment="1">
      <alignment horizontal="left" vertical="center"/>
    </xf>
    <xf numFmtId="167" fontId="46" fillId="7" borderId="4" xfId="0" applyNumberFormat="1" applyFont="1" applyFill="1" applyBorder="1" applyAlignment="1" applyProtection="1">
      <alignment horizontal="right" vertical="center"/>
      <protection locked="0"/>
    </xf>
    <xf numFmtId="167" fontId="46" fillId="7" borderId="14" xfId="0" applyNumberFormat="1" applyFont="1" applyFill="1" applyBorder="1" applyAlignment="1" applyProtection="1">
      <alignment horizontal="right" vertical="center"/>
      <protection locked="0"/>
    </xf>
    <xf numFmtId="167" fontId="46" fillId="7" borderId="1" xfId="0" applyNumberFormat="1" applyFont="1" applyFill="1" applyBorder="1" applyAlignment="1" applyProtection="1">
      <alignment horizontal="right" vertical="center"/>
      <protection locked="0"/>
    </xf>
    <xf numFmtId="0" fontId="3" fillId="5" borderId="0" xfId="0" applyFont="1" applyFill="1" applyAlignment="1">
      <alignment vertical="center"/>
    </xf>
    <xf numFmtId="0" fontId="3" fillId="25" borderId="0" xfId="0" applyFont="1" applyFill="1" applyAlignment="1">
      <alignment horizontal="left" vertical="center" wrapText="1"/>
    </xf>
    <xf numFmtId="0" fontId="3" fillId="25" borderId="0" xfId="0" quotePrefix="1" applyFont="1" applyFill="1" applyAlignment="1">
      <alignment horizontal="left" vertical="center" wrapText="1"/>
    </xf>
    <xf numFmtId="0" fontId="7" fillId="25" borderId="0" xfId="1" applyFill="1" applyAlignment="1" applyProtection="1">
      <alignment horizontal="left" vertical="center" wrapText="1"/>
    </xf>
    <xf numFmtId="0" fontId="64" fillId="0" borderId="0" xfId="0" applyFont="1"/>
    <xf numFmtId="0" fontId="65" fillId="0" borderId="0" xfId="0" applyFont="1"/>
    <xf numFmtId="0" fontId="64" fillId="0" borderId="0" xfId="0" applyFont="1" applyAlignment="1">
      <alignment vertical="center" wrapText="1"/>
    </xf>
    <xf numFmtId="0" fontId="10" fillId="0" borderId="0" xfId="0" applyFont="1"/>
    <xf numFmtId="0" fontId="11" fillId="0" borderId="0" xfId="0" applyFont="1"/>
    <xf numFmtId="0" fontId="64" fillId="8" borderId="0" xfId="0" applyFont="1" applyFill="1"/>
    <xf numFmtId="0" fontId="65" fillId="8" borderId="0" xfId="0" applyFont="1" applyFill="1"/>
    <xf numFmtId="0" fontId="64" fillId="8" borderId="0" xfId="0" applyFont="1" applyFill="1" applyAlignment="1">
      <alignment vertical="center" wrapText="1"/>
    </xf>
    <xf numFmtId="0" fontId="68" fillId="8" borderId="0" xfId="0" applyFont="1" applyFill="1" applyAlignment="1">
      <alignment vertical="center"/>
    </xf>
    <xf numFmtId="0" fontId="68" fillId="8" borderId="0" xfId="0" applyFont="1" applyFill="1" applyAlignment="1">
      <alignment vertical="center" wrapText="1"/>
    </xf>
    <xf numFmtId="0" fontId="66" fillId="8" borderId="28" xfId="0" applyFont="1" applyFill="1" applyBorder="1" applyAlignment="1">
      <alignment horizontal="left" vertical="center"/>
    </xf>
    <xf numFmtId="0" fontId="66" fillId="8" borderId="29" xfId="0" applyFont="1" applyFill="1" applyBorder="1" applyAlignment="1">
      <alignment horizontal="left" vertical="center"/>
    </xf>
    <xf numFmtId="0" fontId="10" fillId="8" borderId="0" xfId="0" applyFont="1" applyFill="1"/>
    <xf numFmtId="0" fontId="11" fillId="8" borderId="0" xfId="0" applyFont="1" applyFill="1"/>
    <xf numFmtId="0" fontId="65" fillId="8" borderId="0" xfId="0" applyFont="1" applyFill="1" applyAlignment="1">
      <alignment horizontal="right" indent="1"/>
    </xf>
    <xf numFmtId="0" fontId="61" fillId="25" borderId="0" xfId="0" applyFont="1" applyFill="1" applyAlignment="1">
      <alignment vertical="center"/>
    </xf>
    <xf numFmtId="0" fontId="0" fillId="25" borderId="0" xfId="0" applyFill="1" applyAlignment="1">
      <alignment wrapText="1"/>
    </xf>
    <xf numFmtId="0" fontId="0" fillId="25" borderId="0" xfId="0" applyFill="1" applyAlignment="1">
      <alignment vertical="center" wrapText="1"/>
    </xf>
    <xf numFmtId="0" fontId="0" fillId="25" borderId="0" xfId="0" quotePrefix="1" applyFill="1" applyAlignment="1">
      <alignment horizontal="left" vertical="center" wrapText="1"/>
    </xf>
    <xf numFmtId="0" fontId="0" fillId="25" borderId="0" xfId="0" applyFill="1" applyAlignment="1">
      <alignment horizontal="left" vertical="center" wrapText="1"/>
    </xf>
    <xf numFmtId="0" fontId="0" fillId="25" borderId="0" xfId="0" applyFill="1" applyAlignment="1">
      <alignment vertical="top" wrapText="1"/>
    </xf>
    <xf numFmtId="0" fontId="5" fillId="25" borderId="0" xfId="0" applyFont="1" applyFill="1" applyAlignment="1">
      <alignment vertical="center" wrapText="1"/>
    </xf>
    <xf numFmtId="0" fontId="50" fillId="25" borderId="0" xfId="0" applyFont="1" applyFill="1" applyAlignment="1">
      <alignment horizontal="left" vertical="center"/>
    </xf>
    <xf numFmtId="0" fontId="41" fillId="26" borderId="32" xfId="0" applyFont="1" applyFill="1" applyBorder="1" applyAlignment="1">
      <alignment horizontal="center" vertical="center" wrapText="1"/>
    </xf>
    <xf numFmtId="0" fontId="72" fillId="0" borderId="32" xfId="0" applyFont="1" applyBorder="1" applyAlignment="1">
      <alignment vertical="top"/>
    </xf>
    <xf numFmtId="0" fontId="67" fillId="7" borderId="27" xfId="0" applyFont="1" applyFill="1" applyBorder="1" applyAlignment="1" applyProtection="1">
      <alignment horizontal="left" vertical="center" wrapText="1"/>
      <protection hidden="1"/>
    </xf>
    <xf numFmtId="0" fontId="69" fillId="7" borderId="29" xfId="0" applyFont="1" applyFill="1" applyBorder="1" applyAlignment="1">
      <alignment horizontal="left" vertical="center"/>
    </xf>
    <xf numFmtId="0" fontId="69" fillId="7" borderId="31" xfId="0" applyFont="1" applyFill="1" applyBorder="1" applyAlignment="1">
      <alignment horizontal="left" vertical="center"/>
    </xf>
    <xf numFmtId="0" fontId="64" fillId="26" borderId="0" xfId="0" applyFont="1" applyFill="1"/>
    <xf numFmtId="0" fontId="64" fillId="26" borderId="0" xfId="0" applyFont="1" applyFill="1" applyAlignment="1">
      <alignment vertical="center" wrapText="1"/>
    </xf>
    <xf numFmtId="0" fontId="10" fillId="26" borderId="0" xfId="0" applyFont="1" applyFill="1"/>
    <xf numFmtId="0" fontId="65" fillId="26" borderId="0" xfId="0" applyFont="1" applyFill="1"/>
    <xf numFmtId="0" fontId="3" fillId="0" borderId="0" xfId="0" applyFont="1" applyAlignment="1">
      <alignment horizontal="center"/>
    </xf>
    <xf numFmtId="4" fontId="47" fillId="18" borderId="32" xfId="0" applyNumberFormat="1" applyFont="1" applyFill="1" applyBorder="1" applyAlignment="1" applyProtection="1">
      <alignment horizontal="left" vertical="center"/>
      <protection locked="0"/>
    </xf>
    <xf numFmtId="0" fontId="41" fillId="11" borderId="32" xfId="0" applyFont="1" applyFill="1" applyBorder="1" applyAlignment="1">
      <alignment vertical="center" wrapText="1"/>
    </xf>
    <xf numFmtId="0" fontId="41" fillId="17" borderId="32" xfId="0" applyFont="1" applyFill="1" applyBorder="1" applyAlignment="1">
      <alignment horizontal="center" vertical="center" wrapText="1"/>
    </xf>
    <xf numFmtId="0" fontId="41" fillId="11" borderId="20" xfId="0" quotePrefix="1" applyFont="1" applyFill="1" applyBorder="1" applyAlignment="1">
      <alignment vertical="top" wrapText="1"/>
    </xf>
    <xf numFmtId="0" fontId="41" fillId="11" borderId="32" xfId="0" applyFont="1" applyFill="1" applyBorder="1" applyAlignment="1">
      <alignment vertical="top" wrapText="1"/>
    </xf>
    <xf numFmtId="0" fontId="11" fillId="12" borderId="15" xfId="0" applyFont="1" applyFill="1" applyBorder="1" applyAlignment="1">
      <alignment horizontal="center" vertical="center"/>
    </xf>
    <xf numFmtId="0" fontId="5" fillId="0" borderId="0" xfId="2" applyFont="1" applyAlignment="1">
      <alignment horizontal="center" vertical="center"/>
    </xf>
    <xf numFmtId="0" fontId="14" fillId="0" borderId="0" xfId="2" applyFont="1" applyAlignment="1">
      <alignment horizontal="center" vertical="center"/>
    </xf>
    <xf numFmtId="0" fontId="14" fillId="0" borderId="0" xfId="3" applyFont="1" applyAlignment="1">
      <alignment horizontal="center" vertical="center"/>
    </xf>
    <xf numFmtId="16" fontId="14" fillId="0" borderId="0" xfId="3" applyNumberFormat="1" applyFont="1" applyAlignment="1">
      <alignment horizontal="center" vertical="center"/>
    </xf>
    <xf numFmtId="49" fontId="14" fillId="0" borderId="0" xfId="3" applyNumberFormat="1" applyFont="1" applyAlignment="1">
      <alignment horizontal="center" vertical="center"/>
    </xf>
    <xf numFmtId="0" fontId="14" fillId="0" borderId="0" xfId="2" applyFont="1"/>
    <xf numFmtId="0" fontId="3" fillId="0" borderId="0" xfId="2" applyAlignment="1">
      <alignment horizontal="center" vertical="center"/>
    </xf>
    <xf numFmtId="0" fontId="3" fillId="0" borderId="0" xfId="2"/>
    <xf numFmtId="0" fontId="14" fillId="0" borderId="0" xfId="4" applyFont="1" applyAlignment="1">
      <alignment horizontal="center" vertical="center"/>
    </xf>
    <xf numFmtId="0" fontId="32" fillId="0" borderId="0" xfId="2" applyFont="1" applyAlignment="1">
      <alignment horizontal="center" vertical="center"/>
    </xf>
    <xf numFmtId="0" fontId="14" fillId="0" borderId="0" xfId="4" applyFont="1"/>
    <xf numFmtId="0" fontId="3" fillId="0" borderId="0" xfId="4" applyAlignment="1">
      <alignment horizontal="center" vertical="center"/>
    </xf>
    <xf numFmtId="0" fontId="3" fillId="0" borderId="0" xfId="4"/>
    <xf numFmtId="0" fontId="14" fillId="12" borderId="0" xfId="4" applyFont="1" applyFill="1" applyAlignment="1">
      <alignment horizontal="center" vertical="center"/>
    </xf>
    <xf numFmtId="169" fontId="43" fillId="7" borderId="16" xfId="0" applyNumberFormat="1" applyFont="1" applyFill="1" applyBorder="1" applyAlignment="1" applyProtection="1">
      <alignment horizontal="right" vertical="center"/>
      <protection locked="0"/>
    </xf>
    <xf numFmtId="169" fontId="43" fillId="7" borderId="0" xfId="0" applyNumberFormat="1" applyFont="1" applyFill="1" applyAlignment="1" applyProtection="1">
      <alignment horizontal="right" vertical="center"/>
      <protection locked="0"/>
    </xf>
    <xf numFmtId="169" fontId="39" fillId="7" borderId="0" xfId="0" applyNumberFormat="1" applyFont="1" applyFill="1" applyAlignment="1" applyProtection="1">
      <alignment horizontal="right" vertical="center"/>
      <protection locked="0"/>
    </xf>
    <xf numFmtId="169" fontId="45" fillId="7" borderId="0" xfId="0" applyNumberFormat="1" applyFont="1" applyFill="1" applyAlignment="1" applyProtection="1">
      <alignment horizontal="right" vertical="center"/>
      <protection locked="0"/>
    </xf>
    <xf numFmtId="169" fontId="39" fillId="7" borderId="13" xfId="0" applyNumberFormat="1" applyFont="1" applyFill="1" applyBorder="1" applyAlignment="1" applyProtection="1">
      <alignment horizontal="right" vertical="center"/>
      <protection locked="0"/>
    </xf>
    <xf numFmtId="169" fontId="44" fillId="7" borderId="0" xfId="0" applyNumberFormat="1" applyFont="1" applyFill="1" applyAlignment="1" applyProtection="1">
      <alignment horizontal="right" vertical="center"/>
      <protection locked="0"/>
    </xf>
    <xf numFmtId="169" fontId="43" fillId="7" borderId="13" xfId="0" applyNumberFormat="1" applyFont="1" applyFill="1" applyBorder="1" applyAlignment="1" applyProtection="1">
      <alignment horizontal="right" vertical="center"/>
      <protection locked="0"/>
    </xf>
    <xf numFmtId="169" fontId="46" fillId="7" borderId="17" xfId="0" applyNumberFormat="1" applyFont="1" applyFill="1" applyBorder="1" applyAlignment="1" applyProtection="1">
      <alignment horizontal="right" vertical="center"/>
      <protection locked="0"/>
    </xf>
    <xf numFmtId="169" fontId="46" fillId="7" borderId="16" xfId="0" applyNumberFormat="1" applyFont="1" applyFill="1" applyBorder="1" applyAlignment="1" applyProtection="1">
      <alignment horizontal="right" vertical="center"/>
      <protection locked="0"/>
    </xf>
    <xf numFmtId="169" fontId="46" fillId="7" borderId="13" xfId="0" applyNumberFormat="1" applyFont="1" applyFill="1" applyBorder="1" applyAlignment="1" applyProtection="1">
      <alignment horizontal="right" vertical="center"/>
      <protection locked="0"/>
    </xf>
    <xf numFmtId="169" fontId="46" fillId="7" borderId="0" xfId="0" applyNumberFormat="1" applyFont="1" applyFill="1" applyAlignment="1" applyProtection="1">
      <alignment horizontal="right" vertical="center"/>
      <protection locked="0"/>
    </xf>
    <xf numFmtId="169" fontId="46" fillId="7" borderId="14" xfId="0" applyNumberFormat="1" applyFont="1" applyFill="1" applyBorder="1" applyAlignment="1" applyProtection="1">
      <alignment horizontal="right" vertical="center"/>
      <protection locked="0"/>
    </xf>
    <xf numFmtId="169" fontId="46" fillId="7" borderId="1" xfId="0" applyNumberFormat="1" applyFont="1" applyFill="1" applyBorder="1" applyAlignment="1" applyProtection="1">
      <alignment horizontal="right" vertical="center"/>
      <protection locked="0"/>
    </xf>
    <xf numFmtId="0" fontId="61" fillId="25" borderId="0" xfId="0" applyFont="1" applyFill="1" applyAlignment="1">
      <alignment horizontal="center" vertical="center"/>
    </xf>
    <xf numFmtId="0" fontId="41" fillId="11" borderId="32" xfId="0" applyFont="1" applyFill="1" applyBorder="1" applyAlignment="1">
      <alignment horizontal="center" vertical="center" wrapText="1"/>
    </xf>
    <xf numFmtId="0" fontId="23" fillId="3" borderId="32" xfId="0" applyFont="1" applyFill="1" applyBorder="1" applyAlignment="1">
      <alignment horizontal="left" vertical="center" wrapText="1"/>
    </xf>
    <xf numFmtId="0" fontId="23" fillId="36" borderId="32" xfId="0" applyFont="1" applyFill="1" applyBorder="1" applyAlignment="1">
      <alignment horizontal="left" vertical="center"/>
    </xf>
    <xf numFmtId="0" fontId="11" fillId="0" borderId="15" xfId="0" applyFont="1" applyBorder="1" applyAlignment="1">
      <alignment horizontal="center" vertical="center"/>
    </xf>
    <xf numFmtId="169" fontId="40" fillId="8" borderId="34" xfId="0" applyNumberFormat="1" applyFont="1" applyFill="1" applyBorder="1" applyAlignment="1" applyProtection="1">
      <alignment horizontal="right" vertical="center"/>
      <protection locked="0"/>
    </xf>
    <xf numFmtId="169" fontId="40" fillId="8" borderId="35" xfId="0" applyNumberFormat="1" applyFont="1" applyFill="1" applyBorder="1" applyAlignment="1" applyProtection="1">
      <alignment horizontal="right" vertical="center"/>
      <protection locked="0"/>
    </xf>
    <xf numFmtId="169" fontId="40" fillId="8" borderId="36" xfId="0" applyNumberFormat="1" applyFont="1" applyFill="1" applyBorder="1" applyAlignment="1" applyProtection="1">
      <alignment horizontal="right" vertical="center"/>
      <protection locked="0"/>
    </xf>
    <xf numFmtId="169" fontId="40" fillId="8" borderId="37" xfId="0" applyNumberFormat="1" applyFont="1" applyFill="1" applyBorder="1" applyAlignment="1" applyProtection="1">
      <alignment horizontal="right" vertical="center"/>
      <protection locked="0"/>
    </xf>
    <xf numFmtId="169" fontId="40" fillId="8" borderId="38" xfId="0" applyNumberFormat="1" applyFont="1" applyFill="1" applyBorder="1" applyAlignment="1" applyProtection="1">
      <alignment horizontal="right" vertical="center"/>
      <protection locked="0"/>
    </xf>
    <xf numFmtId="169" fontId="46" fillId="0" borderId="0" xfId="0" applyNumberFormat="1" applyFont="1" applyProtection="1">
      <protection locked="0"/>
    </xf>
    <xf numFmtId="169" fontId="40" fillId="0" borderId="0" xfId="0" applyNumberFormat="1" applyFont="1" applyProtection="1">
      <protection locked="0"/>
    </xf>
    <xf numFmtId="167" fontId="46" fillId="0" borderId="0" xfId="0" applyNumberFormat="1" applyFont="1" applyProtection="1">
      <protection locked="0"/>
    </xf>
    <xf numFmtId="167" fontId="40" fillId="0" borderId="0" xfId="0" applyNumberFormat="1" applyFont="1" applyProtection="1">
      <protection locked="0"/>
    </xf>
    <xf numFmtId="0" fontId="83" fillId="7" borderId="6" xfId="0" applyFont="1" applyFill="1" applyBorder="1" applyAlignment="1">
      <alignment horizontal="center" vertical="center"/>
    </xf>
    <xf numFmtId="0" fontId="40" fillId="8" borderId="24" xfId="0" applyFont="1" applyFill="1" applyBorder="1" applyAlignment="1">
      <alignment horizontal="center" vertical="center"/>
    </xf>
    <xf numFmtId="0" fontId="83" fillId="7" borderId="2" xfId="0" applyFont="1" applyFill="1" applyBorder="1" applyAlignment="1">
      <alignment horizontal="center" vertical="center"/>
    </xf>
    <xf numFmtId="0" fontId="83" fillId="7" borderId="15" xfId="0" applyFont="1" applyFill="1" applyBorder="1" applyAlignment="1">
      <alignment horizontal="center" vertical="center"/>
    </xf>
    <xf numFmtId="167" fontId="40" fillId="8" borderId="35" xfId="0" applyNumberFormat="1" applyFont="1" applyFill="1" applyBorder="1" applyAlignment="1" applyProtection="1">
      <alignment horizontal="right" vertical="center"/>
      <protection locked="0"/>
    </xf>
    <xf numFmtId="167" fontId="40" fillId="8" borderId="38" xfId="0" applyNumberFormat="1" applyFont="1" applyFill="1" applyBorder="1" applyAlignment="1" applyProtection="1">
      <alignment horizontal="right" vertical="center"/>
      <protection locked="0"/>
    </xf>
    <xf numFmtId="0" fontId="0" fillId="29" borderId="8" xfId="0" applyFill="1" applyBorder="1" applyAlignment="1">
      <alignment horizontal="left"/>
    </xf>
    <xf numFmtId="0" fontId="3" fillId="29" borderId="8" xfId="0" applyFont="1" applyFill="1" applyBorder="1"/>
    <xf numFmtId="0" fontId="3" fillId="29" borderId="8" xfId="0" applyFont="1" applyFill="1" applyBorder="1" applyAlignment="1">
      <alignment horizontal="left"/>
    </xf>
    <xf numFmtId="0" fontId="1" fillId="11" borderId="32" xfId="0" applyFont="1" applyFill="1" applyBorder="1"/>
    <xf numFmtId="0" fontId="6" fillId="2" borderId="3" xfId="0" applyFont="1" applyFill="1" applyBorder="1" applyAlignment="1">
      <alignment horizontal="left" vertical="center"/>
    </xf>
    <xf numFmtId="0" fontId="17" fillId="2" borderId="3" xfId="0" applyFont="1" applyFill="1" applyBorder="1" applyAlignment="1">
      <alignment horizontal="right" vertical="center"/>
    </xf>
    <xf numFmtId="0" fontId="5" fillId="0" borderId="0" xfId="0" applyFont="1"/>
    <xf numFmtId="0" fontId="0" fillId="0" borderId="0" xfId="0" applyAlignment="1">
      <alignment horizontal="right"/>
    </xf>
    <xf numFmtId="0" fontId="43" fillId="7" borderId="12" xfId="0" applyFont="1" applyFill="1" applyBorder="1" applyAlignment="1" applyProtection="1">
      <alignment horizontal="center" vertical="center"/>
      <protection locked="0"/>
    </xf>
    <xf numFmtId="0" fontId="3" fillId="25" borderId="37" xfId="0" applyFont="1" applyFill="1" applyBorder="1" applyAlignment="1">
      <alignment vertical="center" wrapText="1"/>
    </xf>
    <xf numFmtId="0" fontId="5" fillId="25" borderId="37" xfId="0" applyFont="1" applyFill="1" applyBorder="1" applyAlignment="1">
      <alignment vertical="center" wrapText="1"/>
    </xf>
    <xf numFmtId="0" fontId="5" fillId="25" borderId="3" xfId="0" applyFont="1" applyFill="1" applyBorder="1" applyAlignment="1">
      <alignment vertical="center"/>
    </xf>
    <xf numFmtId="0" fontId="0" fillId="25" borderId="4" xfId="0" applyFill="1" applyBorder="1"/>
    <xf numFmtId="0" fontId="3" fillId="0" borderId="0" xfId="0" applyFont="1" applyAlignment="1">
      <alignment vertical="center" wrapText="1"/>
    </xf>
    <xf numFmtId="0" fontId="3" fillId="0" borderId="0" xfId="0" applyFont="1" applyAlignment="1">
      <alignment horizontal="left" vertical="center" wrapText="1"/>
    </xf>
    <xf numFmtId="0" fontId="61" fillId="0" borderId="0" xfId="0" applyFont="1" applyAlignment="1">
      <alignment horizontal="center" vertical="center"/>
    </xf>
    <xf numFmtId="0" fontId="23" fillId="3" borderId="32" xfId="0" applyFont="1" applyFill="1" applyBorder="1" applyAlignment="1">
      <alignment vertical="center" wrapText="1"/>
    </xf>
    <xf numFmtId="0" fontId="3" fillId="3" borderId="32" xfId="0" applyFont="1" applyFill="1" applyBorder="1" applyAlignment="1">
      <alignment vertical="center" wrapText="1"/>
    </xf>
    <xf numFmtId="0" fontId="0" fillId="25" borderId="0" xfId="0" applyFill="1" applyAlignment="1">
      <alignment horizontal="center" vertical="center"/>
    </xf>
    <xf numFmtId="4" fontId="49" fillId="0" borderId="32" xfId="0" applyNumberFormat="1" applyFont="1" applyBorder="1" applyAlignment="1" applyProtection="1">
      <alignment horizontal="center" vertical="center"/>
      <protection locked="0"/>
    </xf>
    <xf numFmtId="0" fontId="5" fillId="25" borderId="0" xfId="0" applyFont="1" applyFill="1" applyAlignment="1">
      <alignment horizontal="center" wrapText="1"/>
    </xf>
    <xf numFmtId="0" fontId="3" fillId="25" borderId="0" xfId="0" applyFont="1" applyFill="1" applyAlignment="1">
      <alignment horizontal="right" vertical="center"/>
    </xf>
    <xf numFmtId="0" fontId="0" fillId="25" borderId="0" xfId="0" applyFill="1" applyAlignment="1">
      <alignment horizontal="right" vertical="center"/>
    </xf>
    <xf numFmtId="0" fontId="3" fillId="25" borderId="0" xfId="0" applyFont="1" applyFill="1" applyAlignment="1">
      <alignment horizontal="right" vertical="center" wrapText="1"/>
    </xf>
    <xf numFmtId="169" fontId="85" fillId="38" borderId="18" xfId="0" applyNumberFormat="1" applyFont="1" applyFill="1" applyBorder="1" applyAlignment="1" applyProtection="1">
      <alignment horizontal="right" vertical="center"/>
      <protection locked="0"/>
    </xf>
    <xf numFmtId="169" fontId="85" fillId="38" borderId="16" xfId="0" applyNumberFormat="1" applyFont="1" applyFill="1" applyBorder="1" applyAlignment="1" applyProtection="1">
      <alignment horizontal="right" vertical="center"/>
      <protection locked="0"/>
    </xf>
    <xf numFmtId="169" fontId="85" fillId="38" borderId="3" xfId="0" applyNumberFormat="1" applyFont="1" applyFill="1" applyBorder="1" applyAlignment="1" applyProtection="1">
      <alignment horizontal="right" vertical="center"/>
      <protection locked="0"/>
    </xf>
    <xf numFmtId="169" fontId="85" fillId="38" borderId="0" xfId="0" applyNumberFormat="1" applyFont="1" applyFill="1" applyAlignment="1" applyProtection="1">
      <alignment horizontal="right" vertical="center"/>
      <protection locked="0"/>
    </xf>
    <xf numFmtId="169" fontId="86" fillId="38" borderId="3" xfId="0" applyNumberFormat="1" applyFont="1" applyFill="1" applyBorder="1" applyAlignment="1" applyProtection="1">
      <alignment horizontal="right" vertical="center"/>
      <protection locked="0"/>
    </xf>
    <xf numFmtId="169" fontId="86" fillId="38" borderId="0" xfId="0" applyNumberFormat="1" applyFont="1" applyFill="1" applyAlignment="1" applyProtection="1">
      <alignment horizontal="right" vertical="center"/>
      <protection locked="0"/>
    </xf>
    <xf numFmtId="169" fontId="87" fillId="38" borderId="3" xfId="0" applyNumberFormat="1" applyFont="1" applyFill="1" applyBorder="1" applyAlignment="1" applyProtection="1">
      <alignment horizontal="right" vertical="center"/>
      <protection locked="0"/>
    </xf>
    <xf numFmtId="169" fontId="87" fillId="38" borderId="0" xfId="0" applyNumberFormat="1" applyFont="1" applyFill="1" applyAlignment="1" applyProtection="1">
      <alignment horizontal="right" vertical="center"/>
      <protection locked="0"/>
    </xf>
    <xf numFmtId="169" fontId="86" fillId="38" borderId="13" xfId="0" applyNumberFormat="1" applyFont="1" applyFill="1" applyBorder="1" applyAlignment="1" applyProtection="1">
      <alignment horizontal="right" vertical="center"/>
      <protection locked="0"/>
    </xf>
    <xf numFmtId="169" fontId="88" fillId="38" borderId="3" xfId="0" applyNumberFormat="1" applyFont="1" applyFill="1" applyBorder="1" applyAlignment="1" applyProtection="1">
      <alignment horizontal="right" vertical="center"/>
      <protection locked="0"/>
    </xf>
    <xf numFmtId="169" fontId="88" fillId="38" borderId="0" xfId="0" applyNumberFormat="1" applyFont="1" applyFill="1" applyAlignment="1" applyProtection="1">
      <alignment horizontal="right" vertical="center"/>
      <protection locked="0"/>
    </xf>
    <xf numFmtId="169" fontId="85" fillId="38" borderId="13" xfId="0" applyNumberFormat="1" applyFont="1" applyFill="1" applyBorder="1" applyAlignment="1" applyProtection="1">
      <alignment horizontal="right" vertical="center"/>
      <protection locked="0"/>
    </xf>
    <xf numFmtId="169" fontId="47" fillId="38" borderId="18" xfId="0" applyNumberFormat="1" applyFont="1" applyFill="1" applyBorder="1" applyAlignment="1" applyProtection="1">
      <alignment horizontal="right" vertical="center"/>
      <protection locked="0"/>
    </xf>
    <xf numFmtId="169" fontId="47" fillId="38" borderId="17" xfId="0" applyNumberFormat="1" applyFont="1" applyFill="1" applyBorder="1" applyAlignment="1" applyProtection="1">
      <alignment horizontal="right" vertical="center"/>
      <protection locked="0"/>
    </xf>
    <xf numFmtId="169" fontId="47" fillId="38" borderId="16" xfId="0" applyNumberFormat="1" applyFont="1" applyFill="1" applyBorder="1" applyAlignment="1" applyProtection="1">
      <alignment horizontal="right" vertical="center"/>
      <protection locked="0"/>
    </xf>
    <xf numFmtId="169" fontId="47" fillId="38" borderId="3" xfId="0" applyNumberFormat="1" applyFont="1" applyFill="1" applyBorder="1" applyAlignment="1" applyProtection="1">
      <alignment horizontal="right" vertical="center"/>
      <protection locked="0"/>
    </xf>
    <xf numFmtId="169" fontId="47" fillId="38" borderId="13" xfId="0" applyNumberFormat="1" applyFont="1" applyFill="1" applyBorder="1" applyAlignment="1" applyProtection="1">
      <alignment horizontal="right" vertical="center"/>
      <protection locked="0"/>
    </xf>
    <xf numFmtId="169" fontId="47" fillId="38" borderId="0" xfId="0" applyNumberFormat="1" applyFont="1" applyFill="1" applyAlignment="1" applyProtection="1">
      <alignment horizontal="right" vertical="center"/>
      <protection locked="0"/>
    </xf>
    <xf numFmtId="169" fontId="47" fillId="38" borderId="4" xfId="0" applyNumberFormat="1" applyFont="1" applyFill="1" applyBorder="1" applyAlignment="1" applyProtection="1">
      <alignment horizontal="right" vertical="center"/>
      <protection locked="0"/>
    </xf>
    <xf numFmtId="169" fontId="47" fillId="38" borderId="14" xfId="0" applyNumberFormat="1" applyFont="1" applyFill="1" applyBorder="1" applyAlignment="1" applyProtection="1">
      <alignment horizontal="right" vertical="center"/>
      <protection locked="0"/>
    </xf>
    <xf numFmtId="169" fontId="47" fillId="38" borderId="1" xfId="0" applyNumberFormat="1" applyFont="1" applyFill="1" applyBorder="1" applyAlignment="1" applyProtection="1">
      <alignment horizontal="right" vertical="center"/>
      <protection locked="0"/>
    </xf>
    <xf numFmtId="167" fontId="47" fillId="38" borderId="4" xfId="0" applyNumberFormat="1" applyFont="1" applyFill="1" applyBorder="1" applyAlignment="1" applyProtection="1">
      <alignment horizontal="right" vertical="center"/>
      <protection locked="0"/>
    </xf>
    <xf numFmtId="167" fontId="47" fillId="38" borderId="14" xfId="0" applyNumberFormat="1" applyFont="1" applyFill="1" applyBorder="1" applyAlignment="1" applyProtection="1">
      <alignment horizontal="right" vertical="center"/>
      <protection locked="0"/>
    </xf>
    <xf numFmtId="167" fontId="47" fillId="38" borderId="1" xfId="0" applyNumberFormat="1" applyFont="1" applyFill="1" applyBorder="1" applyAlignment="1" applyProtection="1">
      <alignment horizontal="right" vertical="center"/>
      <protection locked="0"/>
    </xf>
    <xf numFmtId="169" fontId="45" fillId="29" borderId="0" xfId="0" applyNumberFormat="1" applyFont="1" applyFill="1" applyAlignment="1" applyProtection="1">
      <alignment horizontal="right" vertical="center"/>
      <protection locked="0"/>
    </xf>
    <xf numFmtId="49" fontId="72" fillId="0" borderId="32" xfId="0" applyNumberFormat="1" applyFont="1" applyBorder="1" applyAlignment="1" applyProtection="1">
      <alignment horizontal="left" vertical="center" wrapText="1"/>
      <protection locked="0"/>
    </xf>
    <xf numFmtId="0" fontId="72" fillId="0" borderId="0" xfId="0" applyFont="1"/>
    <xf numFmtId="169" fontId="43" fillId="29" borderId="0" xfId="0" applyNumberFormat="1" applyFont="1" applyFill="1" applyAlignment="1" applyProtection="1">
      <alignment horizontal="right" vertical="center"/>
      <protection locked="0"/>
    </xf>
    <xf numFmtId="169" fontId="46" fillId="29" borderId="17" xfId="0" applyNumberFormat="1" applyFont="1" applyFill="1" applyBorder="1" applyAlignment="1" applyProtection="1">
      <alignment horizontal="right" vertical="center"/>
      <protection locked="0"/>
    </xf>
    <xf numFmtId="169" fontId="46" fillId="29" borderId="14" xfId="0" applyNumberFormat="1" applyFont="1" applyFill="1" applyBorder="1" applyAlignment="1" applyProtection="1">
      <alignment horizontal="right" vertical="center"/>
      <protection locked="0"/>
    </xf>
    <xf numFmtId="169" fontId="39" fillId="29" borderId="13" xfId="0" applyNumberFormat="1" applyFont="1" applyFill="1" applyBorder="1" applyAlignment="1" applyProtection="1">
      <alignment horizontal="right" vertical="center"/>
      <protection locked="0"/>
    </xf>
    <xf numFmtId="169" fontId="39" fillId="29" borderId="0" xfId="0" applyNumberFormat="1" applyFont="1" applyFill="1" applyAlignment="1" applyProtection="1">
      <alignment horizontal="right" vertical="center"/>
      <protection locked="0"/>
    </xf>
    <xf numFmtId="0" fontId="45" fillId="34" borderId="3" xfId="0" applyFont="1" applyFill="1" applyBorder="1" applyAlignment="1" applyProtection="1">
      <alignment horizontal="right" vertical="center"/>
      <protection locked="0"/>
    </xf>
    <xf numFmtId="0" fontId="45" fillId="34" borderId="0" xfId="0" applyFont="1" applyFill="1" applyAlignment="1" applyProtection="1">
      <alignment horizontal="right" vertical="center"/>
      <protection locked="0"/>
    </xf>
    <xf numFmtId="0" fontId="39" fillId="34" borderId="37" xfId="0" applyFont="1" applyFill="1" applyBorder="1" applyAlignment="1" applyProtection="1">
      <alignment horizontal="right" vertical="center"/>
      <protection locked="0"/>
    </xf>
    <xf numFmtId="0" fontId="0" fillId="0" borderId="32" xfId="0" applyBorder="1" applyAlignment="1">
      <alignment horizontal="left" vertical="center" wrapText="1"/>
    </xf>
    <xf numFmtId="0" fontId="3" fillId="3" borderId="0" xfId="0" applyFont="1" applyFill="1"/>
    <xf numFmtId="0" fontId="3" fillId="3" borderId="0" xfId="0" applyFont="1" applyFill="1" applyAlignment="1">
      <alignment horizontal="left"/>
    </xf>
    <xf numFmtId="0" fontId="3" fillId="3" borderId="0" xfId="0" applyFont="1" applyFill="1" applyProtection="1">
      <protection locked="0"/>
    </xf>
    <xf numFmtId="0" fontId="3" fillId="3" borderId="0" xfId="0" applyFont="1" applyFill="1" applyAlignment="1">
      <alignment horizontal="left" vertical="top"/>
    </xf>
    <xf numFmtId="0" fontId="5" fillId="3" borderId="32" xfId="0" applyFont="1" applyFill="1" applyBorder="1" applyAlignment="1">
      <alignment horizontal="center" vertical="top" wrapText="1"/>
    </xf>
    <xf numFmtId="0" fontId="3" fillId="3" borderId="5" xfId="0" applyFont="1" applyFill="1" applyBorder="1" applyAlignment="1">
      <alignment vertical="center" wrapText="1"/>
    </xf>
    <xf numFmtId="0" fontId="3" fillId="3" borderId="32" xfId="0" applyFont="1" applyFill="1" applyBorder="1" applyAlignment="1" applyProtection="1">
      <alignment vertical="center" wrapText="1"/>
      <protection locked="0"/>
    </xf>
    <xf numFmtId="0" fontId="3" fillId="3" borderId="32" xfId="0" applyFont="1" applyFill="1" applyBorder="1" applyAlignment="1">
      <alignment horizontal="left" vertical="center" wrapText="1"/>
    </xf>
    <xf numFmtId="0" fontId="3" fillId="3" borderId="32" xfId="0" applyFont="1" applyFill="1" applyBorder="1" applyAlignment="1" applyProtection="1">
      <alignment horizontal="left" vertical="center" wrapText="1"/>
      <protection locked="0"/>
    </xf>
    <xf numFmtId="0" fontId="23" fillId="3" borderId="32" xfId="0" applyFont="1" applyFill="1" applyBorder="1" applyAlignment="1">
      <alignment horizontal="left" vertical="center"/>
    </xf>
    <xf numFmtId="0" fontId="3" fillId="5" borderId="32" xfId="0" applyFont="1" applyFill="1" applyBorder="1" applyAlignment="1">
      <alignment horizontal="left" vertical="center" wrapText="1"/>
    </xf>
    <xf numFmtId="0" fontId="3" fillId="3" borderId="0" xfId="0" applyFont="1" applyFill="1" applyAlignment="1">
      <alignment vertical="top"/>
    </xf>
    <xf numFmtId="0" fontId="3" fillId="5" borderId="0" xfId="0" applyFont="1" applyFill="1" applyAlignment="1">
      <alignment vertical="top"/>
    </xf>
    <xf numFmtId="0" fontId="3" fillId="5" borderId="0" xfId="0" applyFont="1" applyFill="1" applyAlignment="1">
      <alignment horizontal="left"/>
    </xf>
    <xf numFmtId="4" fontId="47" fillId="33" borderId="32" xfId="0" applyNumberFormat="1" applyFont="1" applyFill="1" applyBorder="1" applyAlignment="1" applyProtection="1">
      <alignment horizontal="left" vertical="center"/>
      <protection locked="0"/>
    </xf>
    <xf numFmtId="4" fontId="47" fillId="26" borderId="32" xfId="0" applyNumberFormat="1" applyFont="1" applyFill="1" applyBorder="1" applyAlignment="1" applyProtection="1">
      <alignment horizontal="left" vertical="center"/>
      <protection locked="0"/>
    </xf>
    <xf numFmtId="0" fontId="0" fillId="30" borderId="32" xfId="0" applyFill="1" applyBorder="1" applyAlignment="1">
      <alignment vertical="center"/>
    </xf>
    <xf numFmtId="0" fontId="0" fillId="32" borderId="32" xfId="0" applyFill="1" applyBorder="1"/>
    <xf numFmtId="4" fontId="46" fillId="29" borderId="32" xfId="0" applyNumberFormat="1" applyFont="1" applyFill="1" applyBorder="1" applyAlignment="1" applyProtection="1">
      <alignment horizontal="left" vertical="center"/>
      <protection locked="0"/>
    </xf>
    <xf numFmtId="0" fontId="0" fillId="35" borderId="32" xfId="0" applyFill="1" applyBorder="1"/>
    <xf numFmtId="0" fontId="0" fillId="28" borderId="32" xfId="0" applyFill="1" applyBorder="1"/>
    <xf numFmtId="49" fontId="0" fillId="28" borderId="32" xfId="0" applyNumberFormat="1" applyFill="1" applyBorder="1"/>
    <xf numFmtId="0" fontId="0" fillId="0" borderId="32" xfId="0" applyBorder="1"/>
    <xf numFmtId="0" fontId="1" fillId="0" borderId="32" xfId="0" applyFont="1" applyBorder="1" applyAlignment="1">
      <alignment horizontal="center" vertical="center"/>
    </xf>
    <xf numFmtId="0" fontId="1" fillId="0" borderId="32" xfId="0" applyFont="1" applyBorder="1"/>
    <xf numFmtId="49" fontId="1" fillId="0" borderId="32" xfId="0" applyNumberFormat="1" applyFont="1" applyBorder="1"/>
    <xf numFmtId="0" fontId="1" fillId="28" borderId="32" xfId="0" applyFont="1" applyFill="1" applyBorder="1"/>
    <xf numFmtId="49" fontId="1" fillId="0" borderId="32" xfId="0" applyNumberFormat="1" applyFont="1" applyBorder="1" applyAlignment="1">
      <alignment horizontal="center" vertical="center"/>
    </xf>
    <xf numFmtId="49" fontId="0" fillId="0" borderId="32" xfId="0" applyNumberFormat="1" applyBorder="1"/>
    <xf numFmtId="0" fontId="0" fillId="0" borderId="32" xfId="0" applyBorder="1" applyAlignment="1">
      <alignment horizontal="center" vertical="center"/>
    </xf>
    <xf numFmtId="0" fontId="5" fillId="31" borderId="32" xfId="0" applyFont="1" applyFill="1" applyBorder="1" applyAlignment="1">
      <alignment horizontal="center" vertical="center"/>
    </xf>
    <xf numFmtId="0" fontId="49" fillId="0" borderId="32" xfId="0" applyFont="1" applyBorder="1" applyAlignment="1">
      <alignment horizontal="left" vertical="center" wrapText="1" indent="1"/>
    </xf>
    <xf numFmtId="0" fontId="0" fillId="0" borderId="32" xfId="0" applyBorder="1" applyAlignment="1">
      <alignment horizontal="left" vertical="center"/>
    </xf>
    <xf numFmtId="0" fontId="5" fillId="17" borderId="32" xfId="0" applyFont="1" applyFill="1" applyBorder="1" applyAlignment="1">
      <alignment vertical="center" wrapText="1"/>
    </xf>
    <xf numFmtId="0" fontId="0" fillId="0" borderId="32" xfId="0" applyBorder="1" applyAlignment="1">
      <alignment vertical="center" wrapText="1"/>
    </xf>
    <xf numFmtId="0" fontId="49" fillId="0" borderId="32" xfId="0" applyFont="1" applyBorder="1" applyAlignment="1">
      <alignment vertical="center" wrapText="1"/>
    </xf>
    <xf numFmtId="0" fontId="49" fillId="0" borderId="32" xfId="0" applyFont="1" applyBorder="1" applyAlignment="1">
      <alignment horizontal="left" vertical="center" wrapText="1"/>
    </xf>
    <xf numFmtId="0" fontId="70" fillId="8" borderId="32" xfId="0" applyFont="1" applyFill="1" applyBorder="1" applyAlignment="1">
      <alignment horizontal="center" vertical="center" wrapText="1"/>
    </xf>
    <xf numFmtId="0" fontId="70" fillId="8" borderId="32" xfId="0" applyFont="1" applyFill="1" applyBorder="1" applyAlignment="1">
      <alignment horizontal="center" vertical="center"/>
    </xf>
    <xf numFmtId="0" fontId="71" fillId="8" borderId="32" xfId="0" applyFont="1" applyFill="1" applyBorder="1" applyAlignment="1">
      <alignment horizontal="center" vertical="top"/>
    </xf>
    <xf numFmtId="0" fontId="72" fillId="0" borderId="32" xfId="0" applyFont="1" applyBorder="1" applyAlignment="1" applyProtection="1">
      <alignment vertical="top"/>
      <protection locked="0"/>
    </xf>
    <xf numFmtId="49" fontId="6" fillId="2" borderId="38" xfId="0" applyNumberFormat="1" applyFont="1" applyFill="1" applyBorder="1" applyAlignment="1">
      <alignment horizontal="left" vertical="center" wrapText="1" indent="1"/>
    </xf>
    <xf numFmtId="0" fontId="13" fillId="0" borderId="15" xfId="0" applyFont="1" applyBorder="1" applyAlignment="1">
      <alignment horizontal="center" vertical="center"/>
    </xf>
    <xf numFmtId="0" fontId="13" fillId="0" borderId="24" xfId="0" applyFont="1" applyBorder="1" applyAlignment="1">
      <alignment horizontal="center" vertical="center"/>
    </xf>
    <xf numFmtId="0" fontId="13" fillId="12" borderId="24" xfId="0" applyFont="1" applyFill="1" applyBorder="1" applyAlignment="1">
      <alignment horizontal="center" vertical="center"/>
    </xf>
    <xf numFmtId="0" fontId="13" fillId="25" borderId="7" xfId="0" applyFont="1" applyFill="1" applyBorder="1" applyAlignment="1">
      <alignment horizontal="center" vertical="center"/>
    </xf>
    <xf numFmtId="166" fontId="40" fillId="8" borderId="34" xfId="0" applyNumberFormat="1" applyFont="1" applyFill="1" applyBorder="1" applyAlignment="1" applyProtection="1">
      <alignment horizontal="right" vertical="center"/>
      <protection locked="0"/>
    </xf>
    <xf numFmtId="0" fontId="40" fillId="8" borderId="34" xfId="0" applyFont="1" applyFill="1" applyBorder="1" applyAlignment="1" applyProtection="1">
      <alignment horizontal="right" vertical="center"/>
      <protection locked="0"/>
    </xf>
    <xf numFmtId="0" fontId="40" fillId="8" borderId="36" xfId="0" applyFont="1" applyFill="1" applyBorder="1" applyAlignment="1" applyProtection="1">
      <alignment horizontal="right" vertical="center"/>
      <protection locked="0"/>
    </xf>
    <xf numFmtId="0" fontId="3" fillId="2" borderId="0" xfId="0" applyFont="1" applyFill="1" applyAlignment="1">
      <alignment horizontal="left" vertical="center"/>
    </xf>
    <xf numFmtId="0" fontId="40" fillId="8" borderId="37" xfId="0" applyFont="1" applyFill="1" applyBorder="1" applyAlignment="1" applyProtection="1">
      <alignment horizontal="right" vertical="center"/>
      <protection locked="0"/>
    </xf>
    <xf numFmtId="0" fontId="4" fillId="4" borderId="0" xfId="0" applyFont="1" applyFill="1" applyAlignment="1">
      <alignment horizontal="right" vertical="top"/>
    </xf>
    <xf numFmtId="165" fontId="4" fillId="2" borderId="3" xfId="0" applyNumberFormat="1" applyFont="1" applyFill="1" applyBorder="1" applyAlignment="1">
      <alignment horizontal="left" vertical="top"/>
    </xf>
    <xf numFmtId="165" fontId="4" fillId="2" borderId="0" xfId="0" applyNumberFormat="1" applyFont="1" applyFill="1" applyAlignment="1">
      <alignment horizontal="left" vertical="top"/>
    </xf>
    <xf numFmtId="0" fontId="4" fillId="6" borderId="0" xfId="0" applyFont="1" applyFill="1" applyAlignment="1">
      <alignment horizontal="right" vertical="top"/>
    </xf>
    <xf numFmtId="0" fontId="40" fillId="19" borderId="37" xfId="0" applyFont="1" applyFill="1" applyBorder="1" applyAlignment="1" applyProtection="1">
      <alignment horizontal="right" vertical="center"/>
      <protection locked="0"/>
    </xf>
    <xf numFmtId="166" fontId="40" fillId="8" borderId="37" xfId="0" applyNumberFormat="1" applyFont="1" applyFill="1" applyBorder="1" applyAlignment="1" applyProtection="1">
      <alignment horizontal="right" vertical="center"/>
      <protection locked="0"/>
    </xf>
    <xf numFmtId="166" fontId="40" fillId="8" borderId="36" xfId="0" applyNumberFormat="1" applyFont="1" applyFill="1" applyBorder="1" applyAlignment="1" applyProtection="1">
      <alignment horizontal="right" vertical="center"/>
      <protection locked="0"/>
    </xf>
    <xf numFmtId="0" fontId="4" fillId="4" borderId="0" xfId="0" applyFont="1" applyFill="1" applyAlignment="1">
      <alignment horizontal="right"/>
    </xf>
    <xf numFmtId="166" fontId="40" fillId="8" borderId="35" xfId="0" applyNumberFormat="1" applyFont="1" applyFill="1" applyBorder="1" applyAlignment="1" applyProtection="1">
      <alignment horizontal="right" vertical="center"/>
      <protection locked="0"/>
    </xf>
    <xf numFmtId="166" fontId="40" fillId="8" borderId="38" xfId="0" applyNumberFormat="1" applyFont="1" applyFill="1" applyBorder="1" applyAlignment="1" applyProtection="1">
      <alignment horizontal="right" vertical="center"/>
      <protection locked="0"/>
    </xf>
    <xf numFmtId="0" fontId="4" fillId="4" borderId="0" xfId="0" applyFont="1" applyFill="1" applyAlignment="1">
      <alignment horizontal="right" vertical="center"/>
    </xf>
    <xf numFmtId="0" fontId="1" fillId="10" borderId="0" xfId="0" applyFont="1" applyFill="1"/>
    <xf numFmtId="0" fontId="42" fillId="21" borderId="32" xfId="0" applyFont="1" applyFill="1" applyBorder="1" applyAlignment="1">
      <alignment horizontal="center" vertical="center" wrapText="1"/>
    </xf>
    <xf numFmtId="0" fontId="41" fillId="11" borderId="32" xfId="0" applyFont="1" applyFill="1" applyBorder="1"/>
    <xf numFmtId="0" fontId="41" fillId="11" borderId="32" xfId="0" applyFont="1" applyFill="1" applyBorder="1" applyAlignment="1">
      <alignment wrapText="1"/>
    </xf>
    <xf numFmtId="0" fontId="53" fillId="11" borderId="32" xfId="0" quotePrefix="1" applyFont="1" applyFill="1" applyBorder="1"/>
    <xf numFmtId="0" fontId="53" fillId="11" borderId="32" xfId="0" applyFont="1" applyFill="1" applyBorder="1"/>
    <xf numFmtId="0" fontId="53" fillId="11" borderId="32" xfId="0" applyFont="1" applyFill="1" applyBorder="1" applyAlignment="1">
      <alignment horizontal="center"/>
    </xf>
    <xf numFmtId="9" fontId="53" fillId="17" borderId="32" xfId="0" applyNumberFormat="1" applyFont="1" applyFill="1" applyBorder="1" applyAlignment="1">
      <alignment horizontal="center"/>
    </xf>
    <xf numFmtId="0" fontId="53" fillId="17" borderId="32" xfId="0" applyFont="1" applyFill="1" applyBorder="1" applyAlignment="1">
      <alignment horizontal="center"/>
    </xf>
    <xf numFmtId="0" fontId="1" fillId="11" borderId="32" xfId="0" quotePrefix="1" applyFont="1" applyFill="1" applyBorder="1"/>
    <xf numFmtId="0" fontId="1" fillId="11" borderId="32" xfId="0" applyFont="1" applyFill="1" applyBorder="1" applyAlignment="1">
      <alignment horizontal="left"/>
    </xf>
    <xf numFmtId="0" fontId="41" fillId="11" borderId="32" xfId="0" applyFont="1" applyFill="1" applyBorder="1" applyAlignment="1">
      <alignment horizontal="left" vertical="center" wrapText="1"/>
    </xf>
    <xf numFmtId="9" fontId="53" fillId="21" borderId="32" xfId="0" applyNumberFormat="1" applyFont="1" applyFill="1" applyBorder="1" applyAlignment="1">
      <alignment horizontal="center"/>
    </xf>
    <xf numFmtId="0" fontId="53" fillId="21" borderId="32" xfId="0" applyFont="1" applyFill="1" applyBorder="1" applyAlignment="1">
      <alignment horizontal="center"/>
    </xf>
    <xf numFmtId="0" fontId="1" fillId="11" borderId="32" xfId="0" applyFont="1" applyFill="1" applyBorder="1" applyAlignment="1">
      <alignment horizontal="center"/>
    </xf>
    <xf numFmtId="9" fontId="1" fillId="20" borderId="32" xfId="0" applyNumberFormat="1" applyFont="1" applyFill="1" applyBorder="1" applyAlignment="1">
      <alignment horizontal="center"/>
    </xf>
    <xf numFmtId="0" fontId="1" fillId="20" borderId="32" xfId="0" applyFont="1" applyFill="1" applyBorder="1" applyAlignment="1">
      <alignment horizontal="center"/>
    </xf>
    <xf numFmtId="0" fontId="41" fillId="29" borderId="32" xfId="0" applyFont="1" applyFill="1" applyBorder="1" applyAlignment="1">
      <alignment horizontal="left" vertical="center" wrapText="1"/>
    </xf>
    <xf numFmtId="9" fontId="1" fillId="11" borderId="32" xfId="0" applyNumberFormat="1" applyFont="1" applyFill="1" applyBorder="1" applyAlignment="1">
      <alignment horizontal="center"/>
    </xf>
    <xf numFmtId="0" fontId="53" fillId="26" borderId="32" xfId="0" applyFont="1" applyFill="1" applyBorder="1"/>
    <xf numFmtId="0" fontId="53" fillId="26" borderId="32" xfId="0" quotePrefix="1" applyFont="1" applyFill="1" applyBorder="1"/>
    <xf numFmtId="0" fontId="53" fillId="27" borderId="32" xfId="0" applyFont="1" applyFill="1" applyBorder="1" applyAlignment="1">
      <alignment horizontal="center"/>
    </xf>
    <xf numFmtId="0" fontId="53" fillId="26" borderId="32" xfId="0" applyFont="1" applyFill="1" applyBorder="1" applyAlignment="1">
      <alignment horizontal="center"/>
    </xf>
    <xf numFmtId="0" fontId="1" fillId="27" borderId="32" xfId="0" applyFont="1" applyFill="1" applyBorder="1" applyAlignment="1">
      <alignment horizontal="center"/>
    </xf>
    <xf numFmtId="0" fontId="41" fillId="29" borderId="32" xfId="0" applyFont="1" applyFill="1" applyBorder="1"/>
    <xf numFmtId="0" fontId="41" fillId="11" borderId="32" xfId="0" quotePrefix="1" applyFont="1" applyFill="1" applyBorder="1"/>
    <xf numFmtId="0" fontId="42" fillId="26" borderId="32" xfId="0" applyFont="1" applyFill="1" applyBorder="1"/>
    <xf numFmtId="0" fontId="41" fillId="26" borderId="32" xfId="0" applyFont="1" applyFill="1" applyBorder="1" applyAlignment="1">
      <alignment horizontal="left" vertical="center" wrapText="1"/>
    </xf>
    <xf numFmtId="0" fontId="41" fillId="11" borderId="32" xfId="0" applyFont="1" applyFill="1" applyBorder="1" applyAlignment="1">
      <alignment horizontal="center"/>
    </xf>
    <xf numFmtId="0" fontId="51" fillId="22" borderId="32" xfId="0" applyFont="1" applyFill="1" applyBorder="1" applyAlignment="1">
      <alignment horizontal="center" vertical="center" wrapText="1"/>
    </xf>
    <xf numFmtId="0" fontId="41" fillId="29" borderId="32" xfId="0" applyFont="1" applyFill="1" applyBorder="1" applyAlignment="1">
      <alignment horizontal="center"/>
    </xf>
    <xf numFmtId="0" fontId="1" fillId="26" borderId="0" xfId="0" applyFont="1" applyFill="1"/>
    <xf numFmtId="0" fontId="41" fillId="11" borderId="32" xfId="0" applyFont="1" applyFill="1" applyBorder="1" applyAlignment="1">
      <alignment horizontal="left"/>
    </xf>
    <xf numFmtId="0" fontId="1" fillId="27" borderId="0" xfId="0" applyFont="1" applyFill="1"/>
    <xf numFmtId="0" fontId="51" fillId="22" borderId="32" xfId="0" applyFont="1" applyFill="1" applyBorder="1" applyAlignment="1">
      <alignment horizontal="left" vertical="center" wrapText="1"/>
    </xf>
    <xf numFmtId="0" fontId="56" fillId="21" borderId="32" xfId="0" applyFont="1" applyFill="1" applyBorder="1" applyAlignment="1">
      <alignment horizontal="center"/>
    </xf>
    <xf numFmtId="9" fontId="56" fillId="11" borderId="32" xfId="0" applyNumberFormat="1" applyFont="1" applyFill="1" applyBorder="1" applyAlignment="1">
      <alignment horizontal="center"/>
    </xf>
    <xf numFmtId="0" fontId="41" fillId="21" borderId="32" xfId="0" applyFont="1" applyFill="1" applyBorder="1" applyAlignment="1">
      <alignment horizontal="center"/>
    </xf>
    <xf numFmtId="4" fontId="46" fillId="13" borderId="32" xfId="0" applyNumberFormat="1" applyFont="1" applyFill="1" applyBorder="1" applyAlignment="1" applyProtection="1">
      <alignment horizontal="left" vertical="center"/>
      <protection locked="0"/>
    </xf>
    <xf numFmtId="0" fontId="57" fillId="21" borderId="32" xfId="0" applyFont="1" applyFill="1" applyBorder="1" applyAlignment="1">
      <alignment horizontal="center"/>
    </xf>
    <xf numFmtId="4" fontId="46" fillId="14" borderId="32" xfId="0" applyNumberFormat="1" applyFont="1" applyFill="1" applyBorder="1" applyAlignment="1" applyProtection="1">
      <alignment horizontal="left" vertical="center"/>
      <protection locked="0"/>
    </xf>
    <xf numFmtId="4" fontId="48" fillId="14" borderId="32" xfId="0" applyNumberFormat="1" applyFont="1" applyFill="1" applyBorder="1" applyAlignment="1" applyProtection="1">
      <alignment horizontal="left" vertical="center"/>
      <protection locked="0"/>
    </xf>
    <xf numFmtId="166" fontId="49" fillId="8" borderId="32" xfId="0" applyNumberFormat="1" applyFont="1" applyFill="1" applyBorder="1" applyAlignment="1" applyProtection="1">
      <alignment horizontal="left" vertical="top"/>
      <protection locked="0"/>
    </xf>
    <xf numFmtId="4" fontId="47" fillId="16" borderId="32" xfId="0" applyNumberFormat="1" applyFont="1" applyFill="1" applyBorder="1" applyAlignment="1" applyProtection="1">
      <alignment horizontal="left" vertical="center"/>
      <protection locked="0"/>
    </xf>
    <xf numFmtId="0" fontId="1" fillId="21" borderId="32" xfId="0" applyFont="1" applyFill="1" applyBorder="1" applyAlignment="1">
      <alignment horizontal="center"/>
    </xf>
    <xf numFmtId="4" fontId="47" fillId="15" borderId="32" xfId="0" applyNumberFormat="1" applyFont="1" applyFill="1" applyBorder="1" applyAlignment="1" applyProtection="1">
      <alignment horizontal="left" vertical="center"/>
      <protection locked="0"/>
    </xf>
    <xf numFmtId="4" fontId="50" fillId="19" borderId="32" xfId="0" applyNumberFormat="1" applyFont="1" applyFill="1" applyBorder="1" applyAlignment="1" applyProtection="1">
      <alignment horizontal="left" vertical="center"/>
      <protection locked="0"/>
    </xf>
    <xf numFmtId="0" fontId="41" fillId="11" borderId="32" xfId="0" applyFont="1" applyFill="1" applyBorder="1" applyAlignment="1">
      <alignment vertical="center"/>
    </xf>
    <xf numFmtId="4" fontId="48" fillId="29" borderId="32" xfId="0" applyNumberFormat="1" applyFont="1" applyFill="1" applyBorder="1" applyAlignment="1" applyProtection="1">
      <alignment horizontal="left" vertical="center"/>
      <protection locked="0"/>
    </xf>
    <xf numFmtId="4" fontId="3" fillId="26" borderId="32" xfId="0" applyNumberFormat="1" applyFont="1" applyFill="1" applyBorder="1" applyAlignment="1" applyProtection="1">
      <alignment horizontal="left" vertical="center"/>
      <protection locked="0"/>
    </xf>
    <xf numFmtId="9" fontId="53" fillId="24" borderId="32" xfId="0" applyNumberFormat="1" applyFont="1" applyFill="1" applyBorder="1" applyAlignment="1">
      <alignment horizontal="center"/>
    </xf>
    <xf numFmtId="4" fontId="3" fillId="35" borderId="32" xfId="0" applyNumberFormat="1" applyFont="1" applyFill="1" applyBorder="1" applyAlignment="1" applyProtection="1">
      <alignment horizontal="left" vertical="center"/>
      <protection locked="0"/>
    </xf>
    <xf numFmtId="9" fontId="57" fillId="21" borderId="32" xfId="0" applyNumberFormat="1" applyFont="1" applyFill="1" applyBorder="1" applyAlignment="1">
      <alignment horizontal="center"/>
    </xf>
    <xf numFmtId="0" fontId="57" fillId="22" borderId="32" xfId="0" applyFont="1" applyFill="1" applyBorder="1" applyAlignment="1">
      <alignment horizontal="center"/>
    </xf>
    <xf numFmtId="9" fontId="1" fillId="21" borderId="32" xfId="0" applyNumberFormat="1" applyFont="1" applyFill="1" applyBorder="1" applyAlignment="1">
      <alignment horizontal="center"/>
    </xf>
    <xf numFmtId="9" fontId="1" fillId="22" borderId="32" xfId="0" applyNumberFormat="1" applyFont="1" applyFill="1" applyBorder="1" applyAlignment="1">
      <alignment horizontal="center"/>
    </xf>
    <xf numFmtId="9" fontId="57" fillId="17" borderId="32" xfId="0" applyNumberFormat="1" applyFont="1" applyFill="1" applyBorder="1" applyAlignment="1">
      <alignment horizontal="center"/>
    </xf>
    <xf numFmtId="9" fontId="41" fillId="22" borderId="32" xfId="0" applyNumberFormat="1" applyFont="1" applyFill="1" applyBorder="1" applyAlignment="1">
      <alignment horizontal="center"/>
    </xf>
    <xf numFmtId="9" fontId="1" fillId="17" borderId="32" xfId="0" applyNumberFormat="1" applyFont="1" applyFill="1" applyBorder="1" applyAlignment="1">
      <alignment horizontal="center"/>
    </xf>
    <xf numFmtId="0" fontId="1" fillId="17" borderId="32" xfId="0" applyFont="1" applyFill="1" applyBorder="1" applyAlignment="1">
      <alignment horizontal="center"/>
    </xf>
    <xf numFmtId="0" fontId="1" fillId="29" borderId="32" xfId="0" applyFont="1" applyFill="1" applyBorder="1" applyAlignment="1">
      <alignment horizontal="center"/>
    </xf>
    <xf numFmtId="169" fontId="40" fillId="8" borderId="25" xfId="0" applyNumberFormat="1" applyFont="1" applyFill="1" applyBorder="1" applyAlignment="1" applyProtection="1">
      <alignment horizontal="right" vertical="center"/>
      <protection locked="0"/>
    </xf>
    <xf numFmtId="0" fontId="39" fillId="34" borderId="25" xfId="0" applyFont="1" applyFill="1" applyBorder="1" applyAlignment="1" applyProtection="1">
      <alignment horizontal="right" vertical="center"/>
      <protection locked="0"/>
    </xf>
    <xf numFmtId="0" fontId="0" fillId="5" borderId="0" xfId="0" applyFill="1" applyAlignment="1">
      <alignment horizontal="left" wrapText="1"/>
    </xf>
    <xf numFmtId="0" fontId="0" fillId="5" borderId="0" xfId="0" applyFill="1" applyAlignment="1">
      <alignment vertical="top" wrapText="1"/>
    </xf>
    <xf numFmtId="0" fontId="0" fillId="12" borderId="10" xfId="0" applyFill="1" applyBorder="1" applyAlignment="1" applyProtection="1">
      <alignment horizontal="left" vertical="center"/>
      <protection locked="0"/>
    </xf>
    <xf numFmtId="0" fontId="0" fillId="12" borderId="9" xfId="0" applyFill="1" applyBorder="1" applyAlignment="1" applyProtection="1">
      <alignment horizontal="left" vertical="center"/>
      <protection locked="0"/>
    </xf>
    <xf numFmtId="0" fontId="3" fillId="5" borderId="0" xfId="0" applyFont="1" applyFill="1" applyAlignment="1">
      <alignment horizontal="left" wrapText="1"/>
    </xf>
    <xf numFmtId="0" fontId="22" fillId="5" borderId="0" xfId="0" applyFont="1" applyFill="1" applyAlignment="1">
      <alignment horizontal="right" vertical="center" wrapText="1"/>
    </xf>
    <xf numFmtId="0" fontId="5" fillId="5" borderId="0" xfId="0" applyFont="1" applyFill="1" applyAlignment="1">
      <alignment horizontal="left" wrapText="1"/>
    </xf>
    <xf numFmtId="0" fontId="0" fillId="5" borderId="0" xfId="0" applyFill="1" applyAlignment="1">
      <alignment horizontal="left"/>
    </xf>
    <xf numFmtId="168" fontId="58" fillId="5" borderId="0" xfId="0" applyNumberFormat="1" applyFont="1" applyFill="1" applyAlignment="1">
      <alignment horizontal="center"/>
    </xf>
    <xf numFmtId="0" fontId="0" fillId="5" borderId="0" xfId="0" applyFill="1"/>
    <xf numFmtId="0" fontId="11" fillId="5" borderId="0" xfId="0" applyFont="1" applyFill="1" applyAlignment="1">
      <alignment horizontal="center" vertical="center"/>
    </xf>
    <xf numFmtId="0" fontId="3" fillId="5" borderId="0" xfId="0" applyFont="1" applyFill="1"/>
    <xf numFmtId="0" fontId="38" fillId="0" borderId="6" xfId="0" applyFont="1" applyBorder="1" applyAlignment="1" applyProtection="1">
      <alignment horizontal="center" vertical="top"/>
      <protection locked="0"/>
    </xf>
    <xf numFmtId="0" fontId="38" fillId="0" borderId="7" xfId="0" applyFont="1" applyBorder="1" applyAlignment="1" applyProtection="1">
      <alignment horizontal="center" vertical="top"/>
      <protection locked="0"/>
    </xf>
    <xf numFmtId="0" fontId="4" fillId="5" borderId="0" xfId="0" applyFont="1" applyFill="1" applyAlignment="1">
      <alignment horizontal="left" vertical="top" wrapText="1"/>
    </xf>
    <xf numFmtId="0" fontId="5" fillId="3" borderId="8" xfId="0" applyFont="1" applyFill="1" applyBorder="1" applyAlignment="1">
      <alignment horizontal="center" vertical="top" wrapText="1"/>
    </xf>
    <xf numFmtId="0" fontId="5" fillId="3" borderId="19" xfId="0" applyFont="1" applyFill="1" applyBorder="1" applyAlignment="1">
      <alignment horizontal="center" vertical="top" wrapText="1"/>
    </xf>
    <xf numFmtId="0" fontId="19" fillId="25" borderId="0" xfId="0" applyFont="1" applyFill="1" applyAlignment="1">
      <alignment horizontal="center" vertical="center" wrapText="1"/>
    </xf>
    <xf numFmtId="0" fontId="22" fillId="3" borderId="0" xfId="0" applyFont="1" applyFill="1" applyAlignment="1">
      <alignment horizontal="center" vertical="center" wrapText="1"/>
    </xf>
    <xf numFmtId="0" fontId="11" fillId="3" borderId="0" xfId="0" applyFont="1" applyFill="1" applyAlignment="1">
      <alignment horizontal="center" vertical="center"/>
    </xf>
    <xf numFmtId="0" fontId="3" fillId="25" borderId="0" xfId="0" applyFont="1" applyFill="1" applyAlignment="1">
      <alignment horizontal="left" vertical="center" wrapText="1"/>
    </xf>
    <xf numFmtId="0" fontId="0" fillId="0" borderId="0" xfId="0" applyAlignment="1">
      <alignment vertical="center" wrapText="1"/>
    </xf>
    <xf numFmtId="4" fontId="47" fillId="16" borderId="5" xfId="0" applyNumberFormat="1" applyFont="1" applyFill="1" applyBorder="1" applyAlignment="1" applyProtection="1">
      <alignment horizontal="left" vertical="center"/>
      <protection locked="0"/>
    </xf>
    <xf numFmtId="0" fontId="0" fillId="0" borderId="33" xfId="0" applyBorder="1" applyAlignment="1">
      <alignment horizontal="left" vertical="center"/>
    </xf>
    <xf numFmtId="0" fontId="0" fillId="0" borderId="20" xfId="0" applyBorder="1" applyAlignment="1">
      <alignment horizontal="left" vertical="center"/>
    </xf>
    <xf numFmtId="0" fontId="3" fillId="25" borderId="0" xfId="0" applyFont="1" applyFill="1" applyAlignment="1">
      <alignment vertical="center" wrapText="1"/>
    </xf>
    <xf numFmtId="0" fontId="5" fillId="25" borderId="0" xfId="0" applyFont="1" applyFill="1" applyAlignment="1">
      <alignment vertical="center" wrapText="1"/>
    </xf>
    <xf numFmtId="0" fontId="61" fillId="25" borderId="0" xfId="0" applyFont="1" applyFill="1" applyAlignment="1">
      <alignment horizontal="left" vertical="center" wrapText="1"/>
    </xf>
    <xf numFmtId="0" fontId="61" fillId="25" borderId="0" xfId="0" applyFont="1" applyFill="1" applyAlignment="1">
      <alignment horizontal="left" vertical="center"/>
    </xf>
    <xf numFmtId="0" fontId="11" fillId="25" borderId="0" xfId="0" applyFont="1" applyFill="1" applyAlignment="1">
      <alignment horizontal="center" wrapText="1"/>
    </xf>
    <xf numFmtId="0" fontId="11" fillId="25" borderId="0" xfId="0" applyFont="1" applyFill="1" applyAlignment="1">
      <alignment horizontal="center"/>
    </xf>
    <xf numFmtId="0" fontId="5" fillId="25" borderId="0" xfId="0" applyFont="1" applyFill="1" applyAlignment="1">
      <alignment horizontal="left" wrapText="1"/>
    </xf>
    <xf numFmtId="0" fontId="3" fillId="25" borderId="0" xfId="0" applyFont="1" applyFill="1" applyAlignment="1">
      <alignment horizontal="center" wrapText="1"/>
    </xf>
    <xf numFmtId="0" fontId="3" fillId="25" borderId="0" xfId="0" quotePrefix="1" applyFont="1" applyFill="1" applyAlignment="1">
      <alignment horizontal="left" vertical="center" wrapText="1"/>
    </xf>
    <xf numFmtId="0" fontId="7" fillId="25" borderId="0" xfId="1" applyFill="1" applyAlignment="1" applyProtection="1">
      <alignment horizontal="left" vertical="center" wrapText="1"/>
    </xf>
    <xf numFmtId="0" fontId="61" fillId="25" borderId="0" xfId="0" quotePrefix="1" applyFont="1" applyFill="1" applyAlignment="1">
      <alignment horizontal="left" vertical="center" wrapText="1"/>
    </xf>
    <xf numFmtId="0" fontId="0" fillId="25" borderId="0" xfId="0" applyFill="1" applyAlignment="1">
      <alignment horizontal="left" vertical="center" wrapText="1"/>
    </xf>
    <xf numFmtId="0" fontId="0" fillId="25" borderId="0" xfId="0" quotePrefix="1" applyFill="1" applyAlignment="1">
      <alignment horizontal="left" vertical="center" wrapText="1"/>
    </xf>
    <xf numFmtId="0" fontId="3" fillId="25" borderId="0" xfId="0" quotePrefix="1" applyFont="1" applyFill="1" applyAlignment="1">
      <alignment horizontal="left" vertical="top" wrapText="1"/>
    </xf>
    <xf numFmtId="0" fontId="3" fillId="25" borderId="0" xfId="0" applyFont="1" applyFill="1" applyAlignment="1">
      <alignment horizontal="left" vertical="top" wrapText="1"/>
    </xf>
    <xf numFmtId="0" fontId="3" fillId="25" borderId="39" xfId="0" applyFont="1" applyFill="1" applyBorder="1" applyAlignment="1">
      <alignment horizontal="left" vertical="top" wrapText="1"/>
    </xf>
    <xf numFmtId="0" fontId="5" fillId="25" borderId="18" xfId="0" applyFont="1" applyFill="1" applyBorder="1" applyAlignment="1">
      <alignment vertical="center" wrapText="1"/>
    </xf>
    <xf numFmtId="0" fontId="5" fillId="25" borderId="16" xfId="0" applyFont="1" applyFill="1" applyBorder="1" applyAlignment="1">
      <alignment vertical="center" wrapText="1"/>
    </xf>
    <xf numFmtId="0" fontId="5" fillId="25" borderId="36" xfId="0" applyFont="1" applyFill="1" applyBorder="1" applyAlignment="1">
      <alignment vertical="center" wrapText="1"/>
    </xf>
    <xf numFmtId="0" fontId="5" fillId="25" borderId="0" xfId="0" applyFont="1" applyFill="1" applyAlignment="1">
      <alignment horizontal="left" vertical="center"/>
    </xf>
    <xf numFmtId="0" fontId="5" fillId="25" borderId="0" xfId="0" applyFont="1" applyFill="1" applyAlignment="1">
      <alignment horizontal="left" vertical="center" wrapText="1"/>
    </xf>
    <xf numFmtId="0" fontId="3" fillId="25" borderId="1" xfId="0" applyFont="1" applyFill="1" applyBorder="1" applyAlignment="1">
      <alignment horizontal="left" vertical="center" wrapText="1"/>
    </xf>
    <xf numFmtId="0" fontId="3" fillId="25" borderId="38" xfId="0" applyFont="1" applyFill="1" applyBorder="1" applyAlignment="1">
      <alignment horizontal="left" vertical="center" wrapText="1"/>
    </xf>
    <xf numFmtId="0" fontId="3" fillId="25" borderId="3" xfId="0" applyFont="1" applyFill="1" applyBorder="1" applyAlignment="1">
      <alignment horizontal="left"/>
    </xf>
    <xf numFmtId="0" fontId="3" fillId="25" borderId="0" xfId="0" applyFont="1" applyFill="1" applyAlignment="1">
      <alignment horizontal="left"/>
    </xf>
    <xf numFmtId="0" fontId="3" fillId="25" borderId="3" xfId="0" applyFont="1" applyFill="1" applyBorder="1" applyAlignment="1">
      <alignment horizontal="left" vertical="center" wrapText="1"/>
    </xf>
    <xf numFmtId="0" fontId="3" fillId="25" borderId="3" xfId="0" applyFont="1" applyFill="1" applyBorder="1" applyAlignment="1">
      <alignment vertical="center" wrapText="1"/>
    </xf>
    <xf numFmtId="0" fontId="3" fillId="25" borderId="37" xfId="0" applyFont="1" applyFill="1" applyBorder="1" applyAlignment="1">
      <alignment vertical="center" wrapText="1"/>
    </xf>
    <xf numFmtId="0" fontId="3" fillId="25" borderId="3" xfId="0" applyFont="1" applyFill="1" applyBorder="1" applyAlignment="1">
      <alignment horizontal="left" wrapText="1"/>
    </xf>
    <xf numFmtId="0" fontId="3" fillId="25" borderId="0" xfId="0" applyFont="1" applyFill="1" applyAlignment="1">
      <alignment horizontal="left" wrapText="1"/>
    </xf>
    <xf numFmtId="0" fontId="0" fillId="25" borderId="0" xfId="0" applyFill="1" applyAlignment="1">
      <alignment horizontal="left"/>
    </xf>
    <xf numFmtId="0" fontId="5" fillId="0" borderId="0" xfId="0" applyFont="1" applyAlignment="1">
      <alignment vertical="center" wrapText="1"/>
    </xf>
    <xf numFmtId="0" fontId="3" fillId="0" borderId="0" xfId="0" applyFont="1" applyAlignment="1">
      <alignment vertical="center" wrapText="1"/>
    </xf>
    <xf numFmtId="0" fontId="3" fillId="0" borderId="0" xfId="0" applyFont="1" applyAlignment="1">
      <alignment horizontal="left" vertical="center" wrapText="1"/>
    </xf>
    <xf numFmtId="0" fontId="3" fillId="0" borderId="0" xfId="0" applyFont="1" applyAlignment="1">
      <alignment horizontal="left" vertical="top" wrapText="1"/>
    </xf>
    <xf numFmtId="0" fontId="3" fillId="0" borderId="0" xfId="0" quotePrefix="1" applyFont="1" applyAlignment="1">
      <alignment horizontal="left" vertical="center" wrapText="1"/>
    </xf>
    <xf numFmtId="0" fontId="0" fillId="0" borderId="0" xfId="0" applyAlignment="1">
      <alignment horizontal="left" vertical="center" wrapText="1"/>
    </xf>
    <xf numFmtId="0" fontId="0" fillId="0" borderId="0" xfId="0" quotePrefix="1" applyAlignment="1">
      <alignment horizontal="left" vertical="center" wrapText="1"/>
    </xf>
    <xf numFmtId="0" fontId="5" fillId="0" borderId="0" xfId="0" quotePrefix="1" applyFont="1" applyAlignment="1">
      <alignment horizontal="left" vertical="top" wrapText="1"/>
    </xf>
    <xf numFmtId="0" fontId="5" fillId="0" borderId="0" xfId="0" applyFont="1" applyAlignment="1">
      <alignment horizontal="left" vertical="top" wrapText="1"/>
    </xf>
    <xf numFmtId="0" fontId="5" fillId="25" borderId="0" xfId="0" quotePrefix="1" applyFont="1" applyFill="1" applyAlignment="1">
      <alignment horizontal="left" vertical="center" wrapText="1"/>
    </xf>
    <xf numFmtId="0" fontId="3" fillId="25" borderId="3" xfId="0" applyFont="1" applyFill="1" applyBorder="1" applyAlignment="1">
      <alignment horizontal="left" vertical="center"/>
    </xf>
    <xf numFmtId="0" fontId="3" fillId="25" borderId="0" xfId="0" applyFont="1" applyFill="1" applyAlignment="1">
      <alignment horizontal="left" vertical="center"/>
    </xf>
    <xf numFmtId="0" fontId="0" fillId="25" borderId="0" xfId="0" applyFill="1" applyAlignment="1">
      <alignment horizontal="center" wrapText="1"/>
    </xf>
    <xf numFmtId="0" fontId="5" fillId="25" borderId="0" xfId="0" quotePrefix="1" applyFont="1" applyFill="1" applyAlignment="1">
      <alignment horizontal="left" vertical="center"/>
    </xf>
    <xf numFmtId="0" fontId="0" fillId="25" borderId="0" xfId="0" applyFill="1" applyAlignment="1">
      <alignment horizontal="center"/>
    </xf>
    <xf numFmtId="0" fontId="0" fillId="25" borderId="0" xfId="0" applyFill="1" applyAlignment="1">
      <alignment vertical="center" wrapText="1"/>
    </xf>
    <xf numFmtId="0" fontId="0" fillId="25" borderId="0" xfId="0" applyFill="1" applyAlignment="1">
      <alignment horizontal="left" vertical="center"/>
    </xf>
    <xf numFmtId="0" fontId="25" fillId="25" borderId="0" xfId="0" applyFont="1" applyFill="1" applyAlignment="1">
      <alignment vertical="center" wrapText="1"/>
    </xf>
    <xf numFmtId="0" fontId="3" fillId="0" borderId="8" xfId="0" applyFont="1" applyBorder="1" applyAlignment="1">
      <alignment horizontal="left" vertical="center" wrapText="1" indent="1"/>
    </xf>
    <xf numFmtId="0" fontId="3" fillId="0" borderId="9" xfId="0" applyFont="1" applyBorder="1" applyAlignment="1">
      <alignment horizontal="left" vertical="center" wrapText="1" indent="1"/>
    </xf>
    <xf numFmtId="0" fontId="3" fillId="0" borderId="19" xfId="0" applyFont="1" applyBorder="1" applyAlignment="1">
      <alignment horizontal="left" vertical="center" wrapText="1" indent="1"/>
    </xf>
    <xf numFmtId="0" fontId="49" fillId="0" borderId="32" xfId="0" applyFont="1" applyBorder="1" applyAlignment="1">
      <alignment horizontal="left" vertical="center"/>
    </xf>
    <xf numFmtId="0" fontId="3" fillId="0" borderId="32" xfId="0" applyFont="1" applyBorder="1" applyAlignment="1">
      <alignment horizontal="left" vertical="center" wrapText="1"/>
    </xf>
    <xf numFmtId="0" fontId="0" fillId="0" borderId="32" xfId="0" applyBorder="1" applyAlignment="1">
      <alignment horizontal="left" vertical="center" wrapText="1"/>
    </xf>
    <xf numFmtId="0" fontId="5" fillId="31" borderId="32" xfId="0" applyFont="1" applyFill="1" applyBorder="1" applyAlignment="1">
      <alignment horizontal="center" vertical="center" wrapText="1"/>
    </xf>
    <xf numFmtId="0" fontId="3" fillId="0" borderId="32" xfId="0" applyFont="1" applyBorder="1" applyAlignment="1">
      <alignment horizontal="left" vertical="center" wrapText="1" indent="1"/>
    </xf>
    <xf numFmtId="0" fontId="0" fillId="25" borderId="0" xfId="0" applyFill="1" applyAlignment="1">
      <alignment horizontal="left" vertical="top" wrapText="1"/>
    </xf>
    <xf numFmtId="0" fontId="5" fillId="37" borderId="32" xfId="0" applyFont="1" applyFill="1" applyBorder="1" applyAlignment="1">
      <alignment horizontal="center" vertical="center" wrapText="1"/>
    </xf>
    <xf numFmtId="0" fontId="5" fillId="37" borderId="32" xfId="0" applyFont="1" applyFill="1" applyBorder="1" applyAlignment="1">
      <alignment horizontal="center" vertical="center"/>
    </xf>
    <xf numFmtId="0" fontId="0" fillId="25" borderId="0" xfId="0" applyFill="1" applyAlignment="1">
      <alignment horizontal="left" vertical="top"/>
    </xf>
    <xf numFmtId="0" fontId="0" fillId="0" borderId="32" xfId="0" quotePrefix="1" applyBorder="1" applyAlignment="1">
      <alignment horizontal="left" vertical="center" wrapText="1"/>
    </xf>
    <xf numFmtId="0" fontId="76" fillId="25" borderId="0" xfId="0" applyFont="1" applyFill="1" applyAlignment="1">
      <alignment horizontal="left" vertical="center"/>
    </xf>
    <xf numFmtId="0" fontId="50" fillId="25" borderId="0" xfId="0" applyFont="1" applyFill="1" applyAlignment="1">
      <alignment horizontal="left" vertical="center"/>
    </xf>
    <xf numFmtId="0" fontId="5" fillId="17" borderId="32" xfId="0" applyFont="1" applyFill="1" applyBorder="1" applyAlignment="1">
      <alignment horizontal="center" vertical="center" wrapText="1"/>
    </xf>
    <xf numFmtId="0" fontId="66" fillId="8" borderId="30" xfId="0" applyFont="1" applyFill="1" applyBorder="1" applyAlignment="1">
      <alignment horizontal="left" vertical="center"/>
    </xf>
    <xf numFmtId="0" fontId="66" fillId="8" borderId="31" xfId="0" applyFont="1" applyFill="1" applyBorder="1" applyAlignment="1">
      <alignment horizontal="left" vertical="center"/>
    </xf>
    <xf numFmtId="0" fontId="10" fillId="8" borderId="0" xfId="0" applyFont="1" applyFill="1" applyAlignment="1">
      <alignment horizontal="center" vertical="center"/>
    </xf>
    <xf numFmtId="0" fontId="10" fillId="26" borderId="6" xfId="0" applyFont="1" applyFill="1" applyBorder="1" applyAlignment="1">
      <alignment horizontal="center" vertical="center" wrapText="1"/>
    </xf>
    <xf numFmtId="0" fontId="10" fillId="26" borderId="7" xfId="0" applyFont="1" applyFill="1" applyBorder="1" applyAlignment="1">
      <alignment horizontal="center" vertical="center" wrapText="1"/>
    </xf>
    <xf numFmtId="0" fontId="72" fillId="26" borderId="4" xfId="0" applyFont="1" applyFill="1" applyBorder="1" applyAlignment="1">
      <alignment horizontal="center" vertical="center" wrapText="1"/>
    </xf>
    <xf numFmtId="0" fontId="72" fillId="26" borderId="38" xfId="0" applyFont="1" applyFill="1" applyBorder="1" applyAlignment="1">
      <alignment horizontal="center" vertical="center" wrapText="1"/>
    </xf>
    <xf numFmtId="0" fontId="66" fillId="8" borderId="26" xfId="0" applyFont="1" applyFill="1" applyBorder="1" applyAlignment="1">
      <alignment horizontal="left" vertical="center"/>
    </xf>
    <xf numFmtId="0" fontId="66" fillId="8" borderId="27" xfId="0" applyFont="1" applyFill="1" applyBorder="1" applyAlignment="1">
      <alignment horizontal="left" vertical="center"/>
    </xf>
    <xf numFmtId="0" fontId="15" fillId="2" borderId="0" xfId="0" quotePrefix="1" applyFont="1" applyFill="1" applyAlignment="1">
      <alignment horizontal="left" vertical="center" wrapText="1"/>
    </xf>
    <xf numFmtId="0" fontId="15" fillId="2" borderId="37" xfId="0" applyFont="1" applyFill="1" applyBorder="1" applyAlignment="1">
      <alignment horizontal="left" vertical="center"/>
    </xf>
    <xf numFmtId="0" fontId="29" fillId="2" borderId="0" xfId="0" applyFont="1" applyFill="1" applyAlignment="1">
      <alignment horizontal="left" vertical="center" wrapText="1"/>
    </xf>
    <xf numFmtId="0" fontId="29" fillId="2" borderId="37" xfId="0" applyFont="1" applyFill="1" applyBorder="1" applyAlignment="1">
      <alignment horizontal="left" vertical="center"/>
    </xf>
    <xf numFmtId="49" fontId="6" fillId="2" borderId="0" xfId="0" quotePrefix="1" applyNumberFormat="1" applyFont="1" applyFill="1" applyAlignment="1">
      <alignment vertical="center" wrapText="1"/>
    </xf>
    <xf numFmtId="49" fontId="6" fillId="2" borderId="37" xfId="0" applyNumberFormat="1" applyFont="1" applyFill="1" applyBorder="1" applyAlignment="1">
      <alignment vertical="center"/>
    </xf>
    <xf numFmtId="0" fontId="21" fillId="2" borderId="1" xfId="0" applyFont="1" applyFill="1" applyBorder="1" applyAlignment="1">
      <alignment horizontal="left" vertical="center" wrapText="1"/>
    </xf>
    <xf numFmtId="0" fontId="6" fillId="2" borderId="38" xfId="0" applyFont="1" applyFill="1" applyBorder="1" applyAlignment="1">
      <alignment horizontal="left" vertical="center" wrapText="1"/>
    </xf>
    <xf numFmtId="0" fontId="3" fillId="2" borderId="0" xfId="0" quotePrefix="1" applyFont="1" applyFill="1" applyAlignment="1">
      <alignment horizontal="left"/>
    </xf>
    <xf numFmtId="0" fontId="0" fillId="2" borderId="37" xfId="0" applyFill="1" applyBorder="1"/>
    <xf numFmtId="0" fontId="3" fillId="2" borderId="1" xfId="0" quotePrefix="1" applyFont="1" applyFill="1" applyBorder="1" applyAlignment="1">
      <alignment horizontal="left"/>
    </xf>
    <xf numFmtId="0" fontId="0" fillId="2" borderId="38" xfId="0" applyFill="1" applyBorder="1"/>
    <xf numFmtId="0" fontId="10" fillId="2" borderId="3" xfId="0" applyFont="1" applyFill="1" applyBorder="1" applyAlignment="1">
      <alignment wrapText="1"/>
    </xf>
    <xf numFmtId="0" fontId="3" fillId="2" borderId="0" xfId="0" applyFont="1" applyFill="1"/>
    <xf numFmtId="0" fontId="3" fillId="2" borderId="37" xfId="0" applyFont="1" applyFill="1" applyBorder="1"/>
    <xf numFmtId="0" fontId="4" fillId="2" borderId="25" xfId="0" applyFont="1" applyFill="1" applyBorder="1" applyAlignment="1">
      <alignment horizontal="left" vertical="top" wrapText="1"/>
    </xf>
    <xf numFmtId="0" fontId="3" fillId="0" borderId="22" xfId="0" applyFont="1" applyBorder="1" applyAlignment="1">
      <alignment horizontal="left" vertical="top" wrapText="1"/>
    </xf>
    <xf numFmtId="0" fontId="4" fillId="2" borderId="22" xfId="0" applyFont="1" applyFill="1" applyBorder="1" applyAlignment="1">
      <alignment horizontal="left" vertical="top" wrapText="1"/>
    </xf>
    <xf numFmtId="0" fontId="5" fillId="2" borderId="25" xfId="0" applyFont="1" applyFill="1" applyBorder="1" applyAlignment="1">
      <alignment horizontal="left" vertical="top" wrapText="1"/>
    </xf>
    <xf numFmtId="0" fontId="5" fillId="2" borderId="22"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23" xfId="0" applyFont="1" applyBorder="1" applyAlignment="1">
      <alignment horizontal="left" vertical="top" wrapText="1"/>
    </xf>
    <xf numFmtId="0" fontId="3" fillId="2" borderId="0" xfId="0" applyFont="1" applyFill="1" applyAlignment="1">
      <alignment wrapText="1"/>
    </xf>
    <xf numFmtId="0" fontId="3" fillId="2" borderId="37" xfId="0" applyFont="1" applyFill="1" applyBorder="1" applyAlignment="1">
      <alignment wrapText="1"/>
    </xf>
    <xf numFmtId="0" fontId="35" fillId="2" borderId="25" xfId="0" applyFont="1" applyFill="1" applyBorder="1" applyAlignment="1">
      <alignment horizontal="left" vertical="top" wrapText="1"/>
    </xf>
    <xf numFmtId="0" fontId="35" fillId="0" borderId="22" xfId="0" applyFont="1" applyBorder="1" applyAlignment="1">
      <alignment horizontal="left" vertical="top" wrapText="1"/>
    </xf>
    <xf numFmtId="0" fontId="35" fillId="2" borderId="22" xfId="0" applyFont="1" applyFill="1" applyBorder="1" applyAlignment="1">
      <alignment horizontal="left" vertical="top" wrapText="1"/>
    </xf>
    <xf numFmtId="0" fontId="5" fillId="0" borderId="22" xfId="0" applyFont="1" applyBorder="1" applyAlignment="1">
      <alignment horizontal="left" vertical="top" wrapText="1"/>
    </xf>
    <xf numFmtId="0" fontId="24" fillId="2" borderId="0" xfId="0" applyFont="1" applyFill="1" applyAlignment="1">
      <alignment horizontal="left" vertical="top" wrapText="1"/>
    </xf>
    <xf numFmtId="0" fontId="0" fillId="0" borderId="37" xfId="0" applyBorder="1" applyAlignment="1">
      <alignment horizontal="left" vertical="top" wrapText="1"/>
    </xf>
    <xf numFmtId="0" fontId="0" fillId="0" borderId="22" xfId="0" applyBorder="1" applyAlignment="1">
      <alignment horizontal="left" vertical="top" wrapText="1"/>
    </xf>
    <xf numFmtId="0" fontId="5" fillId="0" borderId="0" xfId="0" applyFont="1" applyAlignment="1">
      <alignment horizontal="center" vertical="center" wrapText="1"/>
    </xf>
    <xf numFmtId="0" fontId="10" fillId="0" borderId="6" xfId="0" applyFont="1" applyBorder="1" applyAlignment="1">
      <alignment horizontal="left" vertical="center" indent="1"/>
    </xf>
    <xf numFmtId="0" fontId="10" fillId="0" borderId="15" xfId="0" applyFont="1" applyBorder="1" applyAlignment="1">
      <alignment horizontal="left" vertical="center" indent="1"/>
    </xf>
    <xf numFmtId="0" fontId="10" fillId="0" borderId="7" xfId="0" applyFont="1" applyBorder="1" applyAlignment="1">
      <alignment horizontal="left" vertical="center" indent="1"/>
    </xf>
    <xf numFmtId="164" fontId="8" fillId="2" borderId="18" xfId="0" applyNumberFormat="1" applyFont="1" applyFill="1" applyBorder="1" applyAlignment="1">
      <alignment horizontal="left" vertical="center"/>
    </xf>
    <xf numFmtId="0" fontId="0" fillId="2" borderId="16" xfId="0" applyFill="1" applyBorder="1" applyAlignment="1">
      <alignment horizontal="left" vertical="center"/>
    </xf>
    <xf numFmtId="0" fontId="5" fillId="2" borderId="34" xfId="0" applyFont="1" applyFill="1" applyBorder="1" applyAlignment="1">
      <alignment horizontal="left" vertical="center" wrapText="1"/>
    </xf>
    <xf numFmtId="0" fontId="6" fillId="2" borderId="21" xfId="0" applyFont="1" applyFill="1" applyBorder="1" applyAlignment="1">
      <alignment vertical="center" wrapText="1"/>
    </xf>
    <xf numFmtId="0" fontId="5" fillId="2" borderId="25" xfId="0" applyFont="1" applyFill="1" applyBorder="1" applyAlignment="1">
      <alignment horizontal="left" vertical="center" wrapText="1"/>
    </xf>
    <xf numFmtId="0" fontId="5" fillId="2" borderId="22" xfId="0" applyFont="1" applyFill="1" applyBorder="1" applyAlignment="1">
      <alignment horizontal="left" vertical="center" wrapText="1"/>
    </xf>
    <xf numFmtId="0" fontId="0" fillId="0" borderId="0" xfId="0" applyAlignment="1">
      <alignment horizontal="center"/>
    </xf>
    <xf numFmtId="0" fontId="9" fillId="2" borderId="4" xfId="0" applyFont="1" applyFill="1" applyBorder="1" applyAlignment="1">
      <alignment horizontal="left" vertical="center" wrapText="1" indent="1"/>
    </xf>
    <xf numFmtId="0" fontId="9" fillId="2" borderId="1" xfId="0" applyFont="1" applyFill="1" applyBorder="1" applyAlignment="1">
      <alignment horizontal="left" vertical="center" wrapText="1" indent="1"/>
    </xf>
    <xf numFmtId="0" fontId="9" fillId="2" borderId="4" xfId="0" applyFont="1" applyFill="1" applyBorder="1" applyAlignment="1">
      <alignment horizontal="left" vertical="center" indent="1"/>
    </xf>
    <xf numFmtId="0" fontId="9" fillId="2" borderId="1" xfId="0" applyFont="1" applyFill="1" applyBorder="1" applyAlignment="1">
      <alignment horizontal="left" vertical="center" indent="1"/>
    </xf>
    <xf numFmtId="0" fontId="16" fillId="2" borderId="15" xfId="0" applyFont="1" applyFill="1" applyBorder="1" applyAlignment="1">
      <alignment horizontal="left" vertical="center" indent="1"/>
    </xf>
    <xf numFmtId="0" fontId="6" fillId="2" borderId="7" xfId="0" applyFont="1" applyFill="1" applyBorder="1" applyAlignment="1">
      <alignment horizontal="left" vertical="center" indent="1"/>
    </xf>
    <xf numFmtId="0" fontId="8" fillId="2" borderId="18" xfId="0" applyFont="1" applyFill="1" applyBorder="1" applyAlignment="1">
      <alignment horizontal="left" vertical="center" indent="1"/>
    </xf>
    <xf numFmtId="0" fontId="0" fillId="2" borderId="16" xfId="0" applyFill="1" applyBorder="1" applyAlignment="1">
      <alignment horizontal="left" vertical="center" indent="1"/>
    </xf>
    <xf numFmtId="0" fontId="0" fillId="0" borderId="37" xfId="0" applyBorder="1"/>
    <xf numFmtId="0" fontId="54" fillId="11" borderId="8" xfId="0" applyFont="1" applyFill="1" applyBorder="1" applyAlignment="1">
      <alignment horizontal="left" vertical="top" wrapText="1"/>
    </xf>
    <xf numFmtId="0" fontId="54" fillId="11" borderId="9" xfId="0" applyFont="1" applyFill="1" applyBorder="1" applyAlignment="1">
      <alignment horizontal="left" vertical="top" wrapText="1"/>
    </xf>
    <xf numFmtId="0" fontId="54" fillId="11" borderId="19" xfId="0" applyFont="1" applyFill="1" applyBorder="1" applyAlignment="1">
      <alignment horizontal="left" vertical="top" wrapText="1"/>
    </xf>
    <xf numFmtId="0" fontId="54" fillId="11" borderId="32" xfId="0" applyFont="1" applyFill="1" applyBorder="1" applyAlignment="1">
      <alignment horizontal="left" vertical="center" wrapText="1"/>
    </xf>
    <xf numFmtId="0" fontId="51" fillId="22" borderId="10" xfId="0" applyFont="1" applyFill="1" applyBorder="1" applyAlignment="1">
      <alignment horizontal="center"/>
    </xf>
    <xf numFmtId="0" fontId="51" fillId="20" borderId="10" xfId="0" applyFont="1" applyFill="1" applyBorder="1" applyAlignment="1">
      <alignment horizontal="center"/>
    </xf>
    <xf numFmtId="0" fontId="51" fillId="22" borderId="0" xfId="0" applyFont="1" applyFill="1" applyAlignment="1">
      <alignment horizontal="center"/>
    </xf>
    <xf numFmtId="0" fontId="51" fillId="22" borderId="8" xfId="0" applyFont="1" applyFill="1" applyBorder="1" applyAlignment="1">
      <alignment horizontal="center" vertical="center" wrapText="1"/>
    </xf>
    <xf numFmtId="0" fontId="51" fillId="22" borderId="19" xfId="0" applyFont="1" applyFill="1" applyBorder="1" applyAlignment="1">
      <alignment horizontal="center" vertical="center" wrapText="1"/>
    </xf>
    <xf numFmtId="0" fontId="51" fillId="22" borderId="9" xfId="0" applyFont="1" applyFill="1" applyBorder="1" applyAlignment="1">
      <alignment horizontal="center" vertical="center" wrapText="1"/>
    </xf>
    <xf numFmtId="0" fontId="1" fillId="11" borderId="8" xfId="0" applyFont="1" applyFill="1" applyBorder="1" applyAlignment="1">
      <alignment horizontal="left"/>
    </xf>
    <xf numFmtId="0" fontId="1" fillId="11" borderId="9" xfId="0" applyFont="1" applyFill="1" applyBorder="1" applyAlignment="1">
      <alignment horizontal="left"/>
    </xf>
    <xf numFmtId="0" fontId="1" fillId="11" borderId="19" xfId="0" applyFont="1" applyFill="1" applyBorder="1" applyAlignment="1">
      <alignment horizontal="left"/>
    </xf>
    <xf numFmtId="0" fontId="51" fillId="22" borderId="13" xfId="0" applyFont="1" applyFill="1" applyBorder="1" applyAlignment="1">
      <alignment horizontal="center" vertical="center" wrapText="1"/>
    </xf>
    <xf numFmtId="0" fontId="51" fillId="22" borderId="0" xfId="0" applyFont="1" applyFill="1" applyAlignment="1">
      <alignment horizontal="center" vertical="center" wrapText="1"/>
    </xf>
    <xf numFmtId="0" fontId="54" fillId="11" borderId="32" xfId="0" applyFont="1" applyFill="1" applyBorder="1" applyAlignment="1">
      <alignment horizontal="left" wrapText="1"/>
    </xf>
    <xf numFmtId="0" fontId="51" fillId="22" borderId="32" xfId="0" applyFont="1" applyFill="1" applyBorder="1" applyAlignment="1">
      <alignment horizontal="center" vertical="center" wrapText="1"/>
    </xf>
    <xf numFmtId="0" fontId="54" fillId="11" borderId="8" xfId="0" applyFont="1" applyFill="1" applyBorder="1" applyAlignment="1">
      <alignment horizontal="left" vertical="center" wrapText="1"/>
    </xf>
    <xf numFmtId="0" fontId="54" fillId="11" borderId="9" xfId="0" applyFont="1" applyFill="1" applyBorder="1" applyAlignment="1">
      <alignment horizontal="left" vertical="center" wrapText="1"/>
    </xf>
    <xf numFmtId="0" fontId="54" fillId="11" borderId="19" xfId="0" applyFont="1" applyFill="1" applyBorder="1" applyAlignment="1">
      <alignment horizontal="left" vertical="center" wrapText="1"/>
    </xf>
    <xf numFmtId="0" fontId="41" fillId="21" borderId="8" xfId="0" applyFont="1" applyFill="1" applyBorder="1" applyAlignment="1">
      <alignment horizontal="center"/>
    </xf>
    <xf numFmtId="0" fontId="41" fillId="21" borderId="9" xfId="0" applyFont="1" applyFill="1" applyBorder="1" applyAlignment="1">
      <alignment horizontal="center"/>
    </xf>
    <xf numFmtId="0" fontId="41" fillId="21" borderId="19" xfId="0" applyFont="1" applyFill="1" applyBorder="1" applyAlignment="1">
      <alignment horizontal="center"/>
    </xf>
    <xf numFmtId="0" fontId="5" fillId="0" borderId="0" xfId="2" applyFont="1" applyAlignment="1">
      <alignment horizontal="center" textRotation="90"/>
    </xf>
    <xf numFmtId="0" fontId="46" fillId="7" borderId="0" xfId="0" applyFont="1" applyFill="1" applyAlignment="1">
      <alignment horizontal="center"/>
    </xf>
    <xf numFmtId="0" fontId="10" fillId="2" borderId="3" xfId="0" applyFont="1" applyFill="1" applyBorder="1" applyAlignment="1">
      <alignment horizontal="left" wrapText="1"/>
    </xf>
    <xf numFmtId="0" fontId="3" fillId="2" borderId="0" xfId="0" applyFont="1" applyFill="1" applyAlignment="1">
      <alignment horizontal="left"/>
    </xf>
    <xf numFmtId="0" fontId="3" fillId="2" borderId="37" xfId="0" applyFont="1" applyFill="1" applyBorder="1" applyAlignment="1">
      <alignment horizontal="left"/>
    </xf>
    <xf numFmtId="0" fontId="94" fillId="0" borderId="40" xfId="0" applyFont="1" applyBorder="1" applyAlignment="1">
      <alignment horizontal="center" vertical="center" wrapText="1"/>
    </xf>
    <xf numFmtId="11" fontId="0" fillId="0" borderId="0" xfId="0" applyNumberFormat="1"/>
  </cellXfs>
  <cellStyles count="5">
    <cellStyle name="Hyperlink" xfId="1" builtinId="8"/>
    <cellStyle name="Normal" xfId="0" builtinId="0"/>
    <cellStyle name="Normal 11 2" xfId="4" xr:uid="{00000000-0005-0000-0000-000002000000}"/>
    <cellStyle name="Normal 12 2" xfId="3" xr:uid="{00000000-0005-0000-0000-000003000000}"/>
    <cellStyle name="Normal 2 2 2" xfId="2" xr:uid="{00000000-0005-0000-0000-000004000000}"/>
  </cellStyles>
  <dxfs count="6">
    <dxf>
      <fill>
        <patternFill>
          <bgColor rgb="FFFFFF00"/>
        </patternFill>
      </fill>
    </dxf>
    <dxf>
      <fill>
        <patternFill>
          <bgColor theme="6" tint="0.39994506668294322"/>
        </patternFill>
      </fill>
    </dxf>
    <dxf>
      <fill>
        <patternFill>
          <bgColor theme="5" tint="0.59996337778862885"/>
        </patternFill>
      </fill>
    </dxf>
    <dxf>
      <fill>
        <patternFill>
          <bgColor rgb="FFFFFF00"/>
        </patternFill>
      </fill>
    </dxf>
    <dxf>
      <fill>
        <patternFill>
          <bgColor theme="6" tint="0.39994506668294322"/>
        </patternFill>
      </fill>
    </dxf>
    <dxf>
      <fill>
        <patternFill>
          <bgColor theme="5" tint="0.59996337778862885"/>
        </patternFill>
      </fill>
    </dxf>
  </dxfs>
  <tableStyles count="0" defaultTableStyle="TableStyleMedium9" defaultPivotStyle="PivotStyleLight16"/>
  <colors>
    <mruColors>
      <color rgb="FF66FF99"/>
      <color rgb="FFFF99FF"/>
      <color rgb="FFFF9933"/>
      <color rgb="FFFFFFFF"/>
      <color rgb="FFCCFFFF"/>
      <color rgb="FFFF99CC"/>
      <color rgb="FFFFFF99"/>
      <color rgb="FFFFFFCC"/>
      <color rgb="FF800080"/>
      <color rgb="FFBDE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structure!$F$5"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F$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hyperlink" Target="#'CH4'!A1"/><Relationship Id="rId13" Type="http://schemas.openxmlformats.org/officeDocument/2006/relationships/hyperlink" Target="#'NH3'!A1"/><Relationship Id="rId18" Type="http://schemas.openxmlformats.org/officeDocument/2006/relationships/hyperlink" Target="#NOx_ROAD!A1"/><Relationship Id="rId3" Type="http://schemas.openxmlformats.org/officeDocument/2006/relationships/hyperlink" Target="#'Biomass CO2'!A1"/><Relationship Id="rId21" Type="http://schemas.openxmlformats.org/officeDocument/2006/relationships/hyperlink" Target="#PM2.5_ROAD!A1"/><Relationship Id="rId7" Type="http://schemas.openxmlformats.org/officeDocument/2006/relationships/hyperlink" Target="#N2O!A1"/><Relationship Id="rId12" Type="http://schemas.openxmlformats.org/officeDocument/2006/relationships/hyperlink" Target="#NMVOC!A1"/><Relationship Id="rId17" Type="http://schemas.openxmlformats.org/officeDocument/2006/relationships/hyperlink" Target="#CO2_ROAD!A1"/><Relationship Id="rId2" Type="http://schemas.openxmlformats.org/officeDocument/2006/relationships/hyperlink" Target="#'CO2'!A1"/><Relationship Id="rId16" Type="http://schemas.openxmlformats.org/officeDocument/2006/relationships/hyperlink" Target="#'Check Report'!A1"/><Relationship Id="rId20" Type="http://schemas.openxmlformats.org/officeDocument/2006/relationships/hyperlink" Target="#PM10_ROAD!A1"/><Relationship Id="rId1" Type="http://schemas.openxmlformats.org/officeDocument/2006/relationships/hyperlink" Target="#structure!A1"/><Relationship Id="rId6" Type="http://schemas.openxmlformats.org/officeDocument/2006/relationships/hyperlink" Target="#SF6_NF3!A1"/><Relationship Id="rId11" Type="http://schemas.openxmlformats.org/officeDocument/2006/relationships/hyperlink" Target="#PM2.5!A1"/><Relationship Id="rId5" Type="http://schemas.openxmlformats.org/officeDocument/2006/relationships/hyperlink" Target="#PFC!A1"/><Relationship Id="rId15" Type="http://schemas.openxmlformats.org/officeDocument/2006/relationships/hyperlink" Target="#'PM10'!A1"/><Relationship Id="rId10" Type="http://schemas.openxmlformats.org/officeDocument/2006/relationships/hyperlink" Target="#SOx!A1"/><Relationship Id="rId19" Type="http://schemas.openxmlformats.org/officeDocument/2006/relationships/hyperlink" Target="#NMVOC_ROAD!A1"/><Relationship Id="rId4" Type="http://schemas.openxmlformats.org/officeDocument/2006/relationships/hyperlink" Target="#HFC!A1"/><Relationship Id="rId9" Type="http://schemas.openxmlformats.org/officeDocument/2006/relationships/hyperlink" Target="#NOx!A1"/><Relationship Id="rId14" Type="http://schemas.openxmlformats.org/officeDocument/2006/relationships/hyperlink" Target="#CO!A1"/></Relationships>
</file>

<file path=xl/drawings/_rels/drawing7.xml.rels><?xml version="1.0" encoding="UTF-8" standalone="yes"?>
<Relationships xmlns="http://schemas.openxmlformats.org/package/2006/relationships"><Relationship Id="rId1" Type="http://schemas.openxmlformats.org/officeDocument/2006/relationships/hyperlink" Target="#footnotes_list!A1"/></Relationships>
</file>

<file path=xl/drawings/_rels/drawing8.xml.rels><?xml version="1.0" encoding="UTF-8" standalone="yes"?>
<Relationships xmlns="http://schemas.openxmlformats.org/package/2006/relationships"><Relationship Id="rId1" Type="http://schemas.openxmlformats.org/officeDocument/2006/relationships/hyperlink" Target="#footnote_list!A1"/></Relationships>
</file>

<file path=xl/drawings/_rels/drawing9.xml.rels><?xml version="1.0" encoding="UTF-8" standalone="yes"?>
<Relationships xmlns="http://schemas.openxmlformats.org/package/2006/relationships"><Relationship Id="rId1" Type="http://schemas.openxmlformats.org/officeDocument/2006/relationships/hyperlink" Target="#footnote_list!A1"/></Relationships>
</file>

<file path=xl/drawings/_rels/drawing10.xml.rels><?xml version="1.0" encoding="UTF-8" standalone="yes"?>
<Relationships xmlns="http://schemas.openxmlformats.org/package/2006/relationships"><Relationship Id="rId1" Type="http://schemas.openxmlformats.org/officeDocument/2006/relationships/hyperlink" Target="#footnote_list!A1"/></Relationships>
</file>

<file path=xl/drawings/_rels/drawing11.xml.rels><?xml version="1.0" encoding="UTF-8" standalone="yes"?>
<Relationships xmlns="http://schemas.openxmlformats.org/package/2006/relationships"><Relationship Id="rId1" Type="http://schemas.openxmlformats.org/officeDocument/2006/relationships/hyperlink" Target="#footnote_list!A1"/></Relationships>
</file>

<file path=xl/drawings/_rels/drawing12.xml.rels><?xml version="1.0" encoding="UTF-8" standalone="yes"?>
<Relationships xmlns="http://schemas.openxmlformats.org/package/2006/relationships"><Relationship Id="rId1" Type="http://schemas.openxmlformats.org/officeDocument/2006/relationships/hyperlink" Target="#footnote_list!A1"/></Relationships>
</file>

<file path=xl/drawings/_rels/drawing13.xml.rels><?xml version="1.0" encoding="UTF-8" standalone="yes"?>
<Relationships xmlns="http://schemas.openxmlformats.org/package/2006/relationships"><Relationship Id="rId1" Type="http://schemas.openxmlformats.org/officeDocument/2006/relationships/hyperlink" Target="#footnote_list!A1"/></Relationships>
</file>

<file path=xl/drawings/_rels/drawing14.xml.rels><?xml version="1.0" encoding="UTF-8" standalone="yes"?>
<Relationships xmlns="http://schemas.openxmlformats.org/package/2006/relationships"><Relationship Id="rId1" Type="http://schemas.openxmlformats.org/officeDocument/2006/relationships/hyperlink" Target="#footnote_list!A1"/></Relationships>
</file>

<file path=xl/drawings/_rels/drawing15.xml.rels><?xml version="1.0" encoding="UTF-8" standalone="yes"?>
<Relationships xmlns="http://schemas.openxmlformats.org/package/2006/relationships"><Relationship Id="rId1" Type="http://schemas.openxmlformats.org/officeDocument/2006/relationships/hyperlink" Target="#footnote_list!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742950</xdr:colOff>
          <xdr:row>0</xdr:row>
          <xdr:rowOff>438150</xdr:rowOff>
        </xdr:from>
        <xdr:to>
          <xdr:col>14</xdr:col>
          <xdr:colOff>1581150</xdr:colOff>
          <xdr:row>2</xdr:row>
          <xdr:rowOff>0</xdr:rowOff>
        </xdr:to>
        <xdr:sp macro="" textlink="">
          <xdr:nvSpPr>
            <xdr:cNvPr id="281601" name="CHECKALL" hidden="1">
              <a:extLst>
                <a:ext uri="{63B3BB69-23CF-44E3-9099-C40C66FF867C}">
                  <a14:compatExt spid="_x0000_s281601"/>
                </a:ext>
                <a:ext uri="{FF2B5EF4-FFF2-40B4-BE49-F238E27FC236}">
                  <a16:creationId xmlns:a16="http://schemas.microsoft.com/office/drawing/2014/main" id="{00000000-0008-0000-0000-0000014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Check the whole questionnaire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476250</xdr:colOff>
          <xdr:row>0</xdr:row>
          <xdr:rowOff>95250</xdr:rowOff>
        </xdr:from>
        <xdr:to>
          <xdr:col>16</xdr:col>
          <xdr:colOff>28575</xdr:colOff>
          <xdr:row>0</xdr:row>
          <xdr:rowOff>295275</xdr:rowOff>
        </xdr:to>
        <xdr:sp macro="" textlink="">
          <xdr:nvSpPr>
            <xdr:cNvPr id="281603" name="Check Box 3" descr="Enable Automatics Checks on Closing Workbook" hidden="1">
              <a:extLst>
                <a:ext uri="{63B3BB69-23CF-44E3-9099-C40C66FF867C}">
                  <a14:compatExt spid="_x0000_s281603"/>
                </a:ext>
                <a:ext uri="{FF2B5EF4-FFF2-40B4-BE49-F238E27FC236}">
                  <a16:creationId xmlns:a16="http://schemas.microsoft.com/office/drawing/2014/main" id="{00000000-0008-0000-0000-0000034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Enable automatic checks when closing workbook</a:t>
              </a:r>
            </a:p>
          </xdr:txBody>
        </xdr:sp>
        <xdr:clientData/>
      </xdr:twoCellAnchor>
    </mc:Choice>
    <mc:Fallback/>
  </mc:AlternateContent>
  <xdr:twoCellAnchor editAs="oneCell">
    <xdr:from>
      <xdr:col>0</xdr:col>
      <xdr:colOff>0</xdr:colOff>
      <xdr:row>0</xdr:row>
      <xdr:rowOff>2</xdr:rowOff>
    </xdr:from>
    <xdr:to>
      <xdr:col>6</xdr:col>
      <xdr:colOff>550545</xdr:colOff>
      <xdr:row>1</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
          <a:ext cx="2943225" cy="5714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1695450</xdr:colOff>
          <xdr:row>1</xdr:row>
          <xdr:rowOff>171450</xdr:rowOff>
        </xdr:from>
        <xdr:to>
          <xdr:col>5</xdr:col>
          <xdr:colOff>2724150</xdr:colOff>
          <xdr:row>2</xdr:row>
          <xdr:rowOff>209550</xdr:rowOff>
        </xdr:to>
        <xdr:sp macro="" textlink="">
          <xdr:nvSpPr>
            <xdr:cNvPr id="59746" name="Button 354" hidden="1">
              <a:extLst>
                <a:ext uri="{63B3BB69-23CF-44E3-9099-C40C66FF867C}">
                  <a14:compatExt spid="_x0000_s59746"/>
                </a:ext>
                <a:ext uri="{FF2B5EF4-FFF2-40B4-BE49-F238E27FC236}">
                  <a16:creationId xmlns:a16="http://schemas.microsoft.com/office/drawing/2014/main" id="{00000000-0008-0000-0100-000062E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Reset questionnaire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533400</xdr:colOff>
          <xdr:row>1</xdr:row>
          <xdr:rowOff>171450</xdr:rowOff>
        </xdr:from>
        <xdr:to>
          <xdr:col>5</xdr:col>
          <xdr:colOff>1504950</xdr:colOff>
          <xdr:row>2</xdr:row>
          <xdr:rowOff>180975</xdr:rowOff>
        </xdr:to>
        <xdr:sp macro="" textlink="">
          <xdr:nvSpPr>
            <xdr:cNvPr id="59747" name="CHECKALL" hidden="1">
              <a:extLst>
                <a:ext uri="{63B3BB69-23CF-44E3-9099-C40C66FF867C}">
                  <a14:compatExt spid="_x0000_s59747"/>
                </a:ext>
                <a:ext uri="{FF2B5EF4-FFF2-40B4-BE49-F238E27FC236}">
                  <a16:creationId xmlns:a16="http://schemas.microsoft.com/office/drawing/2014/main" id="{00000000-0008-0000-0100-000063E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Check the whole questionnaire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0</xdr:row>
          <xdr:rowOff>209550</xdr:rowOff>
        </xdr:from>
        <xdr:to>
          <xdr:col>5</xdr:col>
          <xdr:colOff>2419350</xdr:colOff>
          <xdr:row>1</xdr:row>
          <xdr:rowOff>57150</xdr:rowOff>
        </xdr:to>
        <xdr:sp macro="" textlink="">
          <xdr:nvSpPr>
            <xdr:cNvPr id="59750" name="Check Box 358" descr="Enable Automatics Checks on Closing Workbook" hidden="1">
              <a:extLst>
                <a:ext uri="{63B3BB69-23CF-44E3-9099-C40C66FF867C}">
                  <a14:compatExt spid="_x0000_s59750"/>
                </a:ext>
                <a:ext uri="{FF2B5EF4-FFF2-40B4-BE49-F238E27FC236}">
                  <a16:creationId xmlns:a16="http://schemas.microsoft.com/office/drawing/2014/main" id="{00000000-0008-0000-0100-000066E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Enable automatic checks when closing workbook</a:t>
              </a:r>
            </a:p>
          </xdr:txBody>
        </xdr:sp>
        <xdr:clientData fLocksWithSheet="0"/>
      </xdr:twoCellAnchor>
    </mc:Choice>
    <mc:Fallback/>
  </mc:AlternateContent>
  <xdr:twoCellAnchor editAs="oneCell">
    <xdr:from>
      <xdr:col>0</xdr:col>
      <xdr:colOff>0</xdr:colOff>
      <xdr:row>0</xdr:row>
      <xdr:rowOff>0</xdr:rowOff>
    </xdr:from>
    <xdr:to>
      <xdr:col>3</xdr:col>
      <xdr:colOff>1278927</xdr:colOff>
      <xdr:row>1</xdr:row>
      <xdr:rowOff>112057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stretch>
          <a:fillRect/>
        </a:stretch>
      </xdr:blipFill>
      <xdr:spPr>
        <a:xfrm>
          <a:off x="0" y="0"/>
          <a:ext cx="2943225" cy="5714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589317</xdr:colOff>
      <xdr:row>3</xdr:row>
      <xdr:rowOff>93007</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0" y="0"/>
          <a:ext cx="2938182" cy="5692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593127</xdr:colOff>
      <xdr:row>3</xdr:row>
      <xdr:rowOff>96817</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0"/>
          <a:ext cx="2932467" cy="6073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513117</xdr:colOff>
      <xdr:row>3</xdr:row>
      <xdr:rowOff>93007</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0" y="0"/>
          <a:ext cx="2936277" cy="61116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306833</xdr:colOff>
      <xdr:row>14</xdr:row>
      <xdr:rowOff>180448</xdr:rowOff>
    </xdr:from>
    <xdr:to>
      <xdr:col>13</xdr:col>
      <xdr:colOff>41720</xdr:colOff>
      <xdr:row>16</xdr:row>
      <xdr:rowOff>94835</xdr:rowOff>
    </xdr:to>
    <xdr:sp macro="" textlink="">
      <xdr:nvSpPr>
        <xdr:cNvPr id="2" name="Rectangle 1">
          <a:extLst>
            <a:ext uri="{FF2B5EF4-FFF2-40B4-BE49-F238E27FC236}">
              <a16:creationId xmlns:a16="http://schemas.microsoft.com/office/drawing/2014/main" id="{00000000-0008-0000-0800-000002000000}"/>
            </a:ext>
          </a:extLst>
        </xdr:cNvPr>
        <xdr:cNvSpPr>
          <a:spLocks noChangeArrowheads="1"/>
        </xdr:cNvSpPr>
      </xdr:nvSpPr>
      <xdr:spPr bwMode="auto">
        <a:xfrm>
          <a:off x="10509196" y="3961601"/>
          <a:ext cx="3076257" cy="614883"/>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fr-BE" sz="1200" b="1" i="0" u="none" strike="noStrike" baseline="0">
              <a:solidFill>
                <a:srgbClr val="FF0000"/>
              </a:solidFill>
              <a:latin typeface="Arial"/>
              <a:cs typeface="Arial"/>
            </a:rPr>
            <a:t>Please fill in a footnote text for each symbol you used in the footnote cells in the pollutants' tables.</a:t>
          </a:r>
        </a:p>
      </xdr:txBody>
    </xdr:sp>
    <xdr:clientData/>
  </xdr:twoCellAnchor>
  <xdr:twoCellAnchor editAs="absolute">
    <xdr:from>
      <xdr:col>7</xdr:col>
      <xdr:colOff>59199</xdr:colOff>
      <xdr:row>15</xdr:row>
      <xdr:rowOff>212751</xdr:rowOff>
    </xdr:from>
    <xdr:to>
      <xdr:col>9</xdr:col>
      <xdr:colOff>129524</xdr:colOff>
      <xdr:row>16</xdr:row>
      <xdr:rowOff>207261</xdr:rowOff>
    </xdr:to>
    <xdr:sp macro="" textlink="">
      <xdr:nvSpPr>
        <xdr:cNvPr id="3" name="AutoShape 2">
          <a:extLst>
            <a:ext uri="{FF2B5EF4-FFF2-40B4-BE49-F238E27FC236}">
              <a16:creationId xmlns:a16="http://schemas.microsoft.com/office/drawing/2014/main" id="{00000000-0008-0000-0800-000003000000}"/>
            </a:ext>
          </a:extLst>
        </xdr:cNvPr>
        <xdr:cNvSpPr>
          <a:spLocks noChangeArrowheads="1"/>
        </xdr:cNvSpPr>
      </xdr:nvSpPr>
      <xdr:spPr bwMode="auto">
        <a:xfrm rot="3574139">
          <a:off x="9883227" y="4219295"/>
          <a:ext cx="337138" cy="575422"/>
        </a:xfrm>
        <a:prstGeom prst="downArrow">
          <a:avLst>
            <a:gd name="adj1" fmla="val 50000"/>
            <a:gd name="adj2" fmla="val 43294"/>
          </a:avLst>
        </a:prstGeom>
        <a:solidFill>
          <a:srgbClr val="FFFFFF"/>
        </a:solidFill>
        <a:ln w="9525">
          <a:solidFill>
            <a:srgbClr val="000000"/>
          </a:solidFill>
          <a:miter lim="800000"/>
          <a:headEnd/>
          <a:tailEnd/>
        </a:ln>
      </xdr:spPr>
    </xdr:sp>
    <xdr:clientData/>
  </xdr:twoCellAnchor>
  <xdr:twoCellAnchor>
    <xdr:from>
      <xdr:col>8</xdr:col>
      <xdr:colOff>138948</xdr:colOff>
      <xdr:row>1</xdr:row>
      <xdr:rowOff>62193</xdr:rowOff>
    </xdr:from>
    <xdr:to>
      <xdr:col>10</xdr:col>
      <xdr:colOff>14403</xdr:colOff>
      <xdr:row>4</xdr:row>
      <xdr:rowOff>116541</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12145891" y="127507"/>
          <a:ext cx="920483" cy="740148"/>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BE" sz="1000"/>
            <a:t>Back to structure</a:t>
          </a:r>
        </a:p>
      </xdr:txBody>
    </xdr:sp>
    <xdr:clientData/>
  </xdr:twoCellAnchor>
  <xdr:twoCellAnchor>
    <xdr:from>
      <xdr:col>10</xdr:col>
      <xdr:colOff>160080</xdr:colOff>
      <xdr:row>1</xdr:row>
      <xdr:rowOff>72839</xdr:rowOff>
    </xdr:from>
    <xdr:to>
      <xdr:col>11</xdr:col>
      <xdr:colOff>739650</xdr:colOff>
      <xdr:row>2</xdr:row>
      <xdr:rowOff>193419</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13212051" y="138153"/>
          <a:ext cx="1363342" cy="3491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BE" sz="1000"/>
            <a:t>Go</a:t>
          </a:r>
          <a:r>
            <a:rPr lang="fr-BE" sz="1000" baseline="0"/>
            <a:t> to table CO2</a:t>
          </a:r>
          <a:endParaRPr lang="fr-BE" sz="1000"/>
        </a:p>
      </xdr:txBody>
    </xdr:sp>
    <xdr:clientData/>
  </xdr:twoCellAnchor>
  <xdr:twoCellAnchor>
    <xdr:from>
      <xdr:col>10</xdr:col>
      <xdr:colOff>155598</xdr:colOff>
      <xdr:row>3</xdr:row>
      <xdr:rowOff>38099</xdr:rowOff>
    </xdr:from>
    <xdr:to>
      <xdr:col>11</xdr:col>
      <xdr:colOff>735168</xdr:colOff>
      <xdr:row>4</xdr:row>
      <xdr:rowOff>178108</xdr:rowOff>
    </xdr:to>
    <xdr:sp macro="" textlink="">
      <xdr:nvSpPr>
        <xdr:cNvPr id="6" name="Rounded Rectangle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13207569" y="560613"/>
          <a:ext cx="1363342" cy="36860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tIns="0" bIns="0" rtlCol="0" anchor="ctr"/>
        <a:lstStyle/>
        <a:p>
          <a:pPr algn="ctr"/>
          <a:r>
            <a:rPr lang="fr-BE" sz="1000"/>
            <a:t>Go</a:t>
          </a:r>
          <a:r>
            <a:rPr lang="fr-BE" sz="1000" baseline="0"/>
            <a:t> to table </a:t>
          </a:r>
        </a:p>
        <a:p>
          <a:pPr algn="ctr"/>
          <a:r>
            <a:rPr lang="fr-BE" sz="1000" baseline="0"/>
            <a:t>biomass CO2</a:t>
          </a:r>
          <a:endParaRPr lang="fr-BE" sz="1000"/>
        </a:p>
      </xdr:txBody>
    </xdr:sp>
    <xdr:clientData/>
  </xdr:twoCellAnchor>
  <xdr:twoCellAnchor>
    <xdr:from>
      <xdr:col>11</xdr:col>
      <xdr:colOff>838841</xdr:colOff>
      <xdr:row>1</xdr:row>
      <xdr:rowOff>75080</xdr:rowOff>
    </xdr:from>
    <xdr:to>
      <xdr:col>13</xdr:col>
      <xdr:colOff>429498</xdr:colOff>
      <xdr:row>2</xdr:row>
      <xdr:rowOff>195660</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14674584" y="140394"/>
          <a:ext cx="1332371" cy="3491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BE" sz="1000"/>
            <a:t>Go</a:t>
          </a:r>
          <a:r>
            <a:rPr lang="fr-BE" sz="1000" baseline="0"/>
            <a:t> to table HFC</a:t>
          </a:r>
          <a:endParaRPr lang="fr-BE" sz="1000"/>
        </a:p>
      </xdr:txBody>
    </xdr:sp>
    <xdr:clientData/>
  </xdr:twoCellAnchor>
  <xdr:twoCellAnchor>
    <xdr:from>
      <xdr:col>11</xdr:col>
      <xdr:colOff>827635</xdr:colOff>
      <xdr:row>3</xdr:row>
      <xdr:rowOff>41461</xdr:rowOff>
    </xdr:from>
    <xdr:to>
      <xdr:col>13</xdr:col>
      <xdr:colOff>418292</xdr:colOff>
      <xdr:row>4</xdr:row>
      <xdr:rowOff>162042</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4663378" y="563975"/>
          <a:ext cx="1332371" cy="34918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BE" sz="1000"/>
            <a:t>Go</a:t>
          </a:r>
          <a:r>
            <a:rPr lang="fr-BE" sz="1000" baseline="0"/>
            <a:t> to table PFC</a:t>
          </a:r>
          <a:endParaRPr lang="fr-BE" sz="1000"/>
        </a:p>
      </xdr:txBody>
    </xdr:sp>
    <xdr:clientData/>
  </xdr:twoCellAnchor>
  <xdr:twoCellAnchor>
    <xdr:from>
      <xdr:col>11</xdr:col>
      <xdr:colOff>814188</xdr:colOff>
      <xdr:row>5</xdr:row>
      <xdr:rowOff>23813</xdr:rowOff>
    </xdr:from>
    <xdr:to>
      <xdr:col>13</xdr:col>
      <xdr:colOff>434746</xdr:colOff>
      <xdr:row>6</xdr:row>
      <xdr:rowOff>128670</xdr:rowOff>
    </xdr:to>
    <xdr:sp macro="" textlink="">
      <xdr:nvSpPr>
        <xdr:cNvPr id="9" name="Rounded Rectangle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4649931" y="1003527"/>
          <a:ext cx="1362272" cy="3552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tIns="0" bIns="0" rtlCol="0" anchor="ctr"/>
        <a:lstStyle/>
        <a:p>
          <a:pPr algn="ctr"/>
          <a:r>
            <a:rPr lang="fr-BE" sz="1000"/>
            <a:t>Go</a:t>
          </a:r>
          <a:r>
            <a:rPr lang="fr-BE" sz="1000" baseline="0"/>
            <a:t> to table SF6_NF3</a:t>
          </a:r>
          <a:endParaRPr lang="fr-BE" sz="1000"/>
        </a:p>
      </xdr:txBody>
    </xdr:sp>
    <xdr:clientData/>
  </xdr:twoCellAnchor>
  <xdr:twoCellAnchor>
    <xdr:from>
      <xdr:col>10</xdr:col>
      <xdr:colOff>155597</xdr:colOff>
      <xdr:row>5</xdr:row>
      <xdr:rowOff>5605</xdr:rowOff>
    </xdr:from>
    <xdr:to>
      <xdr:col>11</xdr:col>
      <xdr:colOff>735167</xdr:colOff>
      <xdr:row>6</xdr:row>
      <xdr:rowOff>108417</xdr:rowOff>
    </xdr:to>
    <xdr:sp macro="" textlink="">
      <xdr:nvSpPr>
        <xdr:cNvPr id="10" name="Rounded Rectangle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13207568" y="985319"/>
          <a:ext cx="1363342" cy="35318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BE" sz="1000"/>
            <a:t>Go</a:t>
          </a:r>
          <a:r>
            <a:rPr lang="fr-BE" sz="1000" baseline="0"/>
            <a:t> to table N2O</a:t>
          </a:r>
          <a:endParaRPr lang="fr-BE" sz="1000"/>
        </a:p>
      </xdr:txBody>
    </xdr:sp>
    <xdr:clientData/>
  </xdr:twoCellAnchor>
  <xdr:twoCellAnchor>
    <xdr:from>
      <xdr:col>10</xdr:col>
      <xdr:colOff>151115</xdr:colOff>
      <xdr:row>6</xdr:row>
      <xdr:rowOff>193863</xdr:rowOff>
    </xdr:from>
    <xdr:to>
      <xdr:col>11</xdr:col>
      <xdr:colOff>730685</xdr:colOff>
      <xdr:row>8</xdr:row>
      <xdr:rowOff>215805</xdr:rowOff>
    </xdr:to>
    <xdr:sp macro="" textlink="">
      <xdr:nvSpPr>
        <xdr:cNvPr id="11" name="Rounded Rectangle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13203086" y="1423949"/>
          <a:ext cx="1363342" cy="3485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BE" sz="1000"/>
            <a:t>Go</a:t>
          </a:r>
          <a:r>
            <a:rPr lang="fr-BE" sz="1000" baseline="0"/>
            <a:t> to table CH4</a:t>
          </a:r>
          <a:endParaRPr lang="fr-BE" sz="1000"/>
        </a:p>
      </xdr:txBody>
    </xdr:sp>
    <xdr:clientData/>
  </xdr:twoCellAnchor>
  <xdr:twoCellAnchor>
    <xdr:from>
      <xdr:col>11</xdr:col>
      <xdr:colOff>823713</xdr:colOff>
      <xdr:row>6</xdr:row>
      <xdr:rowOff>197224</xdr:rowOff>
    </xdr:from>
    <xdr:to>
      <xdr:col>13</xdr:col>
      <xdr:colOff>444271</xdr:colOff>
      <xdr:row>8</xdr:row>
      <xdr:rowOff>223836</xdr:rowOff>
    </xdr:to>
    <xdr:sp macro="" textlink="">
      <xdr:nvSpPr>
        <xdr:cNvPr id="16" name="Rounded Rectangle 15">
          <a:hlinkClick xmlns:r="http://schemas.openxmlformats.org/officeDocument/2006/relationships" r:id="rId9"/>
          <a:extLst>
            <a:ext uri="{FF2B5EF4-FFF2-40B4-BE49-F238E27FC236}">
              <a16:creationId xmlns:a16="http://schemas.microsoft.com/office/drawing/2014/main" id="{00000000-0008-0000-0800-000010000000}"/>
            </a:ext>
          </a:extLst>
        </xdr:cNvPr>
        <xdr:cNvSpPr/>
      </xdr:nvSpPr>
      <xdr:spPr>
        <a:xfrm>
          <a:off x="14659456" y="1427310"/>
          <a:ext cx="1362272" cy="3531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BE" sz="1000"/>
            <a:t>Go</a:t>
          </a:r>
          <a:r>
            <a:rPr lang="fr-BE" sz="1000" baseline="0"/>
            <a:t> to table NOx</a:t>
          </a:r>
          <a:endParaRPr lang="fr-BE" sz="1000"/>
        </a:p>
      </xdr:txBody>
    </xdr:sp>
    <xdr:clientData/>
  </xdr:twoCellAnchor>
  <xdr:twoCellAnchor>
    <xdr:from>
      <xdr:col>13</xdr:col>
      <xdr:colOff>516190</xdr:colOff>
      <xdr:row>1</xdr:row>
      <xdr:rowOff>73400</xdr:rowOff>
    </xdr:from>
    <xdr:to>
      <xdr:col>15</xdr:col>
      <xdr:colOff>310919</xdr:colOff>
      <xdr:row>2</xdr:row>
      <xdr:rowOff>205074</xdr:rowOff>
    </xdr:to>
    <xdr:sp macro="" textlink="">
      <xdr:nvSpPr>
        <xdr:cNvPr id="17" name="Rounded Rectangle 16">
          <a:hlinkClick xmlns:r="http://schemas.openxmlformats.org/officeDocument/2006/relationships" r:id="rId10"/>
          <a:extLst>
            <a:ext uri="{FF2B5EF4-FFF2-40B4-BE49-F238E27FC236}">
              <a16:creationId xmlns:a16="http://schemas.microsoft.com/office/drawing/2014/main" id="{00000000-0008-0000-0800-000011000000}"/>
            </a:ext>
          </a:extLst>
        </xdr:cNvPr>
        <xdr:cNvSpPr/>
      </xdr:nvSpPr>
      <xdr:spPr>
        <a:xfrm>
          <a:off x="16093647" y="138714"/>
          <a:ext cx="1362272" cy="36027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BE" sz="1000"/>
            <a:t>Go</a:t>
          </a:r>
          <a:r>
            <a:rPr lang="fr-BE" sz="1000" baseline="0"/>
            <a:t> to table SOx</a:t>
          </a:r>
          <a:endParaRPr lang="fr-BE" sz="1000"/>
        </a:p>
      </xdr:txBody>
    </xdr:sp>
    <xdr:clientData/>
  </xdr:twoCellAnchor>
  <xdr:twoCellAnchor>
    <xdr:from>
      <xdr:col>15</xdr:col>
      <xdr:colOff>399848</xdr:colOff>
      <xdr:row>3</xdr:row>
      <xdr:rowOff>47102</xdr:rowOff>
    </xdr:from>
    <xdr:to>
      <xdr:col>17</xdr:col>
      <xdr:colOff>218783</xdr:colOff>
      <xdr:row>4</xdr:row>
      <xdr:rowOff>178776</xdr:rowOff>
    </xdr:to>
    <xdr:sp macro="" textlink="">
      <xdr:nvSpPr>
        <xdr:cNvPr id="18" name="Rounded Rectangle 17">
          <a:hlinkClick xmlns:r="http://schemas.openxmlformats.org/officeDocument/2006/relationships" r:id="rId11"/>
          <a:extLst>
            <a:ext uri="{FF2B5EF4-FFF2-40B4-BE49-F238E27FC236}">
              <a16:creationId xmlns:a16="http://schemas.microsoft.com/office/drawing/2014/main" id="{00000000-0008-0000-0800-000012000000}"/>
            </a:ext>
          </a:extLst>
        </xdr:cNvPr>
        <xdr:cNvSpPr/>
      </xdr:nvSpPr>
      <xdr:spPr>
        <a:xfrm>
          <a:off x="17544848" y="569616"/>
          <a:ext cx="1386478" cy="36027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BE" sz="1000"/>
            <a:t>Go</a:t>
          </a:r>
          <a:r>
            <a:rPr lang="fr-BE" sz="1000" baseline="0"/>
            <a:t> to table PM2_5</a:t>
          </a:r>
          <a:endParaRPr lang="fr-BE" sz="1000"/>
        </a:p>
      </xdr:txBody>
    </xdr:sp>
    <xdr:clientData/>
  </xdr:twoCellAnchor>
  <xdr:twoCellAnchor>
    <xdr:from>
      <xdr:col>13</xdr:col>
      <xdr:colOff>520953</xdr:colOff>
      <xdr:row>5</xdr:row>
      <xdr:rowOff>30538</xdr:rowOff>
    </xdr:from>
    <xdr:to>
      <xdr:col>15</xdr:col>
      <xdr:colOff>315682</xdr:colOff>
      <xdr:row>6</xdr:row>
      <xdr:rowOff>133350</xdr:rowOff>
    </xdr:to>
    <xdr:sp macro="" textlink="">
      <xdr:nvSpPr>
        <xdr:cNvPr id="20" name="Rounded Rectangle 19">
          <a:hlinkClick xmlns:r="http://schemas.openxmlformats.org/officeDocument/2006/relationships" r:id="rId12"/>
          <a:extLst>
            <a:ext uri="{FF2B5EF4-FFF2-40B4-BE49-F238E27FC236}">
              <a16:creationId xmlns:a16="http://schemas.microsoft.com/office/drawing/2014/main" id="{00000000-0008-0000-0800-000014000000}"/>
            </a:ext>
          </a:extLst>
        </xdr:cNvPr>
        <xdr:cNvSpPr/>
      </xdr:nvSpPr>
      <xdr:spPr>
        <a:xfrm>
          <a:off x="16098410" y="1010252"/>
          <a:ext cx="1362272" cy="35318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BE" sz="1000"/>
            <a:t>Go</a:t>
          </a:r>
          <a:r>
            <a:rPr lang="fr-BE" sz="1000" baseline="0"/>
            <a:t> to table NMVOC</a:t>
          </a:r>
          <a:endParaRPr lang="fr-BE" sz="1000"/>
        </a:p>
      </xdr:txBody>
    </xdr:sp>
    <xdr:clientData/>
  </xdr:twoCellAnchor>
  <xdr:twoCellAnchor>
    <xdr:from>
      <xdr:col>13</xdr:col>
      <xdr:colOff>516190</xdr:colOff>
      <xdr:row>3</xdr:row>
      <xdr:rowOff>44825</xdr:rowOff>
    </xdr:from>
    <xdr:to>
      <xdr:col>15</xdr:col>
      <xdr:colOff>310919</xdr:colOff>
      <xdr:row>4</xdr:row>
      <xdr:rowOff>176499</xdr:rowOff>
    </xdr:to>
    <xdr:sp macro="" textlink="">
      <xdr:nvSpPr>
        <xdr:cNvPr id="21" name="Rounded Rectangle 20">
          <a:hlinkClick xmlns:r="http://schemas.openxmlformats.org/officeDocument/2006/relationships" r:id="rId13"/>
          <a:extLst>
            <a:ext uri="{FF2B5EF4-FFF2-40B4-BE49-F238E27FC236}">
              <a16:creationId xmlns:a16="http://schemas.microsoft.com/office/drawing/2014/main" id="{00000000-0008-0000-0800-000015000000}"/>
            </a:ext>
          </a:extLst>
        </xdr:cNvPr>
        <xdr:cNvSpPr/>
      </xdr:nvSpPr>
      <xdr:spPr>
        <a:xfrm>
          <a:off x="16093647" y="567339"/>
          <a:ext cx="1362272" cy="36027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BE" sz="1000"/>
            <a:t>Go</a:t>
          </a:r>
          <a:r>
            <a:rPr lang="fr-BE" sz="1000" baseline="0"/>
            <a:t> to table NH3</a:t>
          </a:r>
          <a:endParaRPr lang="fr-BE" sz="1000"/>
        </a:p>
      </xdr:txBody>
    </xdr:sp>
    <xdr:clientData/>
  </xdr:twoCellAnchor>
  <xdr:twoCellAnchor>
    <xdr:from>
      <xdr:col>13</xdr:col>
      <xdr:colOff>520953</xdr:colOff>
      <xdr:row>6</xdr:row>
      <xdr:rowOff>201987</xdr:rowOff>
    </xdr:from>
    <xdr:to>
      <xdr:col>15</xdr:col>
      <xdr:colOff>315682</xdr:colOff>
      <xdr:row>8</xdr:row>
      <xdr:rowOff>228599</xdr:rowOff>
    </xdr:to>
    <xdr:sp macro="" textlink="">
      <xdr:nvSpPr>
        <xdr:cNvPr id="22" name="Rounded Rectangle 21">
          <a:hlinkClick xmlns:r="http://schemas.openxmlformats.org/officeDocument/2006/relationships" r:id="rId14"/>
          <a:extLst>
            <a:ext uri="{FF2B5EF4-FFF2-40B4-BE49-F238E27FC236}">
              <a16:creationId xmlns:a16="http://schemas.microsoft.com/office/drawing/2014/main" id="{00000000-0008-0000-0800-000016000000}"/>
            </a:ext>
          </a:extLst>
        </xdr:cNvPr>
        <xdr:cNvSpPr/>
      </xdr:nvSpPr>
      <xdr:spPr>
        <a:xfrm>
          <a:off x="16098410" y="1432073"/>
          <a:ext cx="1362272" cy="3531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BE" sz="1000"/>
            <a:t>Go</a:t>
          </a:r>
          <a:r>
            <a:rPr lang="fr-BE" sz="1000" baseline="0"/>
            <a:t> to table CO</a:t>
          </a:r>
          <a:endParaRPr lang="fr-BE" sz="1000"/>
        </a:p>
      </xdr:txBody>
    </xdr:sp>
    <xdr:clientData/>
  </xdr:twoCellAnchor>
  <xdr:twoCellAnchor>
    <xdr:from>
      <xdr:col>15</xdr:col>
      <xdr:colOff>395085</xdr:colOff>
      <xdr:row>1</xdr:row>
      <xdr:rowOff>73399</xdr:rowOff>
    </xdr:from>
    <xdr:to>
      <xdr:col>17</xdr:col>
      <xdr:colOff>214020</xdr:colOff>
      <xdr:row>2</xdr:row>
      <xdr:rowOff>205073</xdr:rowOff>
    </xdr:to>
    <xdr:sp macro="" textlink="">
      <xdr:nvSpPr>
        <xdr:cNvPr id="23" name="Rounded Rectangle 22">
          <a:hlinkClick xmlns:r="http://schemas.openxmlformats.org/officeDocument/2006/relationships" r:id="rId15"/>
          <a:extLst>
            <a:ext uri="{FF2B5EF4-FFF2-40B4-BE49-F238E27FC236}">
              <a16:creationId xmlns:a16="http://schemas.microsoft.com/office/drawing/2014/main" id="{00000000-0008-0000-0800-000017000000}"/>
            </a:ext>
          </a:extLst>
        </xdr:cNvPr>
        <xdr:cNvSpPr/>
      </xdr:nvSpPr>
      <xdr:spPr>
        <a:xfrm>
          <a:off x="17540085" y="138713"/>
          <a:ext cx="1386478" cy="36027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BE" sz="1000"/>
            <a:t>Go</a:t>
          </a:r>
          <a:r>
            <a:rPr lang="fr-BE" sz="1000" baseline="0"/>
            <a:t> to table PM10</a:t>
          </a:r>
          <a:endParaRPr lang="fr-BE" sz="1000"/>
        </a:p>
      </xdr:txBody>
    </xdr:sp>
    <xdr:clientData/>
  </xdr:twoCellAnchor>
  <xdr:twoCellAnchor>
    <xdr:from>
      <xdr:col>5</xdr:col>
      <xdr:colOff>119743</xdr:colOff>
      <xdr:row>3</xdr:row>
      <xdr:rowOff>76195</xdr:rowOff>
    </xdr:from>
    <xdr:to>
      <xdr:col>6</xdr:col>
      <xdr:colOff>729343</xdr:colOff>
      <xdr:row>6</xdr:row>
      <xdr:rowOff>10885</xdr:rowOff>
    </xdr:to>
    <xdr:sp macro="[0]!SwitchFlags2Classical" textlink="">
      <xdr:nvSpPr>
        <xdr:cNvPr id="19" name="Rounded Rectangle 18">
          <a:extLst>
            <a:ext uri="{FF2B5EF4-FFF2-40B4-BE49-F238E27FC236}">
              <a16:creationId xmlns:a16="http://schemas.microsoft.com/office/drawing/2014/main" id="{00000000-0008-0000-0800-000013000000}"/>
            </a:ext>
          </a:extLst>
        </xdr:cNvPr>
        <xdr:cNvSpPr/>
      </xdr:nvSpPr>
      <xdr:spPr>
        <a:xfrm>
          <a:off x="10014857" y="598709"/>
          <a:ext cx="1534886" cy="642262"/>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300"/>
            <a:t>Switch to Classical Flags</a:t>
          </a:r>
        </a:p>
      </xdr:txBody>
    </xdr:sp>
    <xdr:clientData/>
  </xdr:twoCellAnchor>
  <xdr:twoCellAnchor>
    <xdr:from>
      <xdr:col>5</xdr:col>
      <xdr:colOff>119744</xdr:colOff>
      <xdr:row>6</xdr:row>
      <xdr:rowOff>54430</xdr:rowOff>
    </xdr:from>
    <xdr:to>
      <xdr:col>6</xdr:col>
      <xdr:colOff>729343</xdr:colOff>
      <xdr:row>8</xdr:row>
      <xdr:rowOff>326572</xdr:rowOff>
    </xdr:to>
    <xdr:sp macro="[0]!SwitchFlags2SDMX" textlink="">
      <xdr:nvSpPr>
        <xdr:cNvPr id="24" name="Rounded Rectangle 23">
          <a:extLst>
            <a:ext uri="{FF2B5EF4-FFF2-40B4-BE49-F238E27FC236}">
              <a16:creationId xmlns:a16="http://schemas.microsoft.com/office/drawing/2014/main" id="{00000000-0008-0000-0800-000018000000}"/>
            </a:ext>
          </a:extLst>
        </xdr:cNvPr>
        <xdr:cNvSpPr/>
      </xdr:nvSpPr>
      <xdr:spPr>
        <a:xfrm>
          <a:off x="10014858" y="1284516"/>
          <a:ext cx="1534885" cy="59871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300"/>
            <a:t>Switch to SDMX Flags</a:t>
          </a:r>
        </a:p>
      </xdr:txBody>
    </xdr:sp>
    <xdr:clientData/>
  </xdr:twoCellAnchor>
  <xdr:twoCellAnchor>
    <xdr:from>
      <xdr:col>8</xdr:col>
      <xdr:colOff>119898</xdr:colOff>
      <xdr:row>5</xdr:row>
      <xdr:rowOff>41783</xdr:rowOff>
    </xdr:from>
    <xdr:to>
      <xdr:col>9</xdr:col>
      <xdr:colOff>779124</xdr:colOff>
      <xdr:row>8</xdr:row>
      <xdr:rowOff>204988</xdr:rowOff>
    </xdr:to>
    <xdr:sp macro="" textlink="">
      <xdr:nvSpPr>
        <xdr:cNvPr id="25" name="Rounded Rectangle 24">
          <a:hlinkClick xmlns:r="http://schemas.openxmlformats.org/officeDocument/2006/relationships" r:id="rId16"/>
          <a:extLst>
            <a:ext uri="{FF2B5EF4-FFF2-40B4-BE49-F238E27FC236}">
              <a16:creationId xmlns:a16="http://schemas.microsoft.com/office/drawing/2014/main" id="{00000000-0008-0000-0800-000019000000}"/>
            </a:ext>
          </a:extLst>
        </xdr:cNvPr>
        <xdr:cNvSpPr/>
      </xdr:nvSpPr>
      <xdr:spPr>
        <a:xfrm>
          <a:off x="12126841" y="1021497"/>
          <a:ext cx="920483" cy="740148"/>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BE" sz="1000"/>
            <a:t>Go to check report</a:t>
          </a:r>
        </a:p>
      </xdr:txBody>
    </xdr:sp>
    <xdr:clientData/>
  </xdr:twoCellAnchor>
  <xdr:twoCellAnchor>
    <xdr:from>
      <xdr:col>15</xdr:col>
      <xdr:colOff>449036</xdr:colOff>
      <xdr:row>5</xdr:row>
      <xdr:rowOff>40821</xdr:rowOff>
    </xdr:from>
    <xdr:to>
      <xdr:col>17</xdr:col>
      <xdr:colOff>266066</xdr:colOff>
      <xdr:row>6</xdr:row>
      <xdr:rowOff>153173</xdr:rowOff>
    </xdr:to>
    <xdr:sp macro="" textlink="">
      <xdr:nvSpPr>
        <xdr:cNvPr id="13" name="Rounded Rectangle 17">
          <a:hlinkClick xmlns:r="http://schemas.openxmlformats.org/officeDocument/2006/relationships" r:id="rId17"/>
          <a:extLst>
            <a:ext uri="{FF2B5EF4-FFF2-40B4-BE49-F238E27FC236}">
              <a16:creationId xmlns:a16="http://schemas.microsoft.com/office/drawing/2014/main" id="{00000000-0008-0000-0800-00000D000000}"/>
            </a:ext>
          </a:extLst>
        </xdr:cNvPr>
        <xdr:cNvSpPr/>
      </xdr:nvSpPr>
      <xdr:spPr>
        <a:xfrm>
          <a:off x="15512143" y="1020535"/>
          <a:ext cx="1368244" cy="357281"/>
        </a:xfrm>
        <a:prstGeom prst="roundRect">
          <a:avLst/>
        </a:prstGeom>
        <a:solidFill>
          <a:schemeClr val="accent6">
            <a:lumMod val="75000"/>
          </a:schemeClr>
        </a:solidFill>
        <a:ln w="25400" cap="flat" cmpd="sng" algn="ctr">
          <a:solidFill>
            <a:srgbClr val="4F81BD">
              <a:shade val="50000"/>
            </a:srgbClr>
          </a:solidFill>
          <a:prstDash val="solid"/>
        </a:ln>
        <a:effectLst/>
      </xdr:spPr>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BE" sz="1000" b="0" i="0" u="none" strike="noStrike" kern="0" cap="none" spc="0" normalizeH="0" baseline="0" noProof="0">
              <a:ln>
                <a:noFill/>
              </a:ln>
              <a:solidFill>
                <a:sysClr val="window" lastClr="FFFFFF"/>
              </a:solidFill>
              <a:effectLst/>
              <a:uLnTx/>
              <a:uFillTx/>
              <a:latin typeface="Calibri" panose="020F0502020204030204"/>
              <a:ea typeface="+mn-ea"/>
              <a:cs typeface="+mn-cs"/>
            </a:rPr>
            <a:t>Go to table CO2_ROAD</a:t>
          </a:r>
        </a:p>
      </xdr:txBody>
    </xdr:sp>
    <xdr:clientData/>
  </xdr:twoCellAnchor>
  <xdr:twoCellAnchor>
    <xdr:from>
      <xdr:col>15</xdr:col>
      <xdr:colOff>449037</xdr:colOff>
      <xdr:row>6</xdr:row>
      <xdr:rowOff>204107</xdr:rowOff>
    </xdr:from>
    <xdr:to>
      <xdr:col>17</xdr:col>
      <xdr:colOff>266067</xdr:colOff>
      <xdr:row>8</xdr:row>
      <xdr:rowOff>234817</xdr:rowOff>
    </xdr:to>
    <xdr:sp macro="" textlink="">
      <xdr:nvSpPr>
        <xdr:cNvPr id="15" name="Rounded Rectangle 17">
          <a:hlinkClick xmlns:r="http://schemas.openxmlformats.org/officeDocument/2006/relationships" r:id="rId18"/>
          <a:extLst>
            <a:ext uri="{FF2B5EF4-FFF2-40B4-BE49-F238E27FC236}">
              <a16:creationId xmlns:a16="http://schemas.microsoft.com/office/drawing/2014/main" id="{00000000-0008-0000-0800-00000F000000}"/>
            </a:ext>
          </a:extLst>
        </xdr:cNvPr>
        <xdr:cNvSpPr/>
      </xdr:nvSpPr>
      <xdr:spPr>
        <a:xfrm>
          <a:off x="15512144" y="1428750"/>
          <a:ext cx="1368244" cy="357281"/>
        </a:xfrm>
        <a:prstGeom prst="roundRect">
          <a:avLst/>
        </a:prstGeom>
        <a:solidFill>
          <a:schemeClr val="accent6">
            <a:lumMod val="75000"/>
          </a:schemeClr>
        </a:solidFill>
        <a:ln w="25400" cap="flat" cmpd="sng" algn="ctr">
          <a:solidFill>
            <a:srgbClr val="4F81BD">
              <a:shade val="50000"/>
            </a:srgbClr>
          </a:solidFill>
          <a:prstDash val="solid"/>
        </a:ln>
        <a:effectLst/>
      </xdr:spPr>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BE" sz="1000" b="0" i="0" u="none" strike="noStrike" kern="0" cap="none" spc="0" normalizeH="0" baseline="0" noProof="0">
              <a:ln>
                <a:noFill/>
              </a:ln>
              <a:solidFill>
                <a:sysClr val="window" lastClr="FFFFFF"/>
              </a:solidFill>
              <a:effectLst/>
              <a:uLnTx/>
              <a:uFillTx/>
              <a:latin typeface="Calibri" panose="020F0502020204030204"/>
              <a:ea typeface="+mn-ea"/>
              <a:cs typeface="+mn-cs"/>
            </a:rPr>
            <a:t>Go to table NOX_ROAD</a:t>
          </a:r>
        </a:p>
      </xdr:txBody>
    </xdr:sp>
    <xdr:clientData/>
  </xdr:twoCellAnchor>
  <xdr:twoCellAnchor>
    <xdr:from>
      <xdr:col>17</xdr:col>
      <xdr:colOff>312965</xdr:colOff>
      <xdr:row>1</xdr:row>
      <xdr:rowOff>81643</xdr:rowOff>
    </xdr:from>
    <xdr:to>
      <xdr:col>19</xdr:col>
      <xdr:colOff>129994</xdr:colOff>
      <xdr:row>2</xdr:row>
      <xdr:rowOff>207603</xdr:rowOff>
    </xdr:to>
    <xdr:sp macro="" textlink="">
      <xdr:nvSpPr>
        <xdr:cNvPr id="26" name="Rounded Rectangle 17">
          <a:hlinkClick xmlns:r="http://schemas.openxmlformats.org/officeDocument/2006/relationships" r:id="rId19"/>
          <a:extLst>
            <a:ext uri="{FF2B5EF4-FFF2-40B4-BE49-F238E27FC236}">
              <a16:creationId xmlns:a16="http://schemas.microsoft.com/office/drawing/2014/main" id="{00000000-0008-0000-0800-00001A000000}"/>
            </a:ext>
          </a:extLst>
        </xdr:cNvPr>
        <xdr:cNvSpPr/>
      </xdr:nvSpPr>
      <xdr:spPr>
        <a:xfrm>
          <a:off x="16927286" y="136072"/>
          <a:ext cx="1368244" cy="357281"/>
        </a:xfrm>
        <a:prstGeom prst="roundRect">
          <a:avLst/>
        </a:prstGeom>
        <a:solidFill>
          <a:schemeClr val="accent6">
            <a:lumMod val="75000"/>
          </a:schemeClr>
        </a:solidFill>
        <a:ln w="25400" cap="flat" cmpd="sng" algn="ctr">
          <a:solidFill>
            <a:srgbClr val="4F81BD">
              <a:shade val="50000"/>
            </a:srgbClr>
          </a:solidFill>
          <a:prstDash val="solid"/>
        </a:ln>
        <a:effectLst/>
      </xdr:spPr>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BE" sz="1000" b="0" i="0" u="none" strike="noStrike" kern="0" cap="none" spc="0" normalizeH="0" baseline="0" noProof="0">
              <a:ln>
                <a:noFill/>
              </a:ln>
              <a:solidFill>
                <a:sysClr val="window" lastClr="FFFFFF"/>
              </a:solidFill>
              <a:effectLst/>
              <a:uLnTx/>
              <a:uFillTx/>
              <a:latin typeface="Calibri" panose="020F0502020204030204"/>
              <a:ea typeface="+mn-ea"/>
              <a:cs typeface="+mn-cs"/>
            </a:rPr>
            <a:t>Go to table NMVOC_ROAD</a:t>
          </a:r>
        </a:p>
      </xdr:txBody>
    </xdr:sp>
    <xdr:clientData/>
  </xdr:twoCellAnchor>
  <xdr:twoCellAnchor>
    <xdr:from>
      <xdr:col>17</xdr:col>
      <xdr:colOff>340179</xdr:colOff>
      <xdr:row>3</xdr:row>
      <xdr:rowOff>68036</xdr:rowOff>
    </xdr:from>
    <xdr:to>
      <xdr:col>19</xdr:col>
      <xdr:colOff>157208</xdr:colOff>
      <xdr:row>4</xdr:row>
      <xdr:rowOff>193995</xdr:rowOff>
    </xdr:to>
    <xdr:sp macro="" textlink="">
      <xdr:nvSpPr>
        <xdr:cNvPr id="27" name="Rounded Rectangle 17">
          <a:hlinkClick xmlns:r="http://schemas.openxmlformats.org/officeDocument/2006/relationships" r:id="rId20"/>
          <a:extLst>
            <a:ext uri="{FF2B5EF4-FFF2-40B4-BE49-F238E27FC236}">
              <a16:creationId xmlns:a16="http://schemas.microsoft.com/office/drawing/2014/main" id="{00000000-0008-0000-0800-00001B000000}"/>
            </a:ext>
          </a:extLst>
        </xdr:cNvPr>
        <xdr:cNvSpPr/>
      </xdr:nvSpPr>
      <xdr:spPr>
        <a:xfrm>
          <a:off x="16954500" y="585107"/>
          <a:ext cx="1368244" cy="357281"/>
        </a:xfrm>
        <a:prstGeom prst="roundRect">
          <a:avLst/>
        </a:prstGeom>
        <a:solidFill>
          <a:schemeClr val="accent6">
            <a:lumMod val="75000"/>
          </a:schemeClr>
        </a:solidFill>
        <a:ln w="25400" cap="flat" cmpd="sng" algn="ctr">
          <a:solidFill>
            <a:srgbClr val="4F81BD">
              <a:shade val="50000"/>
            </a:srgbClr>
          </a:solidFill>
          <a:prstDash val="solid"/>
        </a:ln>
        <a:effectLst/>
      </xdr:spPr>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BE" sz="1000" b="0" i="0" u="none" strike="noStrike" kern="0" cap="none" spc="0" normalizeH="0" baseline="0" noProof="0">
              <a:ln>
                <a:noFill/>
              </a:ln>
              <a:solidFill>
                <a:sysClr val="window" lastClr="FFFFFF"/>
              </a:solidFill>
              <a:effectLst/>
              <a:uLnTx/>
              <a:uFillTx/>
              <a:latin typeface="Calibri" panose="020F0502020204030204"/>
              <a:ea typeface="+mn-ea"/>
              <a:cs typeface="+mn-cs"/>
            </a:rPr>
            <a:t>Go to table PM10_ROAD</a:t>
          </a:r>
        </a:p>
      </xdr:txBody>
    </xdr:sp>
    <xdr:clientData/>
  </xdr:twoCellAnchor>
  <xdr:twoCellAnchor>
    <xdr:from>
      <xdr:col>17</xdr:col>
      <xdr:colOff>367393</xdr:colOff>
      <xdr:row>5</xdr:row>
      <xdr:rowOff>54429</xdr:rowOff>
    </xdr:from>
    <xdr:to>
      <xdr:col>19</xdr:col>
      <xdr:colOff>184422</xdr:colOff>
      <xdr:row>6</xdr:row>
      <xdr:rowOff>166781</xdr:rowOff>
    </xdr:to>
    <xdr:sp macro="" textlink="">
      <xdr:nvSpPr>
        <xdr:cNvPr id="28" name="Rounded Rectangle 17">
          <a:hlinkClick xmlns:r="http://schemas.openxmlformats.org/officeDocument/2006/relationships" r:id="rId21"/>
          <a:extLst>
            <a:ext uri="{FF2B5EF4-FFF2-40B4-BE49-F238E27FC236}">
              <a16:creationId xmlns:a16="http://schemas.microsoft.com/office/drawing/2014/main" id="{00000000-0008-0000-0800-00001C000000}"/>
            </a:ext>
          </a:extLst>
        </xdr:cNvPr>
        <xdr:cNvSpPr/>
      </xdr:nvSpPr>
      <xdr:spPr>
        <a:xfrm>
          <a:off x="16981714" y="1034143"/>
          <a:ext cx="1368244" cy="357281"/>
        </a:xfrm>
        <a:prstGeom prst="roundRect">
          <a:avLst/>
        </a:prstGeom>
        <a:solidFill>
          <a:schemeClr val="accent6">
            <a:lumMod val="75000"/>
          </a:schemeClr>
        </a:solidFill>
        <a:ln w="25400" cap="flat" cmpd="sng" algn="ctr">
          <a:solidFill>
            <a:srgbClr val="4F81BD">
              <a:shade val="50000"/>
            </a:srgbClr>
          </a:solidFill>
          <a:prstDash val="solid"/>
        </a:ln>
        <a:effectLst/>
      </xdr:spPr>
      <xdr:txBody>
        <a:bodyPr wrap="square" tIns="0" bIns="0"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BE" sz="1000" b="0" i="0" u="none" strike="noStrike" kern="0" cap="none" spc="0" normalizeH="0" baseline="0" noProof="0">
              <a:ln>
                <a:noFill/>
              </a:ln>
              <a:solidFill>
                <a:sysClr val="window" lastClr="FFFFFF"/>
              </a:solidFill>
              <a:effectLst/>
              <a:uLnTx/>
              <a:uFillTx/>
              <a:latin typeface="Calibri" panose="020F0502020204030204"/>
              <a:ea typeface="+mn-ea"/>
              <a:cs typeface="+mn-cs"/>
            </a:rPr>
            <a:t>Go to table PM2_5_ROAD</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3105150</xdr:colOff>
          <xdr:row>1</xdr:row>
          <xdr:rowOff>76200</xdr:rowOff>
        </xdr:from>
        <xdr:to>
          <xdr:col>4</xdr:col>
          <xdr:colOff>3810000</xdr:colOff>
          <xdr:row>2</xdr:row>
          <xdr:rowOff>304800</xdr:rowOff>
        </xdr:to>
        <xdr:sp macro="" textlink="">
          <xdr:nvSpPr>
            <xdr:cNvPr id="82946" name="Button 2" hidden="1">
              <a:extLst>
                <a:ext uri="{63B3BB69-23CF-44E3-9099-C40C66FF867C}">
                  <a14:compatExt spid="_x0000_s82946"/>
                </a:ext>
                <a:ext uri="{FF2B5EF4-FFF2-40B4-BE49-F238E27FC236}">
                  <a16:creationId xmlns:a16="http://schemas.microsoft.com/office/drawing/2014/main" id="{00000000-0008-0000-0900-000002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339966"/>
                  </a:solidFill>
                  <a:latin typeface="Arial"/>
                  <a:cs typeface="Arial"/>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2914650</xdr:colOff>
          <xdr:row>3</xdr:row>
          <xdr:rowOff>76200</xdr:rowOff>
        </xdr:from>
        <xdr:to>
          <xdr:col>4</xdr:col>
          <xdr:colOff>3162300</xdr:colOff>
          <xdr:row>3</xdr:row>
          <xdr:rowOff>323850</xdr:rowOff>
        </xdr:to>
        <xdr:sp macro="" textlink="">
          <xdr:nvSpPr>
            <xdr:cNvPr id="82949" name="Button 5" hidden="1">
              <a:extLst>
                <a:ext uri="{63B3BB69-23CF-44E3-9099-C40C66FF867C}">
                  <a14:compatExt spid="_x0000_s82949"/>
                </a:ext>
                <a:ext uri="{FF2B5EF4-FFF2-40B4-BE49-F238E27FC236}">
                  <a16:creationId xmlns:a16="http://schemas.microsoft.com/office/drawing/2014/main" id="{00000000-0008-0000-0900-000005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99CC"/>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3257550</xdr:colOff>
          <xdr:row>3</xdr:row>
          <xdr:rowOff>76200</xdr:rowOff>
        </xdr:from>
        <xdr:to>
          <xdr:col>4</xdr:col>
          <xdr:colOff>3505200</xdr:colOff>
          <xdr:row>3</xdr:row>
          <xdr:rowOff>323850</xdr:rowOff>
        </xdr:to>
        <xdr:sp macro="" textlink="">
          <xdr:nvSpPr>
            <xdr:cNvPr id="82950" name="Button 6" hidden="1">
              <a:extLst>
                <a:ext uri="{63B3BB69-23CF-44E3-9099-C40C66FF867C}">
                  <a14:compatExt spid="_x0000_s82950"/>
                </a:ext>
                <a:ext uri="{FF2B5EF4-FFF2-40B4-BE49-F238E27FC236}">
                  <a16:creationId xmlns:a16="http://schemas.microsoft.com/office/drawing/2014/main" id="{00000000-0008-0000-0900-000006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C0C0C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3600450</xdr:colOff>
          <xdr:row>3</xdr:row>
          <xdr:rowOff>66675</xdr:rowOff>
        </xdr:from>
        <xdr:to>
          <xdr:col>4</xdr:col>
          <xdr:colOff>3838575</xdr:colOff>
          <xdr:row>3</xdr:row>
          <xdr:rowOff>323850</xdr:rowOff>
        </xdr:to>
        <xdr:sp macro="" textlink="">
          <xdr:nvSpPr>
            <xdr:cNvPr id="82951" name="Button 7" hidden="1">
              <a:extLst>
                <a:ext uri="{63B3BB69-23CF-44E3-9099-C40C66FF867C}">
                  <a14:compatExt spid="_x0000_s82951"/>
                </a:ext>
                <a:ext uri="{FF2B5EF4-FFF2-40B4-BE49-F238E27FC236}">
                  <a16:creationId xmlns:a16="http://schemas.microsoft.com/office/drawing/2014/main" id="{00000000-0008-0000-0900-000007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FFCC"/>
                  </a:solidFill>
                  <a:latin typeface="Arial"/>
                  <a:cs typeface="Arial"/>
                </a:rPr>
                <a:t>█</a:t>
              </a:r>
            </a:p>
          </xdr:txBody>
        </xdr:sp>
        <xdr:clientData fPrintsWithSheet="0"/>
      </xdr:twoCellAnchor>
    </mc:Choice>
    <mc:Fallback/>
  </mc:AlternateContent>
  <xdr:twoCellAnchor>
    <xdr:from>
      <xdr:col>4</xdr:col>
      <xdr:colOff>60960</xdr:colOff>
      <xdr:row>0</xdr:row>
      <xdr:rowOff>68580</xdr:rowOff>
    </xdr:from>
    <xdr:to>
      <xdr:col>4</xdr:col>
      <xdr:colOff>1272539</xdr:colOff>
      <xdr:row>0</xdr:row>
      <xdr:rowOff>281940</xdr:rowOff>
    </xdr:to>
    <xdr:sp macro="[0]!ResetThisSheet" textlink="">
      <xdr:nvSpPr>
        <xdr:cNvPr id="9" name="Rounded Rectangle 8">
          <a:extLst>
            <a:ext uri="{FF2B5EF4-FFF2-40B4-BE49-F238E27FC236}">
              <a16:creationId xmlns:a16="http://schemas.microsoft.com/office/drawing/2014/main" id="{00000000-0008-0000-0900-000009000000}"/>
            </a:ext>
          </a:extLst>
        </xdr:cNvPr>
        <xdr:cNvSpPr/>
      </xdr:nvSpPr>
      <xdr:spPr>
        <a:xfrm>
          <a:off x="1638300" y="68580"/>
          <a:ext cx="1211579" cy="21336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Clean</a:t>
          </a:r>
          <a:r>
            <a:rPr lang="fr-BE" sz="1000" b="1" baseline="0">
              <a:solidFill>
                <a:schemeClr val="tx1"/>
              </a:solidFill>
              <a:latin typeface="Arial" panose="020B0604020202020204" pitchFamily="34" charset="0"/>
              <a:cs typeface="Arial" panose="020B0604020202020204" pitchFamily="34" charset="0"/>
            </a:rPr>
            <a:t> checks</a:t>
          </a:r>
          <a:endParaRPr lang="fr-BE"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1348740</xdr:colOff>
      <xdr:row>0</xdr:row>
      <xdr:rowOff>60960</xdr:rowOff>
    </xdr:from>
    <xdr:to>
      <xdr:col>4</xdr:col>
      <xdr:colOff>2545079</xdr:colOff>
      <xdr:row>0</xdr:row>
      <xdr:rowOff>289560</xdr:rowOff>
    </xdr:to>
    <xdr:sp macro="[0]!GetFootnote" textlink="">
      <xdr:nvSpPr>
        <xdr:cNvPr id="10" name="Rounded Rectangle 9">
          <a:extLst>
            <a:ext uri="{FF2B5EF4-FFF2-40B4-BE49-F238E27FC236}">
              <a16:creationId xmlns:a16="http://schemas.microsoft.com/office/drawing/2014/main" id="{00000000-0008-0000-0900-00000A000000}"/>
            </a:ext>
          </a:extLst>
        </xdr:cNvPr>
        <xdr:cNvSpPr/>
      </xdr:nvSpPr>
      <xdr:spPr>
        <a:xfrm>
          <a:off x="2926080" y="60960"/>
          <a:ext cx="1196339" cy="22860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Show footnote</a:t>
          </a:r>
        </a:p>
      </xdr:txBody>
    </xdr:sp>
    <xdr:clientData/>
  </xdr:twoCellAnchor>
  <xdr:twoCellAnchor>
    <xdr:from>
      <xdr:col>4</xdr:col>
      <xdr:colOff>2636520</xdr:colOff>
      <xdr:row>0</xdr:row>
      <xdr:rowOff>76200</xdr:rowOff>
    </xdr:from>
    <xdr:to>
      <xdr:col>4</xdr:col>
      <xdr:colOff>3832859</xdr:colOff>
      <xdr:row>0</xdr:row>
      <xdr:rowOff>281940</xdr:rowOff>
    </xdr:to>
    <xdr:sp macro="[0]!GetFootnote" textlink="">
      <xdr:nvSpPr>
        <xdr:cNvPr id="11" name="Rounded Rectangle 10">
          <a:hlinkClick xmlns:r="http://schemas.openxmlformats.org/officeDocument/2006/relationships" r:id="rId1"/>
          <a:extLst>
            <a:ext uri="{FF2B5EF4-FFF2-40B4-BE49-F238E27FC236}">
              <a16:creationId xmlns:a16="http://schemas.microsoft.com/office/drawing/2014/main" id="{00000000-0008-0000-0900-00000B000000}"/>
            </a:ext>
          </a:extLst>
        </xdr:cNvPr>
        <xdr:cNvSpPr/>
      </xdr:nvSpPr>
      <xdr:spPr>
        <a:xfrm>
          <a:off x="4213860" y="76200"/>
          <a:ext cx="1196339" cy="20574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Go to footnotes</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3105150</xdr:colOff>
          <xdr:row>1</xdr:row>
          <xdr:rowOff>76200</xdr:rowOff>
        </xdr:from>
        <xdr:to>
          <xdr:col>4</xdr:col>
          <xdr:colOff>3810000</xdr:colOff>
          <xdr:row>2</xdr:row>
          <xdr:rowOff>304800</xdr:rowOff>
        </xdr:to>
        <xdr:sp macro="" textlink="">
          <xdr:nvSpPr>
            <xdr:cNvPr id="817153" name="Button 1" hidden="1">
              <a:extLst>
                <a:ext uri="{63B3BB69-23CF-44E3-9099-C40C66FF867C}">
                  <a14:compatExt spid="_x0000_s817153"/>
                </a:ext>
                <a:ext uri="{FF2B5EF4-FFF2-40B4-BE49-F238E27FC236}">
                  <a16:creationId xmlns:a16="http://schemas.microsoft.com/office/drawing/2014/main" id="{00000000-0008-0000-0B00-0000017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339966"/>
                  </a:solidFill>
                  <a:latin typeface="Arial"/>
                  <a:cs typeface="Arial"/>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2914650</xdr:colOff>
          <xdr:row>3</xdr:row>
          <xdr:rowOff>76200</xdr:rowOff>
        </xdr:from>
        <xdr:to>
          <xdr:col>4</xdr:col>
          <xdr:colOff>3162300</xdr:colOff>
          <xdr:row>3</xdr:row>
          <xdr:rowOff>323850</xdr:rowOff>
        </xdr:to>
        <xdr:sp macro="" textlink="">
          <xdr:nvSpPr>
            <xdr:cNvPr id="817154" name="Button 2" hidden="1">
              <a:extLst>
                <a:ext uri="{63B3BB69-23CF-44E3-9099-C40C66FF867C}">
                  <a14:compatExt spid="_x0000_s817154"/>
                </a:ext>
                <a:ext uri="{FF2B5EF4-FFF2-40B4-BE49-F238E27FC236}">
                  <a16:creationId xmlns:a16="http://schemas.microsoft.com/office/drawing/2014/main" id="{00000000-0008-0000-0B00-0000027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99CC"/>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3257550</xdr:colOff>
          <xdr:row>3</xdr:row>
          <xdr:rowOff>76200</xdr:rowOff>
        </xdr:from>
        <xdr:to>
          <xdr:col>4</xdr:col>
          <xdr:colOff>3505200</xdr:colOff>
          <xdr:row>3</xdr:row>
          <xdr:rowOff>323850</xdr:rowOff>
        </xdr:to>
        <xdr:sp macro="" textlink="">
          <xdr:nvSpPr>
            <xdr:cNvPr id="817155" name="Button 3" hidden="1">
              <a:extLst>
                <a:ext uri="{63B3BB69-23CF-44E3-9099-C40C66FF867C}">
                  <a14:compatExt spid="_x0000_s817155"/>
                </a:ext>
                <a:ext uri="{FF2B5EF4-FFF2-40B4-BE49-F238E27FC236}">
                  <a16:creationId xmlns:a16="http://schemas.microsoft.com/office/drawing/2014/main" id="{00000000-0008-0000-0B00-0000037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C0C0C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3600450</xdr:colOff>
          <xdr:row>3</xdr:row>
          <xdr:rowOff>66675</xdr:rowOff>
        </xdr:from>
        <xdr:to>
          <xdr:col>4</xdr:col>
          <xdr:colOff>3838575</xdr:colOff>
          <xdr:row>3</xdr:row>
          <xdr:rowOff>323850</xdr:rowOff>
        </xdr:to>
        <xdr:sp macro="" textlink="">
          <xdr:nvSpPr>
            <xdr:cNvPr id="817156" name="Button 4" hidden="1">
              <a:extLst>
                <a:ext uri="{63B3BB69-23CF-44E3-9099-C40C66FF867C}">
                  <a14:compatExt spid="_x0000_s817156"/>
                </a:ext>
                <a:ext uri="{FF2B5EF4-FFF2-40B4-BE49-F238E27FC236}">
                  <a16:creationId xmlns:a16="http://schemas.microsoft.com/office/drawing/2014/main" id="{00000000-0008-0000-0B00-0000047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FFCC"/>
                  </a:solidFill>
                  <a:latin typeface="Arial"/>
                  <a:cs typeface="Arial"/>
                </a:rPr>
                <a:t>█</a:t>
              </a:r>
            </a:p>
          </xdr:txBody>
        </xdr:sp>
        <xdr:clientData fPrintsWithSheet="0"/>
      </xdr:twoCellAnchor>
    </mc:Choice>
    <mc:Fallback/>
  </mc:AlternateContent>
  <xdr:twoCellAnchor>
    <xdr:from>
      <xdr:col>4</xdr:col>
      <xdr:colOff>60960</xdr:colOff>
      <xdr:row>0</xdr:row>
      <xdr:rowOff>68580</xdr:rowOff>
    </xdr:from>
    <xdr:to>
      <xdr:col>4</xdr:col>
      <xdr:colOff>1272539</xdr:colOff>
      <xdr:row>0</xdr:row>
      <xdr:rowOff>281940</xdr:rowOff>
    </xdr:to>
    <xdr:sp macro="[0]!ResetThisSheet" textlink="">
      <xdr:nvSpPr>
        <xdr:cNvPr id="6" name="Rounded Rectangle 8">
          <a:extLst>
            <a:ext uri="{FF2B5EF4-FFF2-40B4-BE49-F238E27FC236}">
              <a16:creationId xmlns:a16="http://schemas.microsoft.com/office/drawing/2014/main" id="{00000000-0008-0000-0B00-000006000000}"/>
            </a:ext>
          </a:extLst>
        </xdr:cNvPr>
        <xdr:cNvSpPr/>
      </xdr:nvSpPr>
      <xdr:spPr>
        <a:xfrm>
          <a:off x="1638300" y="68580"/>
          <a:ext cx="1211579" cy="21336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Clean</a:t>
          </a:r>
          <a:r>
            <a:rPr lang="fr-BE" sz="1000" b="1" baseline="0">
              <a:solidFill>
                <a:schemeClr val="tx1"/>
              </a:solidFill>
              <a:latin typeface="Arial" panose="020B0604020202020204" pitchFamily="34" charset="0"/>
              <a:cs typeface="Arial" panose="020B0604020202020204" pitchFamily="34" charset="0"/>
            </a:rPr>
            <a:t> checks</a:t>
          </a:r>
          <a:endParaRPr lang="fr-BE"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1348740</xdr:colOff>
      <xdr:row>0</xdr:row>
      <xdr:rowOff>60960</xdr:rowOff>
    </xdr:from>
    <xdr:to>
      <xdr:col>4</xdr:col>
      <xdr:colOff>2545079</xdr:colOff>
      <xdr:row>0</xdr:row>
      <xdr:rowOff>289560</xdr:rowOff>
    </xdr:to>
    <xdr:sp macro="[0]!GetFootnote" textlink="">
      <xdr:nvSpPr>
        <xdr:cNvPr id="7" name="Rounded Rectangle 9">
          <a:extLst>
            <a:ext uri="{FF2B5EF4-FFF2-40B4-BE49-F238E27FC236}">
              <a16:creationId xmlns:a16="http://schemas.microsoft.com/office/drawing/2014/main" id="{00000000-0008-0000-0B00-000007000000}"/>
            </a:ext>
          </a:extLst>
        </xdr:cNvPr>
        <xdr:cNvSpPr/>
      </xdr:nvSpPr>
      <xdr:spPr>
        <a:xfrm>
          <a:off x="2926080" y="60960"/>
          <a:ext cx="1196339" cy="22860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Show footnote</a:t>
          </a:r>
        </a:p>
      </xdr:txBody>
    </xdr:sp>
    <xdr:clientData/>
  </xdr:twoCellAnchor>
  <xdr:twoCellAnchor>
    <xdr:from>
      <xdr:col>4</xdr:col>
      <xdr:colOff>2636520</xdr:colOff>
      <xdr:row>0</xdr:row>
      <xdr:rowOff>76200</xdr:rowOff>
    </xdr:from>
    <xdr:to>
      <xdr:col>4</xdr:col>
      <xdr:colOff>3832859</xdr:colOff>
      <xdr:row>0</xdr:row>
      <xdr:rowOff>281940</xdr:rowOff>
    </xdr:to>
    <xdr:sp macro="[0]!GetFootnote" textlink="">
      <xdr:nvSpPr>
        <xdr:cNvPr id="8" name="Rounded Rectangle 10">
          <a:hlinkClick xmlns:r="http://schemas.openxmlformats.org/officeDocument/2006/relationships" r:id="rId1"/>
          <a:extLst>
            <a:ext uri="{FF2B5EF4-FFF2-40B4-BE49-F238E27FC236}">
              <a16:creationId xmlns:a16="http://schemas.microsoft.com/office/drawing/2014/main" id="{00000000-0008-0000-0B00-000008000000}"/>
            </a:ext>
          </a:extLst>
        </xdr:cNvPr>
        <xdr:cNvSpPr/>
      </xdr:nvSpPr>
      <xdr:spPr>
        <a:xfrm>
          <a:off x="4213860" y="76200"/>
          <a:ext cx="1196339" cy="20574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Go to footnotes</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3105150</xdr:colOff>
          <xdr:row>1</xdr:row>
          <xdr:rowOff>76200</xdr:rowOff>
        </xdr:from>
        <xdr:to>
          <xdr:col>4</xdr:col>
          <xdr:colOff>3810000</xdr:colOff>
          <xdr:row>2</xdr:row>
          <xdr:rowOff>304800</xdr:rowOff>
        </xdr:to>
        <xdr:sp macro="" textlink="">
          <xdr:nvSpPr>
            <xdr:cNvPr id="818177" name="Button 1" hidden="1">
              <a:extLst>
                <a:ext uri="{63B3BB69-23CF-44E3-9099-C40C66FF867C}">
                  <a14:compatExt spid="_x0000_s818177"/>
                </a:ext>
                <a:ext uri="{FF2B5EF4-FFF2-40B4-BE49-F238E27FC236}">
                  <a16:creationId xmlns:a16="http://schemas.microsoft.com/office/drawing/2014/main" id="{00000000-0008-0000-0C00-0000017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339966"/>
                  </a:solidFill>
                  <a:latin typeface="Arial"/>
                  <a:cs typeface="Arial"/>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2914650</xdr:colOff>
          <xdr:row>3</xdr:row>
          <xdr:rowOff>76200</xdr:rowOff>
        </xdr:from>
        <xdr:to>
          <xdr:col>4</xdr:col>
          <xdr:colOff>3162300</xdr:colOff>
          <xdr:row>3</xdr:row>
          <xdr:rowOff>323850</xdr:rowOff>
        </xdr:to>
        <xdr:sp macro="" textlink="">
          <xdr:nvSpPr>
            <xdr:cNvPr id="818178" name="Button 2" hidden="1">
              <a:extLst>
                <a:ext uri="{63B3BB69-23CF-44E3-9099-C40C66FF867C}">
                  <a14:compatExt spid="_x0000_s818178"/>
                </a:ext>
                <a:ext uri="{FF2B5EF4-FFF2-40B4-BE49-F238E27FC236}">
                  <a16:creationId xmlns:a16="http://schemas.microsoft.com/office/drawing/2014/main" id="{00000000-0008-0000-0C00-0000027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99CC"/>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3257550</xdr:colOff>
          <xdr:row>3</xdr:row>
          <xdr:rowOff>76200</xdr:rowOff>
        </xdr:from>
        <xdr:to>
          <xdr:col>4</xdr:col>
          <xdr:colOff>3505200</xdr:colOff>
          <xdr:row>3</xdr:row>
          <xdr:rowOff>323850</xdr:rowOff>
        </xdr:to>
        <xdr:sp macro="" textlink="">
          <xdr:nvSpPr>
            <xdr:cNvPr id="818179" name="Button 3" hidden="1">
              <a:extLst>
                <a:ext uri="{63B3BB69-23CF-44E3-9099-C40C66FF867C}">
                  <a14:compatExt spid="_x0000_s818179"/>
                </a:ext>
                <a:ext uri="{FF2B5EF4-FFF2-40B4-BE49-F238E27FC236}">
                  <a16:creationId xmlns:a16="http://schemas.microsoft.com/office/drawing/2014/main" id="{00000000-0008-0000-0C00-0000037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C0C0C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3600450</xdr:colOff>
          <xdr:row>3</xdr:row>
          <xdr:rowOff>66675</xdr:rowOff>
        </xdr:from>
        <xdr:to>
          <xdr:col>4</xdr:col>
          <xdr:colOff>3838575</xdr:colOff>
          <xdr:row>3</xdr:row>
          <xdr:rowOff>323850</xdr:rowOff>
        </xdr:to>
        <xdr:sp macro="" textlink="">
          <xdr:nvSpPr>
            <xdr:cNvPr id="818180" name="Button 4" hidden="1">
              <a:extLst>
                <a:ext uri="{63B3BB69-23CF-44E3-9099-C40C66FF867C}">
                  <a14:compatExt spid="_x0000_s818180"/>
                </a:ext>
                <a:ext uri="{FF2B5EF4-FFF2-40B4-BE49-F238E27FC236}">
                  <a16:creationId xmlns:a16="http://schemas.microsoft.com/office/drawing/2014/main" id="{00000000-0008-0000-0C00-0000047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FFCC"/>
                  </a:solidFill>
                  <a:latin typeface="Arial"/>
                  <a:cs typeface="Arial"/>
                </a:rPr>
                <a:t>█</a:t>
              </a:r>
            </a:p>
          </xdr:txBody>
        </xdr:sp>
        <xdr:clientData fPrintsWithSheet="0"/>
      </xdr:twoCellAnchor>
    </mc:Choice>
    <mc:Fallback/>
  </mc:AlternateContent>
  <xdr:twoCellAnchor>
    <xdr:from>
      <xdr:col>4</xdr:col>
      <xdr:colOff>60960</xdr:colOff>
      <xdr:row>0</xdr:row>
      <xdr:rowOff>68580</xdr:rowOff>
    </xdr:from>
    <xdr:to>
      <xdr:col>4</xdr:col>
      <xdr:colOff>1272539</xdr:colOff>
      <xdr:row>0</xdr:row>
      <xdr:rowOff>281940</xdr:rowOff>
    </xdr:to>
    <xdr:sp macro="[0]!ResetThisSheet" textlink="">
      <xdr:nvSpPr>
        <xdr:cNvPr id="6" name="Rounded Rectangle 8">
          <a:extLst>
            <a:ext uri="{FF2B5EF4-FFF2-40B4-BE49-F238E27FC236}">
              <a16:creationId xmlns:a16="http://schemas.microsoft.com/office/drawing/2014/main" id="{00000000-0008-0000-0C00-000006000000}"/>
            </a:ext>
          </a:extLst>
        </xdr:cNvPr>
        <xdr:cNvSpPr/>
      </xdr:nvSpPr>
      <xdr:spPr>
        <a:xfrm>
          <a:off x="1638300" y="68580"/>
          <a:ext cx="1211579" cy="21336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Clean</a:t>
          </a:r>
          <a:r>
            <a:rPr lang="fr-BE" sz="1000" b="1" baseline="0">
              <a:solidFill>
                <a:schemeClr val="tx1"/>
              </a:solidFill>
              <a:latin typeface="Arial" panose="020B0604020202020204" pitchFamily="34" charset="0"/>
              <a:cs typeface="Arial" panose="020B0604020202020204" pitchFamily="34" charset="0"/>
            </a:rPr>
            <a:t> checks</a:t>
          </a:r>
          <a:endParaRPr lang="fr-BE"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1348740</xdr:colOff>
      <xdr:row>0</xdr:row>
      <xdr:rowOff>60960</xdr:rowOff>
    </xdr:from>
    <xdr:to>
      <xdr:col>4</xdr:col>
      <xdr:colOff>2545079</xdr:colOff>
      <xdr:row>0</xdr:row>
      <xdr:rowOff>289560</xdr:rowOff>
    </xdr:to>
    <xdr:sp macro="[0]!GetFootnote" textlink="">
      <xdr:nvSpPr>
        <xdr:cNvPr id="7" name="Rounded Rectangle 9">
          <a:extLst>
            <a:ext uri="{FF2B5EF4-FFF2-40B4-BE49-F238E27FC236}">
              <a16:creationId xmlns:a16="http://schemas.microsoft.com/office/drawing/2014/main" id="{00000000-0008-0000-0C00-000007000000}"/>
            </a:ext>
          </a:extLst>
        </xdr:cNvPr>
        <xdr:cNvSpPr/>
      </xdr:nvSpPr>
      <xdr:spPr>
        <a:xfrm>
          <a:off x="2926080" y="60960"/>
          <a:ext cx="1196339" cy="22860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Show footnote</a:t>
          </a:r>
        </a:p>
      </xdr:txBody>
    </xdr:sp>
    <xdr:clientData/>
  </xdr:twoCellAnchor>
  <xdr:twoCellAnchor>
    <xdr:from>
      <xdr:col>4</xdr:col>
      <xdr:colOff>2636520</xdr:colOff>
      <xdr:row>0</xdr:row>
      <xdr:rowOff>76200</xdr:rowOff>
    </xdr:from>
    <xdr:to>
      <xdr:col>4</xdr:col>
      <xdr:colOff>3832859</xdr:colOff>
      <xdr:row>0</xdr:row>
      <xdr:rowOff>281940</xdr:rowOff>
    </xdr:to>
    <xdr:sp macro="[0]!GetFootnote" textlink="">
      <xdr:nvSpPr>
        <xdr:cNvPr id="8" name="Rounded Rectangle 10">
          <a:hlinkClick xmlns:r="http://schemas.openxmlformats.org/officeDocument/2006/relationships" r:id="rId1"/>
          <a:extLst>
            <a:ext uri="{FF2B5EF4-FFF2-40B4-BE49-F238E27FC236}">
              <a16:creationId xmlns:a16="http://schemas.microsoft.com/office/drawing/2014/main" id="{00000000-0008-0000-0C00-000008000000}"/>
            </a:ext>
          </a:extLst>
        </xdr:cNvPr>
        <xdr:cNvSpPr/>
      </xdr:nvSpPr>
      <xdr:spPr>
        <a:xfrm>
          <a:off x="4213860" y="76200"/>
          <a:ext cx="1196339" cy="20574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Go to footnotes</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3105150</xdr:colOff>
          <xdr:row>1</xdr:row>
          <xdr:rowOff>76200</xdr:rowOff>
        </xdr:from>
        <xdr:to>
          <xdr:col>4</xdr:col>
          <xdr:colOff>3810000</xdr:colOff>
          <xdr:row>2</xdr:row>
          <xdr:rowOff>304800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0D00-000001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339966"/>
                  </a:solidFill>
                  <a:latin typeface="Arial"/>
                  <a:cs typeface="Arial"/>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2914650</xdr:colOff>
          <xdr:row>3</xdr:row>
          <xdr:rowOff>76200</xdr:rowOff>
        </xdr:from>
        <xdr:to>
          <xdr:col>4</xdr:col>
          <xdr:colOff>3162300</xdr:colOff>
          <xdr:row>3</xdr:row>
          <xdr:rowOff>323850</xdr:rowOff>
        </xdr:to>
        <xdr:sp macro="" textlink="">
          <xdr:nvSpPr>
            <xdr:cNvPr id="819202" name="Button 2" hidden="1">
              <a:extLst>
                <a:ext uri="{63B3BB69-23CF-44E3-9099-C40C66FF867C}">
                  <a14:compatExt spid="_x0000_s819202"/>
                </a:ext>
                <a:ext uri="{FF2B5EF4-FFF2-40B4-BE49-F238E27FC236}">
                  <a16:creationId xmlns:a16="http://schemas.microsoft.com/office/drawing/2014/main" id="{00000000-0008-0000-0D00-000002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99CC"/>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3257550</xdr:colOff>
          <xdr:row>3</xdr:row>
          <xdr:rowOff>76200</xdr:rowOff>
        </xdr:from>
        <xdr:to>
          <xdr:col>4</xdr:col>
          <xdr:colOff>3505200</xdr:colOff>
          <xdr:row>3</xdr:row>
          <xdr:rowOff>323850</xdr:rowOff>
        </xdr:to>
        <xdr:sp macro="" textlink="">
          <xdr:nvSpPr>
            <xdr:cNvPr id="819203" name="Button 3" hidden="1">
              <a:extLst>
                <a:ext uri="{63B3BB69-23CF-44E3-9099-C40C66FF867C}">
                  <a14:compatExt spid="_x0000_s819203"/>
                </a:ext>
                <a:ext uri="{FF2B5EF4-FFF2-40B4-BE49-F238E27FC236}">
                  <a16:creationId xmlns:a16="http://schemas.microsoft.com/office/drawing/2014/main" id="{00000000-0008-0000-0D00-000003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C0C0C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3600450</xdr:colOff>
          <xdr:row>3</xdr:row>
          <xdr:rowOff>66675</xdr:rowOff>
        </xdr:from>
        <xdr:to>
          <xdr:col>4</xdr:col>
          <xdr:colOff>3838575</xdr:colOff>
          <xdr:row>3</xdr:row>
          <xdr:rowOff>323850</xdr:rowOff>
        </xdr:to>
        <xdr:sp macro="" textlink="">
          <xdr:nvSpPr>
            <xdr:cNvPr id="819204" name="Button 4" hidden="1">
              <a:extLst>
                <a:ext uri="{63B3BB69-23CF-44E3-9099-C40C66FF867C}">
                  <a14:compatExt spid="_x0000_s819204"/>
                </a:ext>
                <a:ext uri="{FF2B5EF4-FFF2-40B4-BE49-F238E27FC236}">
                  <a16:creationId xmlns:a16="http://schemas.microsoft.com/office/drawing/2014/main" id="{00000000-0008-0000-0D00-000004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FFCC"/>
                  </a:solidFill>
                  <a:latin typeface="Arial"/>
                  <a:cs typeface="Arial"/>
                </a:rPr>
                <a:t>█</a:t>
              </a:r>
            </a:p>
          </xdr:txBody>
        </xdr:sp>
        <xdr:clientData fPrintsWithSheet="0"/>
      </xdr:twoCellAnchor>
    </mc:Choice>
    <mc:Fallback/>
  </mc:AlternateContent>
  <xdr:twoCellAnchor>
    <xdr:from>
      <xdr:col>4</xdr:col>
      <xdr:colOff>60960</xdr:colOff>
      <xdr:row>0</xdr:row>
      <xdr:rowOff>68580</xdr:rowOff>
    </xdr:from>
    <xdr:to>
      <xdr:col>4</xdr:col>
      <xdr:colOff>1272539</xdr:colOff>
      <xdr:row>0</xdr:row>
      <xdr:rowOff>281940</xdr:rowOff>
    </xdr:to>
    <xdr:sp macro="[0]!ResetThisSheet" textlink="">
      <xdr:nvSpPr>
        <xdr:cNvPr id="6" name="Rounded Rectangle 8">
          <a:extLst>
            <a:ext uri="{FF2B5EF4-FFF2-40B4-BE49-F238E27FC236}">
              <a16:creationId xmlns:a16="http://schemas.microsoft.com/office/drawing/2014/main" id="{00000000-0008-0000-0D00-000006000000}"/>
            </a:ext>
          </a:extLst>
        </xdr:cNvPr>
        <xdr:cNvSpPr/>
      </xdr:nvSpPr>
      <xdr:spPr>
        <a:xfrm>
          <a:off x="1638300" y="68580"/>
          <a:ext cx="1211579" cy="21336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Clean</a:t>
          </a:r>
          <a:r>
            <a:rPr lang="fr-BE" sz="1000" b="1" baseline="0">
              <a:solidFill>
                <a:schemeClr val="tx1"/>
              </a:solidFill>
              <a:latin typeface="Arial" panose="020B0604020202020204" pitchFamily="34" charset="0"/>
              <a:cs typeface="Arial" panose="020B0604020202020204" pitchFamily="34" charset="0"/>
            </a:rPr>
            <a:t> checks</a:t>
          </a:r>
          <a:endParaRPr lang="fr-BE"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1348740</xdr:colOff>
      <xdr:row>0</xdr:row>
      <xdr:rowOff>60960</xdr:rowOff>
    </xdr:from>
    <xdr:to>
      <xdr:col>4</xdr:col>
      <xdr:colOff>2545079</xdr:colOff>
      <xdr:row>0</xdr:row>
      <xdr:rowOff>289560</xdr:rowOff>
    </xdr:to>
    <xdr:sp macro="[0]!GetFootnote" textlink="">
      <xdr:nvSpPr>
        <xdr:cNvPr id="7" name="Rounded Rectangle 9">
          <a:extLst>
            <a:ext uri="{FF2B5EF4-FFF2-40B4-BE49-F238E27FC236}">
              <a16:creationId xmlns:a16="http://schemas.microsoft.com/office/drawing/2014/main" id="{00000000-0008-0000-0D00-000007000000}"/>
            </a:ext>
          </a:extLst>
        </xdr:cNvPr>
        <xdr:cNvSpPr/>
      </xdr:nvSpPr>
      <xdr:spPr>
        <a:xfrm>
          <a:off x="2926080" y="60960"/>
          <a:ext cx="1196339" cy="22860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Show footnote</a:t>
          </a:r>
        </a:p>
      </xdr:txBody>
    </xdr:sp>
    <xdr:clientData/>
  </xdr:twoCellAnchor>
  <xdr:twoCellAnchor>
    <xdr:from>
      <xdr:col>4</xdr:col>
      <xdr:colOff>2636520</xdr:colOff>
      <xdr:row>0</xdr:row>
      <xdr:rowOff>76200</xdr:rowOff>
    </xdr:from>
    <xdr:to>
      <xdr:col>4</xdr:col>
      <xdr:colOff>3832859</xdr:colOff>
      <xdr:row>0</xdr:row>
      <xdr:rowOff>281940</xdr:rowOff>
    </xdr:to>
    <xdr:sp macro="[0]!GetFootnote" textlink="">
      <xdr:nvSpPr>
        <xdr:cNvPr id="8" name="Rounded Rectangle 10">
          <a:hlinkClick xmlns:r="http://schemas.openxmlformats.org/officeDocument/2006/relationships" r:id="rId1"/>
          <a:extLst>
            <a:ext uri="{FF2B5EF4-FFF2-40B4-BE49-F238E27FC236}">
              <a16:creationId xmlns:a16="http://schemas.microsoft.com/office/drawing/2014/main" id="{00000000-0008-0000-0D00-000008000000}"/>
            </a:ext>
          </a:extLst>
        </xdr:cNvPr>
        <xdr:cNvSpPr/>
      </xdr:nvSpPr>
      <xdr:spPr>
        <a:xfrm>
          <a:off x="4213860" y="76200"/>
          <a:ext cx="1196339" cy="20574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Go to footnotes</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3105150</xdr:colOff>
          <xdr:row>1</xdr:row>
          <xdr:rowOff>76200</xdr:rowOff>
        </xdr:from>
        <xdr:to>
          <xdr:col>4</xdr:col>
          <xdr:colOff>3810000</xdr:colOff>
          <xdr:row>2</xdr:row>
          <xdr:rowOff>304800</xdr:rowOff>
        </xdr:to>
        <xdr:sp macro="" textlink="">
          <xdr:nvSpPr>
            <xdr:cNvPr id="823297" name="Button 1" hidden="1">
              <a:extLst>
                <a:ext uri="{63B3BB69-23CF-44E3-9099-C40C66FF867C}">
                  <a14:compatExt spid="_x0000_s823297"/>
                </a:ext>
                <a:ext uri="{FF2B5EF4-FFF2-40B4-BE49-F238E27FC236}">
                  <a16:creationId xmlns:a16="http://schemas.microsoft.com/office/drawing/2014/main" id="{00000000-0008-0000-0E00-0000019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339966"/>
                  </a:solidFill>
                  <a:latin typeface="Arial"/>
                  <a:cs typeface="Arial"/>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2914650</xdr:colOff>
          <xdr:row>3</xdr:row>
          <xdr:rowOff>76200</xdr:rowOff>
        </xdr:from>
        <xdr:to>
          <xdr:col>4</xdr:col>
          <xdr:colOff>3162300</xdr:colOff>
          <xdr:row>3</xdr:row>
          <xdr:rowOff>323850</xdr:rowOff>
        </xdr:to>
        <xdr:sp macro="" textlink="">
          <xdr:nvSpPr>
            <xdr:cNvPr id="823298" name="Button 2" hidden="1">
              <a:extLst>
                <a:ext uri="{63B3BB69-23CF-44E3-9099-C40C66FF867C}">
                  <a14:compatExt spid="_x0000_s823298"/>
                </a:ext>
                <a:ext uri="{FF2B5EF4-FFF2-40B4-BE49-F238E27FC236}">
                  <a16:creationId xmlns:a16="http://schemas.microsoft.com/office/drawing/2014/main" id="{00000000-0008-0000-0E00-0000029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99CC"/>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3257550</xdr:colOff>
          <xdr:row>3</xdr:row>
          <xdr:rowOff>76200</xdr:rowOff>
        </xdr:from>
        <xdr:to>
          <xdr:col>4</xdr:col>
          <xdr:colOff>3505200</xdr:colOff>
          <xdr:row>3</xdr:row>
          <xdr:rowOff>323850</xdr:rowOff>
        </xdr:to>
        <xdr:sp macro="" textlink="">
          <xdr:nvSpPr>
            <xdr:cNvPr id="823299" name="Button 3" hidden="1">
              <a:extLst>
                <a:ext uri="{63B3BB69-23CF-44E3-9099-C40C66FF867C}">
                  <a14:compatExt spid="_x0000_s823299"/>
                </a:ext>
                <a:ext uri="{FF2B5EF4-FFF2-40B4-BE49-F238E27FC236}">
                  <a16:creationId xmlns:a16="http://schemas.microsoft.com/office/drawing/2014/main" id="{00000000-0008-0000-0E00-0000039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C0C0C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3600450</xdr:colOff>
          <xdr:row>3</xdr:row>
          <xdr:rowOff>66675</xdr:rowOff>
        </xdr:from>
        <xdr:to>
          <xdr:col>4</xdr:col>
          <xdr:colOff>3838575</xdr:colOff>
          <xdr:row>3</xdr:row>
          <xdr:rowOff>323850</xdr:rowOff>
        </xdr:to>
        <xdr:sp macro="" textlink="">
          <xdr:nvSpPr>
            <xdr:cNvPr id="823300" name="Button 4" hidden="1">
              <a:extLst>
                <a:ext uri="{63B3BB69-23CF-44E3-9099-C40C66FF867C}">
                  <a14:compatExt spid="_x0000_s823300"/>
                </a:ext>
                <a:ext uri="{FF2B5EF4-FFF2-40B4-BE49-F238E27FC236}">
                  <a16:creationId xmlns:a16="http://schemas.microsoft.com/office/drawing/2014/main" id="{00000000-0008-0000-0E00-0000049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FFCC"/>
                  </a:solidFill>
                  <a:latin typeface="Arial"/>
                  <a:cs typeface="Arial"/>
                </a:rPr>
                <a:t>█</a:t>
              </a:r>
            </a:p>
          </xdr:txBody>
        </xdr:sp>
        <xdr:clientData fPrintsWithSheet="0"/>
      </xdr:twoCellAnchor>
    </mc:Choice>
    <mc:Fallback/>
  </mc:AlternateContent>
  <xdr:twoCellAnchor>
    <xdr:from>
      <xdr:col>4</xdr:col>
      <xdr:colOff>60960</xdr:colOff>
      <xdr:row>0</xdr:row>
      <xdr:rowOff>68580</xdr:rowOff>
    </xdr:from>
    <xdr:to>
      <xdr:col>4</xdr:col>
      <xdr:colOff>1272539</xdr:colOff>
      <xdr:row>0</xdr:row>
      <xdr:rowOff>281940</xdr:rowOff>
    </xdr:to>
    <xdr:sp macro="[0]!ResetThisSheet" textlink="">
      <xdr:nvSpPr>
        <xdr:cNvPr id="6" name="Rounded Rectangle 8">
          <a:extLst>
            <a:ext uri="{FF2B5EF4-FFF2-40B4-BE49-F238E27FC236}">
              <a16:creationId xmlns:a16="http://schemas.microsoft.com/office/drawing/2014/main" id="{00000000-0008-0000-0E00-000006000000}"/>
            </a:ext>
          </a:extLst>
        </xdr:cNvPr>
        <xdr:cNvSpPr/>
      </xdr:nvSpPr>
      <xdr:spPr>
        <a:xfrm>
          <a:off x="1638300" y="68580"/>
          <a:ext cx="1211579" cy="21336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Clean</a:t>
          </a:r>
          <a:r>
            <a:rPr lang="fr-BE" sz="1000" b="1" baseline="0">
              <a:solidFill>
                <a:schemeClr val="tx1"/>
              </a:solidFill>
              <a:latin typeface="Arial" panose="020B0604020202020204" pitchFamily="34" charset="0"/>
              <a:cs typeface="Arial" panose="020B0604020202020204" pitchFamily="34" charset="0"/>
            </a:rPr>
            <a:t> checks</a:t>
          </a:r>
          <a:endParaRPr lang="fr-BE"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1348740</xdr:colOff>
      <xdr:row>0</xdr:row>
      <xdr:rowOff>60960</xdr:rowOff>
    </xdr:from>
    <xdr:to>
      <xdr:col>4</xdr:col>
      <xdr:colOff>2545079</xdr:colOff>
      <xdr:row>0</xdr:row>
      <xdr:rowOff>289560</xdr:rowOff>
    </xdr:to>
    <xdr:sp macro="[0]!GetFootnote" textlink="">
      <xdr:nvSpPr>
        <xdr:cNvPr id="7" name="Rounded Rectangle 9">
          <a:extLst>
            <a:ext uri="{FF2B5EF4-FFF2-40B4-BE49-F238E27FC236}">
              <a16:creationId xmlns:a16="http://schemas.microsoft.com/office/drawing/2014/main" id="{00000000-0008-0000-0E00-000007000000}"/>
            </a:ext>
          </a:extLst>
        </xdr:cNvPr>
        <xdr:cNvSpPr/>
      </xdr:nvSpPr>
      <xdr:spPr>
        <a:xfrm>
          <a:off x="2926080" y="60960"/>
          <a:ext cx="1196339" cy="22860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Show footnote</a:t>
          </a:r>
        </a:p>
      </xdr:txBody>
    </xdr:sp>
    <xdr:clientData/>
  </xdr:twoCellAnchor>
  <xdr:twoCellAnchor>
    <xdr:from>
      <xdr:col>4</xdr:col>
      <xdr:colOff>2636520</xdr:colOff>
      <xdr:row>0</xdr:row>
      <xdr:rowOff>76200</xdr:rowOff>
    </xdr:from>
    <xdr:to>
      <xdr:col>4</xdr:col>
      <xdr:colOff>3832859</xdr:colOff>
      <xdr:row>0</xdr:row>
      <xdr:rowOff>281940</xdr:rowOff>
    </xdr:to>
    <xdr:sp macro="[0]!GetFootnote" textlink="">
      <xdr:nvSpPr>
        <xdr:cNvPr id="8" name="Rounded Rectangle 10">
          <a:hlinkClick xmlns:r="http://schemas.openxmlformats.org/officeDocument/2006/relationships" r:id="rId1"/>
          <a:extLst>
            <a:ext uri="{FF2B5EF4-FFF2-40B4-BE49-F238E27FC236}">
              <a16:creationId xmlns:a16="http://schemas.microsoft.com/office/drawing/2014/main" id="{00000000-0008-0000-0E00-000008000000}"/>
            </a:ext>
          </a:extLst>
        </xdr:cNvPr>
        <xdr:cNvSpPr/>
      </xdr:nvSpPr>
      <xdr:spPr>
        <a:xfrm>
          <a:off x="4213860" y="76200"/>
          <a:ext cx="1196339" cy="20574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Go to footnotes</a:t>
          </a: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3105150</xdr:colOff>
          <xdr:row>1</xdr:row>
          <xdr:rowOff>76200</xdr:rowOff>
        </xdr:from>
        <xdr:to>
          <xdr:col>4</xdr:col>
          <xdr:colOff>3810000</xdr:colOff>
          <xdr:row>2</xdr:row>
          <xdr:rowOff>304800</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F00-0000018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339966"/>
                  </a:solidFill>
                  <a:latin typeface="Arial"/>
                  <a:cs typeface="Arial"/>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2914650</xdr:colOff>
          <xdr:row>3</xdr:row>
          <xdr:rowOff>76200</xdr:rowOff>
        </xdr:from>
        <xdr:to>
          <xdr:col>4</xdr:col>
          <xdr:colOff>3162300</xdr:colOff>
          <xdr:row>3</xdr:row>
          <xdr:rowOff>323850</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F00-0000028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99CC"/>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3257550</xdr:colOff>
          <xdr:row>3</xdr:row>
          <xdr:rowOff>76200</xdr:rowOff>
        </xdr:from>
        <xdr:to>
          <xdr:col>4</xdr:col>
          <xdr:colOff>3505200</xdr:colOff>
          <xdr:row>3</xdr:row>
          <xdr:rowOff>323850</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F00-0000038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C0C0C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3600450</xdr:colOff>
          <xdr:row>3</xdr:row>
          <xdr:rowOff>66675</xdr:rowOff>
        </xdr:from>
        <xdr:to>
          <xdr:col>4</xdr:col>
          <xdr:colOff>3838575</xdr:colOff>
          <xdr:row>3</xdr:row>
          <xdr:rowOff>323850</xdr:rowOff>
        </xdr:to>
        <xdr:sp macro="" textlink="">
          <xdr:nvSpPr>
            <xdr:cNvPr id="820228" name="Button 4" hidden="1">
              <a:extLst>
                <a:ext uri="{63B3BB69-23CF-44E3-9099-C40C66FF867C}">
                  <a14:compatExt spid="_x0000_s820228"/>
                </a:ext>
                <a:ext uri="{FF2B5EF4-FFF2-40B4-BE49-F238E27FC236}">
                  <a16:creationId xmlns:a16="http://schemas.microsoft.com/office/drawing/2014/main" id="{00000000-0008-0000-0F00-0000048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FFCC"/>
                  </a:solidFill>
                  <a:latin typeface="Arial"/>
                  <a:cs typeface="Arial"/>
                </a:rPr>
                <a:t>█</a:t>
              </a:r>
            </a:p>
          </xdr:txBody>
        </xdr:sp>
        <xdr:clientData fPrintsWithSheet="0"/>
      </xdr:twoCellAnchor>
    </mc:Choice>
    <mc:Fallback/>
  </mc:AlternateContent>
  <xdr:twoCellAnchor>
    <xdr:from>
      <xdr:col>4</xdr:col>
      <xdr:colOff>60960</xdr:colOff>
      <xdr:row>0</xdr:row>
      <xdr:rowOff>68580</xdr:rowOff>
    </xdr:from>
    <xdr:to>
      <xdr:col>4</xdr:col>
      <xdr:colOff>1272539</xdr:colOff>
      <xdr:row>0</xdr:row>
      <xdr:rowOff>281940</xdr:rowOff>
    </xdr:to>
    <xdr:sp macro="[0]!ResetThisSheet" textlink="">
      <xdr:nvSpPr>
        <xdr:cNvPr id="6" name="Rounded Rectangle 8">
          <a:extLst>
            <a:ext uri="{FF2B5EF4-FFF2-40B4-BE49-F238E27FC236}">
              <a16:creationId xmlns:a16="http://schemas.microsoft.com/office/drawing/2014/main" id="{00000000-0008-0000-0F00-000006000000}"/>
            </a:ext>
          </a:extLst>
        </xdr:cNvPr>
        <xdr:cNvSpPr/>
      </xdr:nvSpPr>
      <xdr:spPr>
        <a:xfrm>
          <a:off x="1638300" y="68580"/>
          <a:ext cx="1211579" cy="21336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Clean</a:t>
          </a:r>
          <a:r>
            <a:rPr lang="fr-BE" sz="1000" b="1" baseline="0">
              <a:solidFill>
                <a:schemeClr val="tx1"/>
              </a:solidFill>
              <a:latin typeface="Arial" panose="020B0604020202020204" pitchFamily="34" charset="0"/>
              <a:cs typeface="Arial" panose="020B0604020202020204" pitchFamily="34" charset="0"/>
            </a:rPr>
            <a:t> checks</a:t>
          </a:r>
          <a:endParaRPr lang="fr-BE"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1348740</xdr:colOff>
      <xdr:row>0</xdr:row>
      <xdr:rowOff>60960</xdr:rowOff>
    </xdr:from>
    <xdr:to>
      <xdr:col>4</xdr:col>
      <xdr:colOff>2545079</xdr:colOff>
      <xdr:row>0</xdr:row>
      <xdr:rowOff>289560</xdr:rowOff>
    </xdr:to>
    <xdr:sp macro="[0]!GetFootnote" textlink="">
      <xdr:nvSpPr>
        <xdr:cNvPr id="7" name="Rounded Rectangle 9">
          <a:extLst>
            <a:ext uri="{FF2B5EF4-FFF2-40B4-BE49-F238E27FC236}">
              <a16:creationId xmlns:a16="http://schemas.microsoft.com/office/drawing/2014/main" id="{00000000-0008-0000-0F00-000007000000}"/>
            </a:ext>
          </a:extLst>
        </xdr:cNvPr>
        <xdr:cNvSpPr/>
      </xdr:nvSpPr>
      <xdr:spPr>
        <a:xfrm>
          <a:off x="2926080" y="60960"/>
          <a:ext cx="1196339" cy="22860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Show footnote</a:t>
          </a:r>
        </a:p>
      </xdr:txBody>
    </xdr:sp>
    <xdr:clientData/>
  </xdr:twoCellAnchor>
  <xdr:twoCellAnchor>
    <xdr:from>
      <xdr:col>4</xdr:col>
      <xdr:colOff>2636520</xdr:colOff>
      <xdr:row>0</xdr:row>
      <xdr:rowOff>76200</xdr:rowOff>
    </xdr:from>
    <xdr:to>
      <xdr:col>4</xdr:col>
      <xdr:colOff>3832859</xdr:colOff>
      <xdr:row>0</xdr:row>
      <xdr:rowOff>281940</xdr:rowOff>
    </xdr:to>
    <xdr:sp macro="[0]!GetFootnote" textlink="">
      <xdr:nvSpPr>
        <xdr:cNvPr id="8" name="Rounded Rectangle 10">
          <a:hlinkClick xmlns:r="http://schemas.openxmlformats.org/officeDocument/2006/relationships" r:id="rId1"/>
          <a:extLst>
            <a:ext uri="{FF2B5EF4-FFF2-40B4-BE49-F238E27FC236}">
              <a16:creationId xmlns:a16="http://schemas.microsoft.com/office/drawing/2014/main" id="{00000000-0008-0000-0F00-000008000000}"/>
            </a:ext>
          </a:extLst>
        </xdr:cNvPr>
        <xdr:cNvSpPr/>
      </xdr:nvSpPr>
      <xdr:spPr>
        <a:xfrm>
          <a:off x="4213860" y="76200"/>
          <a:ext cx="1196339" cy="20574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Go to footnotes</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3105150</xdr:colOff>
          <xdr:row>1</xdr:row>
          <xdr:rowOff>76200</xdr:rowOff>
        </xdr:from>
        <xdr:to>
          <xdr:col>4</xdr:col>
          <xdr:colOff>3810000</xdr:colOff>
          <xdr:row>2</xdr:row>
          <xdr:rowOff>304800</xdr:rowOff>
        </xdr:to>
        <xdr:sp macro="" textlink="">
          <xdr:nvSpPr>
            <xdr:cNvPr id="821249" name="Button 1" hidden="1">
              <a:extLst>
                <a:ext uri="{63B3BB69-23CF-44E3-9099-C40C66FF867C}">
                  <a14:compatExt spid="_x0000_s821249"/>
                </a:ext>
                <a:ext uri="{FF2B5EF4-FFF2-40B4-BE49-F238E27FC236}">
                  <a16:creationId xmlns:a16="http://schemas.microsoft.com/office/drawing/2014/main" id="{00000000-0008-0000-1000-0000018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339966"/>
                  </a:solidFill>
                  <a:latin typeface="Arial"/>
                  <a:cs typeface="Arial"/>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2914650</xdr:colOff>
          <xdr:row>3</xdr:row>
          <xdr:rowOff>76200</xdr:rowOff>
        </xdr:from>
        <xdr:to>
          <xdr:col>4</xdr:col>
          <xdr:colOff>3162300</xdr:colOff>
          <xdr:row>3</xdr:row>
          <xdr:rowOff>323850</xdr:rowOff>
        </xdr:to>
        <xdr:sp macro="" textlink="">
          <xdr:nvSpPr>
            <xdr:cNvPr id="821250" name="Button 2" hidden="1">
              <a:extLst>
                <a:ext uri="{63B3BB69-23CF-44E3-9099-C40C66FF867C}">
                  <a14:compatExt spid="_x0000_s821250"/>
                </a:ext>
                <a:ext uri="{FF2B5EF4-FFF2-40B4-BE49-F238E27FC236}">
                  <a16:creationId xmlns:a16="http://schemas.microsoft.com/office/drawing/2014/main" id="{00000000-0008-0000-1000-0000028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99CC"/>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3257550</xdr:colOff>
          <xdr:row>3</xdr:row>
          <xdr:rowOff>76200</xdr:rowOff>
        </xdr:from>
        <xdr:to>
          <xdr:col>4</xdr:col>
          <xdr:colOff>3505200</xdr:colOff>
          <xdr:row>3</xdr:row>
          <xdr:rowOff>323850</xdr:rowOff>
        </xdr:to>
        <xdr:sp macro="" textlink="">
          <xdr:nvSpPr>
            <xdr:cNvPr id="821251" name="Button 3" hidden="1">
              <a:extLst>
                <a:ext uri="{63B3BB69-23CF-44E3-9099-C40C66FF867C}">
                  <a14:compatExt spid="_x0000_s821251"/>
                </a:ext>
                <a:ext uri="{FF2B5EF4-FFF2-40B4-BE49-F238E27FC236}">
                  <a16:creationId xmlns:a16="http://schemas.microsoft.com/office/drawing/2014/main" id="{00000000-0008-0000-1000-0000038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C0C0C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3600450</xdr:colOff>
          <xdr:row>3</xdr:row>
          <xdr:rowOff>66675</xdr:rowOff>
        </xdr:from>
        <xdr:to>
          <xdr:col>4</xdr:col>
          <xdr:colOff>3838575</xdr:colOff>
          <xdr:row>3</xdr:row>
          <xdr:rowOff>323850</xdr:rowOff>
        </xdr:to>
        <xdr:sp macro="" textlink="">
          <xdr:nvSpPr>
            <xdr:cNvPr id="821252" name="Button 4" hidden="1">
              <a:extLst>
                <a:ext uri="{63B3BB69-23CF-44E3-9099-C40C66FF867C}">
                  <a14:compatExt spid="_x0000_s821252"/>
                </a:ext>
                <a:ext uri="{FF2B5EF4-FFF2-40B4-BE49-F238E27FC236}">
                  <a16:creationId xmlns:a16="http://schemas.microsoft.com/office/drawing/2014/main" id="{00000000-0008-0000-1000-0000048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FFCC"/>
                  </a:solidFill>
                  <a:latin typeface="Arial"/>
                  <a:cs typeface="Arial"/>
                </a:rPr>
                <a:t>█</a:t>
              </a:r>
            </a:p>
          </xdr:txBody>
        </xdr:sp>
        <xdr:clientData fPrintsWithSheet="0"/>
      </xdr:twoCellAnchor>
    </mc:Choice>
    <mc:Fallback/>
  </mc:AlternateContent>
  <xdr:twoCellAnchor>
    <xdr:from>
      <xdr:col>4</xdr:col>
      <xdr:colOff>60960</xdr:colOff>
      <xdr:row>0</xdr:row>
      <xdr:rowOff>68580</xdr:rowOff>
    </xdr:from>
    <xdr:to>
      <xdr:col>4</xdr:col>
      <xdr:colOff>1272539</xdr:colOff>
      <xdr:row>0</xdr:row>
      <xdr:rowOff>281940</xdr:rowOff>
    </xdr:to>
    <xdr:sp macro="[0]!ResetThisSheet" textlink="">
      <xdr:nvSpPr>
        <xdr:cNvPr id="6" name="Rounded Rectangle 8">
          <a:extLst>
            <a:ext uri="{FF2B5EF4-FFF2-40B4-BE49-F238E27FC236}">
              <a16:creationId xmlns:a16="http://schemas.microsoft.com/office/drawing/2014/main" id="{00000000-0008-0000-1000-000006000000}"/>
            </a:ext>
          </a:extLst>
        </xdr:cNvPr>
        <xdr:cNvSpPr/>
      </xdr:nvSpPr>
      <xdr:spPr>
        <a:xfrm>
          <a:off x="1638300" y="68580"/>
          <a:ext cx="1211579" cy="21336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Clean</a:t>
          </a:r>
          <a:r>
            <a:rPr lang="fr-BE" sz="1000" b="1" baseline="0">
              <a:solidFill>
                <a:schemeClr val="tx1"/>
              </a:solidFill>
              <a:latin typeface="Arial" panose="020B0604020202020204" pitchFamily="34" charset="0"/>
              <a:cs typeface="Arial" panose="020B0604020202020204" pitchFamily="34" charset="0"/>
            </a:rPr>
            <a:t> checks</a:t>
          </a:r>
          <a:endParaRPr lang="fr-BE"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1348740</xdr:colOff>
      <xdr:row>0</xdr:row>
      <xdr:rowOff>60960</xdr:rowOff>
    </xdr:from>
    <xdr:to>
      <xdr:col>4</xdr:col>
      <xdr:colOff>2545079</xdr:colOff>
      <xdr:row>0</xdr:row>
      <xdr:rowOff>289560</xdr:rowOff>
    </xdr:to>
    <xdr:sp macro="[0]!GetFootnote" textlink="">
      <xdr:nvSpPr>
        <xdr:cNvPr id="7" name="Rounded Rectangle 9">
          <a:extLst>
            <a:ext uri="{FF2B5EF4-FFF2-40B4-BE49-F238E27FC236}">
              <a16:creationId xmlns:a16="http://schemas.microsoft.com/office/drawing/2014/main" id="{00000000-0008-0000-1000-000007000000}"/>
            </a:ext>
          </a:extLst>
        </xdr:cNvPr>
        <xdr:cNvSpPr/>
      </xdr:nvSpPr>
      <xdr:spPr>
        <a:xfrm>
          <a:off x="2926080" y="60960"/>
          <a:ext cx="1196339" cy="22860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Show footnote</a:t>
          </a:r>
        </a:p>
      </xdr:txBody>
    </xdr:sp>
    <xdr:clientData/>
  </xdr:twoCellAnchor>
  <xdr:twoCellAnchor>
    <xdr:from>
      <xdr:col>4</xdr:col>
      <xdr:colOff>2636520</xdr:colOff>
      <xdr:row>0</xdr:row>
      <xdr:rowOff>76200</xdr:rowOff>
    </xdr:from>
    <xdr:to>
      <xdr:col>4</xdr:col>
      <xdr:colOff>3832859</xdr:colOff>
      <xdr:row>0</xdr:row>
      <xdr:rowOff>281940</xdr:rowOff>
    </xdr:to>
    <xdr:sp macro="[0]!GetFootnote" textlink="">
      <xdr:nvSpPr>
        <xdr:cNvPr id="8" name="Rounded Rectangle 10">
          <a:hlinkClick xmlns:r="http://schemas.openxmlformats.org/officeDocument/2006/relationships" r:id="rId1"/>
          <a:extLst>
            <a:ext uri="{FF2B5EF4-FFF2-40B4-BE49-F238E27FC236}">
              <a16:creationId xmlns:a16="http://schemas.microsoft.com/office/drawing/2014/main" id="{00000000-0008-0000-1000-000008000000}"/>
            </a:ext>
          </a:extLst>
        </xdr:cNvPr>
        <xdr:cNvSpPr/>
      </xdr:nvSpPr>
      <xdr:spPr>
        <a:xfrm>
          <a:off x="4213860" y="76200"/>
          <a:ext cx="1196339" cy="20574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Go to footnotes</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3105150</xdr:colOff>
          <xdr:row>1</xdr:row>
          <xdr:rowOff>76200</xdr:rowOff>
        </xdr:from>
        <xdr:to>
          <xdr:col>4</xdr:col>
          <xdr:colOff>3810000</xdr:colOff>
          <xdr:row>2</xdr:row>
          <xdr:rowOff>304800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1100-0000018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339966"/>
                  </a:solidFill>
                  <a:latin typeface="Arial"/>
                  <a:cs typeface="Arial"/>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2914650</xdr:colOff>
          <xdr:row>3</xdr:row>
          <xdr:rowOff>76200</xdr:rowOff>
        </xdr:from>
        <xdr:to>
          <xdr:col>4</xdr:col>
          <xdr:colOff>3162300</xdr:colOff>
          <xdr:row>3</xdr:row>
          <xdr:rowOff>323850</xdr:rowOff>
        </xdr:to>
        <xdr:sp macro="" textlink="">
          <xdr:nvSpPr>
            <xdr:cNvPr id="822274" name="Button 2" hidden="1">
              <a:extLst>
                <a:ext uri="{63B3BB69-23CF-44E3-9099-C40C66FF867C}">
                  <a14:compatExt spid="_x0000_s822274"/>
                </a:ext>
                <a:ext uri="{FF2B5EF4-FFF2-40B4-BE49-F238E27FC236}">
                  <a16:creationId xmlns:a16="http://schemas.microsoft.com/office/drawing/2014/main" id="{00000000-0008-0000-1100-0000028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99CC"/>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3257550</xdr:colOff>
          <xdr:row>3</xdr:row>
          <xdr:rowOff>76200</xdr:rowOff>
        </xdr:from>
        <xdr:to>
          <xdr:col>4</xdr:col>
          <xdr:colOff>3505200</xdr:colOff>
          <xdr:row>3</xdr:row>
          <xdr:rowOff>323850</xdr:rowOff>
        </xdr:to>
        <xdr:sp macro="" textlink="">
          <xdr:nvSpPr>
            <xdr:cNvPr id="822275" name="Button 3" hidden="1">
              <a:extLst>
                <a:ext uri="{63B3BB69-23CF-44E3-9099-C40C66FF867C}">
                  <a14:compatExt spid="_x0000_s822275"/>
                </a:ext>
                <a:ext uri="{FF2B5EF4-FFF2-40B4-BE49-F238E27FC236}">
                  <a16:creationId xmlns:a16="http://schemas.microsoft.com/office/drawing/2014/main" id="{00000000-0008-0000-1100-0000038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C0C0C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3600450</xdr:colOff>
          <xdr:row>3</xdr:row>
          <xdr:rowOff>66675</xdr:rowOff>
        </xdr:from>
        <xdr:to>
          <xdr:col>4</xdr:col>
          <xdr:colOff>3838575</xdr:colOff>
          <xdr:row>3</xdr:row>
          <xdr:rowOff>323850</xdr:rowOff>
        </xdr:to>
        <xdr:sp macro="" textlink="">
          <xdr:nvSpPr>
            <xdr:cNvPr id="822276" name="Button 4" hidden="1">
              <a:extLst>
                <a:ext uri="{63B3BB69-23CF-44E3-9099-C40C66FF867C}">
                  <a14:compatExt spid="_x0000_s822276"/>
                </a:ext>
                <a:ext uri="{FF2B5EF4-FFF2-40B4-BE49-F238E27FC236}">
                  <a16:creationId xmlns:a16="http://schemas.microsoft.com/office/drawing/2014/main" id="{00000000-0008-0000-1100-0000048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FFCC"/>
                  </a:solidFill>
                  <a:latin typeface="Arial"/>
                  <a:cs typeface="Arial"/>
                </a:rPr>
                <a:t>█</a:t>
              </a:r>
            </a:p>
          </xdr:txBody>
        </xdr:sp>
        <xdr:clientData fPrintsWithSheet="0"/>
      </xdr:twoCellAnchor>
    </mc:Choice>
    <mc:Fallback/>
  </mc:AlternateContent>
  <xdr:twoCellAnchor>
    <xdr:from>
      <xdr:col>4</xdr:col>
      <xdr:colOff>60960</xdr:colOff>
      <xdr:row>0</xdr:row>
      <xdr:rowOff>68580</xdr:rowOff>
    </xdr:from>
    <xdr:to>
      <xdr:col>4</xdr:col>
      <xdr:colOff>1272539</xdr:colOff>
      <xdr:row>0</xdr:row>
      <xdr:rowOff>281940</xdr:rowOff>
    </xdr:to>
    <xdr:sp macro="[0]!ResetThisSheet" textlink="">
      <xdr:nvSpPr>
        <xdr:cNvPr id="6" name="Rounded Rectangle 8">
          <a:extLst>
            <a:ext uri="{FF2B5EF4-FFF2-40B4-BE49-F238E27FC236}">
              <a16:creationId xmlns:a16="http://schemas.microsoft.com/office/drawing/2014/main" id="{00000000-0008-0000-1100-000006000000}"/>
            </a:ext>
          </a:extLst>
        </xdr:cNvPr>
        <xdr:cNvSpPr/>
      </xdr:nvSpPr>
      <xdr:spPr>
        <a:xfrm>
          <a:off x="1638300" y="68580"/>
          <a:ext cx="1211579" cy="21336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Clean</a:t>
          </a:r>
          <a:r>
            <a:rPr lang="fr-BE" sz="1000" b="1" baseline="0">
              <a:solidFill>
                <a:schemeClr val="tx1"/>
              </a:solidFill>
              <a:latin typeface="Arial" panose="020B0604020202020204" pitchFamily="34" charset="0"/>
              <a:cs typeface="Arial" panose="020B0604020202020204" pitchFamily="34" charset="0"/>
            </a:rPr>
            <a:t> checks</a:t>
          </a:r>
          <a:endParaRPr lang="fr-BE"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1348740</xdr:colOff>
      <xdr:row>0</xdr:row>
      <xdr:rowOff>60960</xdr:rowOff>
    </xdr:from>
    <xdr:to>
      <xdr:col>4</xdr:col>
      <xdr:colOff>2545079</xdr:colOff>
      <xdr:row>0</xdr:row>
      <xdr:rowOff>289560</xdr:rowOff>
    </xdr:to>
    <xdr:sp macro="[0]!GetFootnote" textlink="">
      <xdr:nvSpPr>
        <xdr:cNvPr id="7" name="Rounded Rectangle 9">
          <a:extLst>
            <a:ext uri="{FF2B5EF4-FFF2-40B4-BE49-F238E27FC236}">
              <a16:creationId xmlns:a16="http://schemas.microsoft.com/office/drawing/2014/main" id="{00000000-0008-0000-1100-000007000000}"/>
            </a:ext>
          </a:extLst>
        </xdr:cNvPr>
        <xdr:cNvSpPr/>
      </xdr:nvSpPr>
      <xdr:spPr>
        <a:xfrm>
          <a:off x="2926080" y="60960"/>
          <a:ext cx="1196339" cy="22860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Show footnote</a:t>
          </a:r>
        </a:p>
      </xdr:txBody>
    </xdr:sp>
    <xdr:clientData/>
  </xdr:twoCellAnchor>
  <xdr:twoCellAnchor>
    <xdr:from>
      <xdr:col>4</xdr:col>
      <xdr:colOff>2636520</xdr:colOff>
      <xdr:row>0</xdr:row>
      <xdr:rowOff>76200</xdr:rowOff>
    </xdr:from>
    <xdr:to>
      <xdr:col>4</xdr:col>
      <xdr:colOff>3832859</xdr:colOff>
      <xdr:row>0</xdr:row>
      <xdr:rowOff>281940</xdr:rowOff>
    </xdr:to>
    <xdr:sp macro="[0]!GetFootnote" textlink="">
      <xdr:nvSpPr>
        <xdr:cNvPr id="8" name="Rounded Rectangle 10">
          <a:hlinkClick xmlns:r="http://schemas.openxmlformats.org/officeDocument/2006/relationships" r:id="rId1"/>
          <a:extLst>
            <a:ext uri="{FF2B5EF4-FFF2-40B4-BE49-F238E27FC236}">
              <a16:creationId xmlns:a16="http://schemas.microsoft.com/office/drawing/2014/main" id="{00000000-0008-0000-1100-000008000000}"/>
            </a:ext>
          </a:extLst>
        </xdr:cNvPr>
        <xdr:cNvSpPr/>
      </xdr:nvSpPr>
      <xdr:spPr>
        <a:xfrm>
          <a:off x="4213860" y="76200"/>
          <a:ext cx="1196339" cy="20574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Go to footnotes</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3105150</xdr:colOff>
          <xdr:row>1</xdr:row>
          <xdr:rowOff>76200</xdr:rowOff>
        </xdr:from>
        <xdr:to>
          <xdr:col>4</xdr:col>
          <xdr:colOff>3810000</xdr:colOff>
          <xdr:row>2</xdr:row>
          <xdr:rowOff>304800</xdr:rowOff>
        </xdr:to>
        <xdr:sp macro="" textlink="">
          <xdr:nvSpPr>
            <xdr:cNvPr id="827393" name="Button 1" hidden="1">
              <a:extLst>
                <a:ext uri="{63B3BB69-23CF-44E3-9099-C40C66FF867C}">
                  <a14:compatExt spid="_x0000_s827393"/>
                </a:ext>
                <a:ext uri="{FF2B5EF4-FFF2-40B4-BE49-F238E27FC236}">
                  <a16:creationId xmlns:a16="http://schemas.microsoft.com/office/drawing/2014/main" id="{A4A2AC8F-2658-4257-A776-831F5CF7EE1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339966"/>
                  </a:solidFill>
                  <a:latin typeface="Arial"/>
                  <a:cs typeface="Arial"/>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2914650</xdr:colOff>
          <xdr:row>3</xdr:row>
          <xdr:rowOff>76200</xdr:rowOff>
        </xdr:from>
        <xdr:to>
          <xdr:col>4</xdr:col>
          <xdr:colOff>3162300</xdr:colOff>
          <xdr:row>3</xdr:row>
          <xdr:rowOff>323850</xdr:rowOff>
        </xdr:to>
        <xdr:sp macro="" textlink="">
          <xdr:nvSpPr>
            <xdr:cNvPr id="827394" name="Button 2" hidden="1">
              <a:extLst>
                <a:ext uri="{63B3BB69-23CF-44E3-9099-C40C66FF867C}">
                  <a14:compatExt spid="_x0000_s827394"/>
                </a:ext>
                <a:ext uri="{FF2B5EF4-FFF2-40B4-BE49-F238E27FC236}">
                  <a16:creationId xmlns:a16="http://schemas.microsoft.com/office/drawing/2014/main" id="{65BB4E9F-6693-4758-988A-7B00FDB5920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99CC"/>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3257550</xdr:colOff>
          <xdr:row>3</xdr:row>
          <xdr:rowOff>76200</xdr:rowOff>
        </xdr:from>
        <xdr:to>
          <xdr:col>4</xdr:col>
          <xdr:colOff>3505200</xdr:colOff>
          <xdr:row>3</xdr:row>
          <xdr:rowOff>323850</xdr:rowOff>
        </xdr:to>
        <xdr:sp macro="" textlink="">
          <xdr:nvSpPr>
            <xdr:cNvPr id="827395" name="Button 3" hidden="1">
              <a:extLst>
                <a:ext uri="{63B3BB69-23CF-44E3-9099-C40C66FF867C}">
                  <a14:compatExt spid="_x0000_s827395"/>
                </a:ext>
                <a:ext uri="{FF2B5EF4-FFF2-40B4-BE49-F238E27FC236}">
                  <a16:creationId xmlns:a16="http://schemas.microsoft.com/office/drawing/2014/main" id="{312BEEDA-9936-4FD2-B6D9-60BF19FC06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C0C0C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3600450</xdr:colOff>
          <xdr:row>3</xdr:row>
          <xdr:rowOff>66675</xdr:rowOff>
        </xdr:from>
        <xdr:to>
          <xdr:col>4</xdr:col>
          <xdr:colOff>3838575</xdr:colOff>
          <xdr:row>3</xdr:row>
          <xdr:rowOff>323850</xdr:rowOff>
        </xdr:to>
        <xdr:sp macro="" textlink="">
          <xdr:nvSpPr>
            <xdr:cNvPr id="827396" name="Button 4" hidden="1">
              <a:extLst>
                <a:ext uri="{63B3BB69-23CF-44E3-9099-C40C66FF867C}">
                  <a14:compatExt spid="_x0000_s827396"/>
                </a:ext>
                <a:ext uri="{FF2B5EF4-FFF2-40B4-BE49-F238E27FC236}">
                  <a16:creationId xmlns:a16="http://schemas.microsoft.com/office/drawing/2014/main" id="{35B0FA60-A60D-4FE7-820E-96FCFD91AC1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FFFFCC"/>
                  </a:solidFill>
                  <a:latin typeface="Arial"/>
                  <a:cs typeface="Arial"/>
                </a:rPr>
                <a:t>█</a:t>
              </a:r>
            </a:p>
          </xdr:txBody>
        </xdr:sp>
        <xdr:clientData fPrintsWithSheet="0"/>
      </xdr:twoCellAnchor>
    </mc:Choice>
    <mc:Fallback/>
  </mc:AlternateContent>
  <xdr:twoCellAnchor>
    <xdr:from>
      <xdr:col>4</xdr:col>
      <xdr:colOff>60960</xdr:colOff>
      <xdr:row>0</xdr:row>
      <xdr:rowOff>68580</xdr:rowOff>
    </xdr:from>
    <xdr:to>
      <xdr:col>4</xdr:col>
      <xdr:colOff>1272539</xdr:colOff>
      <xdr:row>0</xdr:row>
      <xdr:rowOff>281940</xdr:rowOff>
    </xdr:to>
    <xdr:sp macro="[0]!ResetThisSheet" textlink="">
      <xdr:nvSpPr>
        <xdr:cNvPr id="2" name="Rounded Rectangle 8">
          <a:extLst>
            <a:ext uri="{FF2B5EF4-FFF2-40B4-BE49-F238E27FC236}">
              <a16:creationId xmlns:a16="http://schemas.microsoft.com/office/drawing/2014/main" id="{166AF6C3-95B9-4655-BA90-3C84043105C3}"/>
            </a:ext>
          </a:extLst>
        </xdr:cNvPr>
        <xdr:cNvSpPr/>
      </xdr:nvSpPr>
      <xdr:spPr>
        <a:xfrm>
          <a:off x="1594485" y="68580"/>
          <a:ext cx="1211579" cy="21336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Clean</a:t>
          </a:r>
          <a:r>
            <a:rPr lang="fr-BE" sz="1000" b="1" baseline="0">
              <a:solidFill>
                <a:schemeClr val="tx1"/>
              </a:solidFill>
              <a:latin typeface="Arial" panose="020B0604020202020204" pitchFamily="34" charset="0"/>
              <a:cs typeface="Arial" panose="020B0604020202020204" pitchFamily="34" charset="0"/>
            </a:rPr>
            <a:t> checks</a:t>
          </a:r>
          <a:endParaRPr lang="fr-BE"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1348740</xdr:colOff>
      <xdr:row>0</xdr:row>
      <xdr:rowOff>60960</xdr:rowOff>
    </xdr:from>
    <xdr:to>
      <xdr:col>4</xdr:col>
      <xdr:colOff>2545079</xdr:colOff>
      <xdr:row>0</xdr:row>
      <xdr:rowOff>289560</xdr:rowOff>
    </xdr:to>
    <xdr:sp macro="[0]!GetFootnote" textlink="">
      <xdr:nvSpPr>
        <xdr:cNvPr id="3" name="Rounded Rectangle 9">
          <a:extLst>
            <a:ext uri="{FF2B5EF4-FFF2-40B4-BE49-F238E27FC236}">
              <a16:creationId xmlns:a16="http://schemas.microsoft.com/office/drawing/2014/main" id="{ADA2EBF4-E65A-4948-817C-2D9B98369BC3}"/>
            </a:ext>
          </a:extLst>
        </xdr:cNvPr>
        <xdr:cNvSpPr/>
      </xdr:nvSpPr>
      <xdr:spPr>
        <a:xfrm>
          <a:off x="2882265" y="60960"/>
          <a:ext cx="1196339" cy="22860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Show footnote</a:t>
          </a:r>
        </a:p>
      </xdr:txBody>
    </xdr:sp>
    <xdr:clientData/>
  </xdr:twoCellAnchor>
  <xdr:twoCellAnchor>
    <xdr:from>
      <xdr:col>4</xdr:col>
      <xdr:colOff>2636520</xdr:colOff>
      <xdr:row>0</xdr:row>
      <xdr:rowOff>76200</xdr:rowOff>
    </xdr:from>
    <xdr:to>
      <xdr:col>4</xdr:col>
      <xdr:colOff>3832859</xdr:colOff>
      <xdr:row>0</xdr:row>
      <xdr:rowOff>281940</xdr:rowOff>
    </xdr:to>
    <xdr:sp macro="[0]!GetFootnote" textlink="">
      <xdr:nvSpPr>
        <xdr:cNvPr id="4" name="Rounded Rectangle 10">
          <a:hlinkClick xmlns:r="http://schemas.openxmlformats.org/officeDocument/2006/relationships" r:id="rId1"/>
          <a:extLst>
            <a:ext uri="{FF2B5EF4-FFF2-40B4-BE49-F238E27FC236}">
              <a16:creationId xmlns:a16="http://schemas.microsoft.com/office/drawing/2014/main" id="{73C717A6-35D3-47B0-968E-7449EDB39E52}"/>
            </a:ext>
          </a:extLst>
        </xdr:cNvPr>
        <xdr:cNvSpPr/>
      </xdr:nvSpPr>
      <xdr:spPr>
        <a:xfrm>
          <a:off x="4170045" y="76200"/>
          <a:ext cx="1148714" cy="205740"/>
        </a:xfrm>
        <a:prstGeom prst="roundRect">
          <a:avLst/>
        </a:prstGeom>
        <a:gradFill>
          <a:gsLst>
            <a:gs pos="100000">
              <a:schemeClr val="bg1">
                <a:lumMod val="85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BE" sz="1000" b="1">
              <a:solidFill>
                <a:schemeClr val="tx1"/>
              </a:solidFill>
              <a:latin typeface="Arial" panose="020B0604020202020204" pitchFamily="34" charset="0"/>
              <a:cs typeface="Arial" panose="020B0604020202020204" pitchFamily="34" charset="0"/>
            </a:rPr>
            <a:t>Go to footnotes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ec.europa.eu/eurostat/web/environment/methodology"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21.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25.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ctrlProp" Target="../ctrlProps/ctrlProp29.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ctrlProp" Target="../ctrlProps/ctrlProp33.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ctrlProp" Target="../ctrlProps/ctrlProp37.x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2.vml"/><Relationship Id="rId7" Type="http://schemas.openxmlformats.org/officeDocument/2006/relationships/ctrlProp" Target="../ctrlProps/ctrlProp41.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TRO">
    <tabColor theme="4" tint="0.59999389629810485"/>
  </sheetPr>
  <dimension ref="A1:S52"/>
  <sheetViews>
    <sheetView showGridLines="0" showRowColHeaders="0" zoomScaleNormal="100" workbookViewId="0">
      <selection activeCell="G7" sqref="G7:H7"/>
    </sheetView>
  </sheetViews>
  <sheetFormatPr defaultColWidth="9.28515625" defaultRowHeight="12.75"/>
  <cols>
    <col min="1" max="1" width="3" customWidth="1"/>
    <col min="2" max="3" width="6.7109375" customWidth="1"/>
    <col min="4" max="4" width="6.42578125" customWidth="1"/>
    <col min="5" max="5" width="8.28515625" customWidth="1"/>
    <col min="6" max="6" width="4.5703125" customWidth="1"/>
    <col min="11" max="11" width="15.28515625" customWidth="1"/>
    <col min="12" max="12" width="15.5703125" customWidth="1"/>
    <col min="15" max="15" width="27.42578125" customWidth="1"/>
    <col min="16" max="16" width="9.5703125" customWidth="1"/>
  </cols>
  <sheetData>
    <row r="1" spans="1:19" ht="36" customHeight="1">
      <c r="A1" s="32"/>
      <c r="B1" s="32"/>
      <c r="C1" s="32"/>
      <c r="D1" s="32"/>
      <c r="E1" s="32"/>
      <c r="F1" s="32"/>
      <c r="G1" s="32"/>
      <c r="H1" s="32"/>
      <c r="I1" s="32"/>
      <c r="J1" s="32"/>
      <c r="K1" s="32"/>
      <c r="L1" s="32"/>
      <c r="M1" s="32"/>
      <c r="N1" s="32"/>
      <c r="O1" s="32"/>
      <c r="P1" s="32"/>
      <c r="Q1" s="33" t="s">
        <v>0</v>
      </c>
      <c r="R1" s="33" t="s">
        <v>0</v>
      </c>
      <c r="S1" s="33" t="s">
        <v>0</v>
      </c>
    </row>
    <row r="2" spans="1:19" ht="46.9" customHeight="1">
      <c r="A2" s="386" t="s">
        <v>1</v>
      </c>
      <c r="B2" s="386"/>
      <c r="C2" s="386"/>
      <c r="D2" s="386"/>
      <c r="E2" s="386"/>
      <c r="F2" s="386"/>
      <c r="G2" s="386"/>
      <c r="H2" s="386"/>
      <c r="I2" s="386"/>
      <c r="J2" s="386"/>
      <c r="K2" s="386"/>
      <c r="L2" s="386"/>
      <c r="M2" s="61">
        <v>2023</v>
      </c>
      <c r="N2" s="62"/>
      <c r="O2" s="62"/>
      <c r="P2" s="30"/>
    </row>
    <row r="3" spans="1:19" ht="26.25" customHeight="1">
      <c r="A3" s="391" t="s">
        <v>2</v>
      </c>
      <c r="B3" s="391"/>
      <c r="C3" s="391"/>
      <c r="D3" s="391"/>
      <c r="E3" s="391"/>
      <c r="F3" s="391"/>
      <c r="G3" s="391"/>
      <c r="H3" s="391"/>
      <c r="I3" s="391"/>
      <c r="J3" s="391"/>
      <c r="K3" s="391"/>
      <c r="L3" s="391"/>
      <c r="M3" s="391"/>
      <c r="N3" s="391"/>
      <c r="O3" s="391"/>
      <c r="P3" s="30"/>
    </row>
    <row r="4" spans="1:19" ht="22.9" customHeight="1">
      <c r="A4" s="55"/>
      <c r="B4" s="55"/>
      <c r="C4" s="55"/>
      <c r="D4" s="55"/>
      <c r="E4" s="55"/>
      <c r="F4" s="55"/>
      <c r="G4" s="55"/>
      <c r="H4" s="55"/>
      <c r="I4" s="55"/>
      <c r="J4" s="55"/>
      <c r="K4" s="55"/>
      <c r="L4" s="55"/>
      <c r="M4" s="55"/>
      <c r="N4" s="55"/>
      <c r="O4" s="55"/>
      <c r="P4" s="30"/>
    </row>
    <row r="5" spans="1:19" ht="25.9" customHeight="1">
      <c r="A5" s="55"/>
      <c r="B5" s="385" t="s">
        <v>3</v>
      </c>
      <c r="C5" s="381"/>
      <c r="D5" s="381"/>
      <c r="E5" s="381"/>
      <c r="F5" s="381"/>
      <c r="G5" s="381"/>
      <c r="H5" s="381"/>
      <c r="I5" s="381"/>
      <c r="J5" s="381"/>
      <c r="K5" s="381"/>
      <c r="L5" s="381"/>
      <c r="M5" s="381"/>
      <c r="N5" s="381"/>
      <c r="O5" s="381"/>
      <c r="P5" s="30"/>
    </row>
    <row r="6" spans="1:19" ht="13.5" thickBot="1">
      <c r="A6" s="392"/>
      <c r="B6" s="390"/>
      <c r="C6" s="390"/>
      <c r="D6" s="390"/>
      <c r="E6" s="390"/>
      <c r="F6" s="390"/>
      <c r="G6" s="390"/>
      <c r="H6" s="390"/>
      <c r="I6" s="390"/>
      <c r="J6" s="390"/>
      <c r="K6" s="390"/>
      <c r="L6" s="390"/>
      <c r="M6" s="390"/>
      <c r="N6" s="390"/>
      <c r="O6" s="390"/>
      <c r="P6" s="30"/>
    </row>
    <row r="7" spans="1:19" ht="13.5" thickBot="1">
      <c r="A7" s="32"/>
      <c r="B7" s="34" t="s">
        <v>4</v>
      </c>
      <c r="C7" s="34"/>
      <c r="D7" s="34"/>
      <c r="E7" s="34"/>
      <c r="F7" s="35" t="str">
        <f>IF(G7="","",LOOKUP(G7,Parameters!B29:C68))</f>
        <v>NO</v>
      </c>
      <c r="G7" s="393" t="s">
        <v>5</v>
      </c>
      <c r="H7" s="394"/>
      <c r="I7" s="32"/>
      <c r="J7" s="34"/>
      <c r="K7" s="34"/>
      <c r="L7" s="34"/>
      <c r="M7" s="34"/>
      <c r="N7" s="34"/>
      <c r="O7" s="34"/>
      <c r="P7" s="30"/>
    </row>
    <row r="8" spans="1:19" ht="29.1" customHeight="1">
      <c r="A8" s="30"/>
      <c r="B8" s="388" t="s">
        <v>6</v>
      </c>
      <c r="C8" s="388"/>
      <c r="D8" s="388"/>
      <c r="E8" s="388"/>
      <c r="F8" s="388"/>
      <c r="G8" s="388"/>
      <c r="H8" s="388"/>
      <c r="I8" s="388"/>
      <c r="J8" s="388"/>
      <c r="K8" s="389" t="str">
        <f>"30/09/"&amp;M2</f>
        <v>30/09/2023</v>
      </c>
      <c r="L8" s="389"/>
      <c r="M8" s="30"/>
      <c r="N8" s="30"/>
      <c r="O8" s="30"/>
      <c r="P8" s="30"/>
    </row>
    <row r="9" spans="1:19" ht="13.15" customHeight="1">
      <c r="A9" s="30"/>
      <c r="B9" s="390"/>
      <c r="C9" s="390"/>
      <c r="D9" s="390"/>
      <c r="E9" s="390"/>
      <c r="F9" s="390"/>
      <c r="G9" s="390"/>
      <c r="H9" s="390"/>
      <c r="I9" s="390"/>
      <c r="J9" s="390"/>
      <c r="K9" s="390"/>
      <c r="L9" s="390"/>
      <c r="M9" s="390"/>
      <c r="N9" s="390"/>
      <c r="O9" s="390"/>
      <c r="P9" s="30"/>
    </row>
    <row r="10" spans="1:19">
      <c r="A10" s="30"/>
      <c r="B10" s="388" t="s">
        <v>7</v>
      </c>
      <c r="C10" s="388"/>
      <c r="D10" s="388"/>
      <c r="E10" s="388"/>
      <c r="F10" s="388"/>
      <c r="G10" s="388"/>
      <c r="H10" s="388"/>
      <c r="I10" s="388"/>
      <c r="J10" s="388"/>
      <c r="K10" s="388"/>
      <c r="L10" s="388"/>
      <c r="M10" s="388"/>
      <c r="N10" s="388"/>
      <c r="O10" s="388"/>
      <c r="P10" s="30"/>
    </row>
    <row r="11" spans="1:19">
      <c r="A11" s="30"/>
      <c r="B11" s="387"/>
      <c r="C11" s="387"/>
      <c r="D11" s="387"/>
      <c r="E11" s="387"/>
      <c r="F11" s="387"/>
      <c r="G11" s="387"/>
      <c r="H11" s="387"/>
      <c r="I11" s="387"/>
      <c r="J11" s="387"/>
      <c r="K11" s="387"/>
      <c r="L11" s="387"/>
      <c r="M11" s="387"/>
      <c r="N11" s="387"/>
      <c r="O11" s="387"/>
      <c r="P11" s="56"/>
    </row>
    <row r="12" spans="1:19">
      <c r="A12" s="30"/>
      <c r="B12" s="32" t="s">
        <v>8</v>
      </c>
      <c r="C12" s="30"/>
      <c r="D12" s="30"/>
      <c r="E12" s="30"/>
      <c r="F12" s="30" t="s">
        <v>9</v>
      </c>
      <c r="G12" s="30"/>
      <c r="H12" s="30"/>
      <c r="I12" s="30"/>
      <c r="J12" s="30"/>
      <c r="K12" s="30"/>
      <c r="L12" s="30"/>
      <c r="M12" s="30"/>
      <c r="N12" s="30"/>
      <c r="O12" s="30"/>
      <c r="P12" s="30"/>
    </row>
    <row r="13" spans="1:19">
      <c r="A13" s="30"/>
      <c r="B13" s="32" t="s">
        <v>10</v>
      </c>
      <c r="C13" s="30"/>
      <c r="D13" s="30"/>
      <c r="E13" s="30"/>
      <c r="F13" s="30"/>
      <c r="G13" s="30"/>
      <c r="H13" s="30"/>
      <c r="I13" s="30"/>
      <c r="J13" s="30"/>
      <c r="K13" s="30"/>
      <c r="L13" s="30"/>
      <c r="M13" s="30"/>
      <c r="N13" s="30"/>
      <c r="O13" s="30"/>
      <c r="P13" s="30"/>
    </row>
    <row r="14" spans="1:19">
      <c r="A14" s="30"/>
      <c r="B14" s="106" t="s">
        <v>11</v>
      </c>
      <c r="C14" s="58"/>
      <c r="D14" s="58"/>
      <c r="E14" s="58"/>
      <c r="F14" s="57"/>
      <c r="G14" s="57"/>
      <c r="H14" s="57"/>
      <c r="I14" s="57"/>
      <c r="J14" s="57"/>
      <c r="K14" s="57"/>
      <c r="L14" s="57"/>
      <c r="M14" s="57"/>
      <c r="N14" s="57"/>
      <c r="O14" s="57"/>
      <c r="P14" s="30"/>
    </row>
    <row r="15" spans="1:19" ht="12.75" customHeight="1">
      <c r="A15" s="30"/>
      <c r="B15" s="30"/>
      <c r="C15" s="30"/>
      <c r="D15" s="30"/>
      <c r="E15" s="30"/>
      <c r="F15" s="30"/>
      <c r="G15" s="30"/>
      <c r="H15" s="30"/>
      <c r="I15" s="30"/>
      <c r="J15" s="30"/>
      <c r="K15" s="30"/>
      <c r="L15" s="30"/>
      <c r="M15" s="30"/>
      <c r="N15" s="30"/>
      <c r="O15" s="30"/>
      <c r="P15" s="30"/>
    </row>
    <row r="16" spans="1:19" ht="16.149999999999999" customHeight="1">
      <c r="A16" s="30"/>
      <c r="B16" s="381" t="s">
        <v>12</v>
      </c>
      <c r="C16" s="381"/>
      <c r="D16" s="381"/>
      <c r="E16" s="381"/>
      <c r="F16" s="381"/>
      <c r="G16" s="381"/>
      <c r="H16" s="381"/>
      <c r="I16" s="381"/>
      <c r="J16" s="381"/>
      <c r="K16" s="381"/>
      <c r="L16" s="381"/>
      <c r="M16" s="381"/>
      <c r="N16" s="381"/>
      <c r="O16" s="381"/>
      <c r="P16" s="30"/>
    </row>
    <row r="17" spans="1:16">
      <c r="A17" s="30"/>
      <c r="B17" s="60"/>
      <c r="C17" s="60"/>
      <c r="D17" s="60"/>
      <c r="E17" s="60"/>
      <c r="F17" s="60"/>
      <c r="G17" s="60"/>
      <c r="H17" s="60"/>
      <c r="I17" s="60"/>
      <c r="J17" s="60"/>
      <c r="K17" s="60"/>
      <c r="L17" s="60"/>
      <c r="M17" s="60"/>
      <c r="N17" s="60"/>
      <c r="O17" s="60"/>
      <c r="P17" s="30"/>
    </row>
    <row r="18" spans="1:16" ht="12.75" customHeight="1">
      <c r="A18" s="30"/>
      <c r="B18" s="381" t="s">
        <v>13</v>
      </c>
      <c r="C18" s="381"/>
      <c r="D18" s="381"/>
      <c r="E18" s="381"/>
      <c r="F18" s="381"/>
      <c r="G18" s="381"/>
      <c r="H18" s="381"/>
      <c r="I18" s="381"/>
      <c r="J18" s="381"/>
      <c r="K18" s="381"/>
      <c r="L18" s="381"/>
      <c r="M18" s="381"/>
      <c r="N18" s="381"/>
      <c r="O18" s="381"/>
      <c r="P18" s="30"/>
    </row>
    <row r="19" spans="1:16">
      <c r="A19" s="30"/>
      <c r="B19" s="381"/>
      <c r="C19" s="381"/>
      <c r="D19" s="381"/>
      <c r="E19" s="381"/>
      <c r="F19" s="381"/>
      <c r="G19" s="381"/>
      <c r="H19" s="381"/>
      <c r="I19" s="381"/>
      <c r="J19" s="381"/>
      <c r="K19" s="381"/>
      <c r="L19" s="381"/>
      <c r="M19" s="381"/>
      <c r="N19" s="381"/>
      <c r="O19" s="381"/>
      <c r="P19" s="30"/>
    </row>
    <row r="20" spans="1:16">
      <c r="A20" s="30"/>
      <c r="B20" s="30"/>
      <c r="C20" s="30"/>
      <c r="D20" s="59"/>
      <c r="E20" s="59"/>
      <c r="F20" s="59"/>
      <c r="G20" s="59"/>
      <c r="H20" s="59"/>
      <c r="I20" s="59"/>
      <c r="J20" s="59"/>
      <c r="K20" s="59"/>
      <c r="L20" s="59"/>
      <c r="M20" s="59"/>
      <c r="N20" s="59"/>
      <c r="O20" s="59"/>
      <c r="P20" s="30"/>
    </row>
    <row r="21" spans="1:16" ht="12.75" customHeight="1">
      <c r="A21" s="30"/>
      <c r="B21" s="34"/>
      <c r="C21" s="30"/>
      <c r="D21" s="30"/>
      <c r="E21" s="30"/>
      <c r="F21" s="30"/>
      <c r="G21" s="30"/>
      <c r="H21" s="30"/>
      <c r="I21" s="30"/>
      <c r="J21" s="30"/>
      <c r="K21" s="30"/>
      <c r="L21" s="30"/>
      <c r="M21" s="30"/>
      <c r="N21" s="30"/>
      <c r="O21" s="30"/>
      <c r="P21" s="30"/>
    </row>
    <row r="22" spans="1:16">
      <c r="A22" s="30"/>
      <c r="B22" s="382" t="s">
        <v>14</v>
      </c>
      <c r="C22" s="382"/>
      <c r="D22" s="382"/>
      <c r="E22" s="382"/>
      <c r="F22" s="382"/>
      <c r="G22" s="382"/>
      <c r="H22" s="382"/>
      <c r="I22" s="382"/>
      <c r="J22" s="382"/>
      <c r="K22" s="382"/>
      <c r="L22" s="382"/>
      <c r="M22" s="382"/>
      <c r="N22" s="382"/>
      <c r="O22" s="382"/>
      <c r="P22" s="30"/>
    </row>
    <row r="23" spans="1:16" ht="7.15" customHeight="1">
      <c r="A23" s="30"/>
      <c r="B23" s="382"/>
      <c r="C23" s="382"/>
      <c r="D23" s="382"/>
      <c r="E23" s="382"/>
      <c r="F23" s="382"/>
      <c r="G23" s="382"/>
      <c r="H23" s="382"/>
      <c r="I23" s="382"/>
      <c r="J23" s="382"/>
      <c r="K23" s="382"/>
      <c r="L23" s="382"/>
      <c r="M23" s="382"/>
      <c r="N23" s="382"/>
      <c r="O23" s="382"/>
      <c r="P23" s="30"/>
    </row>
    <row r="24" spans="1:16">
      <c r="A24" s="30" t="s">
        <v>9</v>
      </c>
      <c r="B24" s="30"/>
      <c r="C24" s="383"/>
      <c r="D24" s="383"/>
      <c r="E24" s="383"/>
      <c r="F24" s="383"/>
      <c r="G24" s="383"/>
      <c r="H24" s="383"/>
      <c r="I24" s="383"/>
      <c r="J24" s="383"/>
      <c r="K24" s="383"/>
      <c r="L24" s="383"/>
      <c r="M24" s="383"/>
      <c r="N24" s="383"/>
      <c r="O24" s="383"/>
      <c r="P24" s="30"/>
    </row>
    <row r="25" spans="1:16">
      <c r="A25" s="30"/>
      <c r="B25" s="30"/>
      <c r="C25" s="384"/>
      <c r="D25" s="384"/>
      <c r="E25" s="384"/>
      <c r="F25" s="384"/>
      <c r="G25" s="384"/>
      <c r="H25" s="384"/>
      <c r="I25" s="384"/>
      <c r="J25" s="384"/>
      <c r="K25" s="384"/>
      <c r="L25" s="384"/>
      <c r="M25" s="384"/>
      <c r="N25" s="384"/>
      <c r="O25" s="384"/>
      <c r="P25" s="30"/>
    </row>
    <row r="26" spans="1:16">
      <c r="A26" s="30"/>
      <c r="B26" s="30"/>
      <c r="C26" s="384"/>
      <c r="D26" s="384"/>
      <c r="E26" s="384"/>
      <c r="F26" s="384"/>
      <c r="G26" s="384"/>
      <c r="H26" s="384"/>
      <c r="I26" s="384"/>
      <c r="J26" s="384"/>
      <c r="K26" s="384"/>
      <c r="L26" s="384"/>
      <c r="M26" s="384"/>
      <c r="N26" s="384"/>
      <c r="O26" s="384"/>
      <c r="P26" s="30"/>
    </row>
    <row r="27" spans="1:16">
      <c r="A27" s="30"/>
      <c r="B27" s="30"/>
      <c r="C27" s="384"/>
      <c r="D27" s="384"/>
      <c r="E27" s="384"/>
      <c r="F27" s="384"/>
      <c r="G27" s="384"/>
      <c r="H27" s="384"/>
      <c r="I27" s="384"/>
      <c r="J27" s="384"/>
      <c r="K27" s="384"/>
      <c r="L27" s="384"/>
      <c r="M27" s="384"/>
      <c r="N27" s="384"/>
      <c r="O27" s="384"/>
      <c r="P27" s="30"/>
    </row>
    <row r="28" spans="1:16">
      <c r="A28" s="30"/>
      <c r="B28" s="30"/>
      <c r="C28" s="384"/>
      <c r="D28" s="384"/>
      <c r="E28" s="384"/>
      <c r="F28" s="384"/>
      <c r="G28" s="384"/>
      <c r="H28" s="384"/>
      <c r="I28" s="384"/>
      <c r="J28" s="384"/>
      <c r="K28" s="384"/>
      <c r="L28" s="384"/>
      <c r="M28" s="384"/>
      <c r="N28" s="384"/>
      <c r="O28" s="384"/>
      <c r="P28" s="30"/>
    </row>
    <row r="29" spans="1:16" ht="12.75" customHeight="1">
      <c r="A29" s="32"/>
      <c r="B29" s="32"/>
      <c r="C29" s="32"/>
      <c r="D29" s="32"/>
      <c r="E29" s="32"/>
      <c r="F29" s="8"/>
      <c r="G29" s="8"/>
      <c r="H29" s="8"/>
      <c r="I29" s="8"/>
      <c r="J29" s="8"/>
      <c r="K29" s="8"/>
      <c r="L29" s="8"/>
      <c r="M29" s="8"/>
      <c r="N29" s="8"/>
      <c r="O29" s="8"/>
      <c r="P29" s="30"/>
    </row>
    <row r="30" spans="1:16" ht="12.75" customHeight="1">
      <c r="A30" s="32"/>
      <c r="B30" s="32"/>
      <c r="C30" s="32"/>
      <c r="D30" s="32"/>
      <c r="E30" s="32"/>
      <c r="F30" s="8"/>
      <c r="G30" s="8"/>
      <c r="H30" s="8"/>
      <c r="I30" s="8"/>
      <c r="J30" s="8"/>
      <c r="K30" s="8"/>
      <c r="L30" s="8"/>
      <c r="M30" s="8"/>
      <c r="N30" s="8"/>
      <c r="O30" s="8"/>
      <c r="P30" s="30"/>
    </row>
    <row r="31" spans="1:16">
      <c r="A31" s="32"/>
      <c r="B31" s="30"/>
      <c r="C31" s="30"/>
      <c r="D31" s="30"/>
      <c r="E31" s="30"/>
      <c r="F31" s="30"/>
      <c r="G31" s="30"/>
      <c r="H31" s="30"/>
      <c r="I31" s="30"/>
      <c r="J31" s="30"/>
      <c r="K31" s="30"/>
      <c r="L31" s="30"/>
      <c r="M31" s="30"/>
      <c r="N31" s="30"/>
      <c r="O31" s="30"/>
      <c r="P31" s="30"/>
    </row>
    <row r="32" spans="1:16">
      <c r="A32" s="36"/>
      <c r="B32" s="36"/>
      <c r="C32" s="36"/>
      <c r="D32" s="36"/>
      <c r="E32" s="36"/>
      <c r="F32" s="36"/>
      <c r="G32" s="36"/>
      <c r="H32" s="36"/>
      <c r="I32" s="36"/>
      <c r="J32" s="36"/>
      <c r="K32" s="36"/>
      <c r="L32" s="36"/>
      <c r="M32" s="36"/>
      <c r="N32" s="36"/>
      <c r="O32" s="36"/>
    </row>
    <row r="33" spans="1:15">
      <c r="A33" s="36"/>
      <c r="B33" s="36"/>
      <c r="C33" s="36"/>
      <c r="D33" s="36"/>
      <c r="E33" s="36"/>
      <c r="F33" s="36"/>
      <c r="G33" s="36"/>
      <c r="H33" s="36"/>
      <c r="I33" s="36"/>
      <c r="J33" s="36"/>
      <c r="K33" s="36"/>
      <c r="L33" s="36"/>
      <c r="M33" s="36"/>
      <c r="N33" s="36"/>
      <c r="O33" s="36"/>
    </row>
    <row r="34" spans="1:15">
      <c r="A34" s="36"/>
      <c r="B34" s="36"/>
    </row>
    <row r="35" spans="1:15">
      <c r="A35" s="36"/>
      <c r="B35" s="36"/>
    </row>
    <row r="36" spans="1:15">
      <c r="A36" s="36"/>
      <c r="B36" s="36"/>
    </row>
    <row r="37" spans="1:15">
      <c r="A37" s="36"/>
      <c r="B37" s="36"/>
    </row>
    <row r="38" spans="1:15">
      <c r="A38" s="36"/>
      <c r="B38" s="36"/>
    </row>
    <row r="39" spans="1:15">
      <c r="A39" s="36"/>
      <c r="B39" s="36"/>
      <c r="C39" s="36"/>
      <c r="D39" s="36"/>
      <c r="E39" s="36"/>
      <c r="F39" s="36"/>
      <c r="G39" s="36"/>
      <c r="H39" s="36"/>
      <c r="I39" s="36"/>
      <c r="J39" s="36"/>
      <c r="K39" s="36"/>
      <c r="L39" s="36"/>
      <c r="M39" s="36"/>
      <c r="N39" s="36"/>
      <c r="O39" s="36"/>
    </row>
    <row r="40" spans="1:15">
      <c r="A40" s="36"/>
      <c r="B40" s="36"/>
      <c r="C40" s="36"/>
      <c r="D40" s="36"/>
      <c r="E40" s="36"/>
      <c r="F40" s="36"/>
      <c r="G40" s="36"/>
      <c r="H40" s="36"/>
      <c r="I40" s="36"/>
      <c r="J40" s="36"/>
      <c r="K40" s="36"/>
      <c r="L40" s="36"/>
      <c r="M40" s="36"/>
      <c r="N40" s="36"/>
      <c r="O40" s="36"/>
    </row>
    <row r="41" spans="1:15">
      <c r="A41" s="36"/>
      <c r="B41" s="36"/>
      <c r="C41" s="36"/>
      <c r="D41" s="36"/>
      <c r="E41" s="36"/>
      <c r="F41" s="36"/>
      <c r="G41" s="36"/>
      <c r="H41" s="36"/>
      <c r="I41" s="36"/>
      <c r="J41" s="36"/>
      <c r="K41" s="36"/>
      <c r="L41" s="36"/>
      <c r="M41" s="36"/>
      <c r="N41" s="36"/>
      <c r="O41" s="36"/>
    </row>
    <row r="42" spans="1:15">
      <c r="A42" s="36"/>
      <c r="B42" s="36"/>
      <c r="C42" s="36"/>
      <c r="D42" s="36"/>
      <c r="E42" s="36"/>
      <c r="F42" s="36"/>
      <c r="G42" s="36"/>
      <c r="H42" s="36"/>
      <c r="I42" s="36"/>
      <c r="J42" s="36"/>
      <c r="K42" s="36"/>
      <c r="L42" s="36"/>
      <c r="M42" s="36"/>
      <c r="N42" s="36"/>
      <c r="O42" s="36"/>
    </row>
    <row r="43" spans="1:15">
      <c r="A43" s="36"/>
      <c r="B43" s="36"/>
      <c r="C43" s="36"/>
      <c r="D43" s="36"/>
      <c r="E43" s="36"/>
      <c r="F43" s="36"/>
      <c r="G43" s="36"/>
      <c r="H43" s="36"/>
      <c r="I43" s="36"/>
      <c r="J43" s="36"/>
      <c r="K43" s="36"/>
      <c r="L43" s="36"/>
      <c r="M43" s="36"/>
      <c r="N43" s="36"/>
      <c r="O43" s="36"/>
    </row>
    <row r="44" spans="1:15">
      <c r="A44" s="36"/>
      <c r="B44" s="36"/>
      <c r="C44" s="36"/>
      <c r="D44" s="36"/>
      <c r="E44" s="36"/>
      <c r="F44" s="36"/>
      <c r="G44" s="36"/>
      <c r="H44" s="36"/>
      <c r="I44" s="36"/>
      <c r="J44" s="36"/>
      <c r="K44" s="36"/>
      <c r="L44" s="36"/>
      <c r="M44" s="36"/>
      <c r="N44" s="36"/>
      <c r="O44" s="36"/>
    </row>
    <row r="45" spans="1:15">
      <c r="A45" s="36"/>
      <c r="B45" s="36"/>
      <c r="C45" s="36"/>
      <c r="D45" s="36"/>
      <c r="E45" s="36"/>
      <c r="F45" s="36"/>
      <c r="G45" s="36"/>
      <c r="H45" s="36"/>
      <c r="I45" s="36"/>
      <c r="J45" s="36"/>
      <c r="K45" s="36"/>
      <c r="L45" s="36"/>
      <c r="M45" s="36"/>
      <c r="N45" s="36"/>
      <c r="O45" s="36"/>
    </row>
    <row r="46" spans="1:15">
      <c r="A46" s="36"/>
      <c r="B46" s="36"/>
      <c r="C46" s="36"/>
      <c r="D46" s="36"/>
      <c r="E46" s="36"/>
      <c r="F46" s="36"/>
      <c r="G46" s="36"/>
      <c r="H46" s="36"/>
      <c r="I46" s="36"/>
      <c r="J46" s="36"/>
      <c r="K46" s="36"/>
      <c r="L46" s="36"/>
      <c r="M46" s="36"/>
      <c r="N46" s="36"/>
      <c r="O46" s="36"/>
    </row>
    <row r="47" spans="1:15">
      <c r="A47" s="36"/>
      <c r="B47" s="36"/>
      <c r="C47" s="36"/>
      <c r="D47" s="36"/>
      <c r="E47" s="36"/>
      <c r="F47" s="36"/>
      <c r="G47" s="36"/>
      <c r="H47" s="36"/>
      <c r="I47" s="36"/>
      <c r="J47" s="36"/>
      <c r="K47" s="36"/>
      <c r="L47" s="36"/>
      <c r="M47" s="36"/>
      <c r="N47" s="36"/>
      <c r="O47" s="36"/>
    </row>
    <row r="48" spans="1:15">
      <c r="A48" s="36"/>
      <c r="B48" s="36"/>
      <c r="C48" s="36"/>
      <c r="D48" s="36"/>
      <c r="E48" s="36"/>
      <c r="F48" s="36"/>
      <c r="G48" s="36"/>
      <c r="H48" s="36"/>
      <c r="I48" s="36"/>
      <c r="J48" s="36"/>
      <c r="K48" s="36"/>
      <c r="L48" s="36"/>
      <c r="M48" s="36"/>
      <c r="N48" s="36"/>
      <c r="O48" s="36"/>
    </row>
    <row r="49" spans="1:15">
      <c r="A49" s="36"/>
      <c r="B49" s="36"/>
      <c r="C49" s="36"/>
      <c r="D49" s="36"/>
      <c r="E49" s="36"/>
      <c r="F49" s="36"/>
      <c r="G49" s="36"/>
      <c r="H49" s="36"/>
      <c r="I49" s="36"/>
      <c r="J49" s="36"/>
      <c r="K49" s="36"/>
      <c r="L49" s="36"/>
      <c r="M49" s="36"/>
      <c r="N49" s="36"/>
      <c r="O49" s="36"/>
    </row>
    <row r="50" spans="1:15">
      <c r="A50" s="36"/>
      <c r="B50" s="36"/>
      <c r="C50" s="36"/>
      <c r="D50" s="36"/>
      <c r="E50" s="36"/>
      <c r="F50" s="36"/>
      <c r="G50" s="36"/>
      <c r="H50" s="36"/>
      <c r="I50" s="36"/>
      <c r="J50" s="36"/>
      <c r="K50" s="36"/>
      <c r="L50" s="36"/>
      <c r="M50" s="36"/>
      <c r="N50" s="36"/>
      <c r="O50" s="36"/>
    </row>
    <row r="51" spans="1:15">
      <c r="A51" s="36"/>
      <c r="B51" s="36"/>
      <c r="C51" s="36"/>
      <c r="D51" s="36"/>
      <c r="E51" s="36"/>
      <c r="F51" s="36"/>
      <c r="G51" s="36"/>
      <c r="H51" s="36"/>
      <c r="I51" s="36"/>
      <c r="J51" s="36"/>
      <c r="K51" s="36"/>
      <c r="L51" s="36"/>
      <c r="M51" s="36"/>
      <c r="N51" s="36"/>
      <c r="O51" s="36"/>
    </row>
    <row r="52" spans="1:15">
      <c r="A52" s="36"/>
      <c r="B52" s="36"/>
      <c r="C52" s="36"/>
      <c r="D52" s="36"/>
      <c r="E52" s="36"/>
      <c r="F52" s="36"/>
      <c r="G52" s="36"/>
      <c r="H52" s="36"/>
      <c r="I52" s="36"/>
      <c r="J52" s="36"/>
      <c r="K52" s="36"/>
      <c r="L52" s="36"/>
      <c r="M52" s="36"/>
      <c r="N52" s="36"/>
      <c r="O52" s="36"/>
    </row>
  </sheetData>
  <mergeCells count="18">
    <mergeCell ref="B5:O5"/>
    <mergeCell ref="A2:L2"/>
    <mergeCell ref="B11:O11"/>
    <mergeCell ref="B16:O16"/>
    <mergeCell ref="B10:O10"/>
    <mergeCell ref="B8:J8"/>
    <mergeCell ref="K8:L8"/>
    <mergeCell ref="B9:O9"/>
    <mergeCell ref="A3:O3"/>
    <mergeCell ref="A6:O6"/>
    <mergeCell ref="G7:H7"/>
    <mergeCell ref="B18:O19"/>
    <mergeCell ref="B22:O23"/>
    <mergeCell ref="C24:O24"/>
    <mergeCell ref="C28:O28"/>
    <mergeCell ref="C27:O27"/>
    <mergeCell ref="C26:O26"/>
    <mergeCell ref="C25:O25"/>
  </mergeCells>
  <phoneticPr fontId="12" type="noConversion"/>
  <pageMargins left="0.75" right="0.75" top="1" bottom="1" header="0.4921259845" footer="0.4921259845"/>
  <pageSetup paperSize="9" scale="5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CHECKALL">
              <controlPr defaultSize="0" print="0" autoFill="0" autoPict="0" macro="[0]!CheckAllSheets">
                <anchor moveWithCells="1" sizeWithCells="1">
                  <from>
                    <xdr:col>14</xdr:col>
                    <xdr:colOff>742950</xdr:colOff>
                    <xdr:row>0</xdr:row>
                    <xdr:rowOff>438150</xdr:rowOff>
                  </from>
                  <to>
                    <xdr:col>14</xdr:col>
                    <xdr:colOff>1581150</xdr:colOff>
                    <xdr:row>2</xdr:row>
                    <xdr:rowOff>0</xdr:rowOff>
                  </to>
                </anchor>
              </controlPr>
            </control>
          </mc:Choice>
        </mc:AlternateContent>
        <mc:AlternateContent xmlns:mc="http://schemas.openxmlformats.org/markup-compatibility/2006">
          <mc:Choice Requires="x14">
            <control shapeId="281603" r:id="rId5" name="Check Box 3">
              <controlPr defaultSize="0" autoFill="0" autoLine="0" autoPict="0" altText="Enable Automatics Checks on Closing Workbook">
                <anchor moveWithCells="1">
                  <from>
                    <xdr:col>13</xdr:col>
                    <xdr:colOff>476250</xdr:colOff>
                    <xdr:row>0</xdr:row>
                    <xdr:rowOff>95250</xdr:rowOff>
                  </from>
                  <to>
                    <xdr:col>16</xdr:col>
                    <xdr:colOff>28575</xdr:colOff>
                    <xdr:row>0</xdr:row>
                    <xdr:rowOff>295275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497" yWindow="713" count="1">
        <x14:dataValidation type="list" allowBlank="1" showInputMessage="1" showErrorMessage="1" error="Input data is not valid! Please select one country from the list." prompt="Select country" xr:uid="{00000000-0002-0000-0000-000000000000}">
          <x14:formula1>
            <xm:f>Parameters!$B$29:$B$68</xm:f>
          </x14:formula1>
          <xm:sqref>G7:H7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TRUCT">
    <tabColor theme="4" tint="0.59999389629810485"/>
    <pageSetUpPr fitToPage="1"/>
  </sheetPr>
  <dimension ref="A1:I40"/>
  <sheetViews>
    <sheetView showGridLines="0" showRowColHeaders="0" showOutlineSymbols="0" zoomScaleNormal="100" workbookViewId="0">
      <selection activeCell="K28" sqref="K28"/>
    </sheetView>
  </sheetViews>
  <sheetFormatPr defaultColWidth="9.28515625" defaultRowHeight="12.75"/>
  <cols>
    <col min="1" max="1" width="2" customWidth="1"/>
    <col min="2" max="2" width="2.7109375" customWidth="1"/>
    <col min="3" max="3" width="20.140625" customWidth="1"/>
    <col min="4" max="4" width="55.5703125" customWidth="1"/>
    <col min="5" max="5" width="52.28515625" customWidth="1"/>
    <col min="6" max="6" width="51" customWidth="1"/>
    <col min="7" max="8" width="1.28515625" customWidth="1"/>
  </cols>
  <sheetData>
    <row r="1" spans="1:9" ht="36" customHeight="1">
      <c r="A1" s="256"/>
      <c r="B1" s="257"/>
      <c r="C1" s="256"/>
      <c r="D1" s="256"/>
      <c r="E1" s="256"/>
      <c r="F1" s="256"/>
      <c r="G1" s="256"/>
      <c r="H1" s="256"/>
      <c r="I1" s="256"/>
    </row>
    <row r="2" spans="1:9" ht="39" customHeight="1">
      <c r="A2" s="399" t="str">
        <f>"Air Emissions Accounts Questionnaire "&amp;intro!M2</f>
        <v>Air Emissions Accounts Questionnaire 2023</v>
      </c>
      <c r="B2" s="399"/>
      <c r="C2" s="399"/>
      <c r="D2" s="399"/>
      <c r="E2" s="399"/>
      <c r="F2" s="399"/>
      <c r="G2" s="399"/>
      <c r="H2" s="399"/>
      <c r="I2" s="399"/>
    </row>
    <row r="3" spans="1:9" ht="18" customHeight="1">
      <c r="A3" s="398"/>
      <c r="B3" s="398"/>
      <c r="C3" s="398"/>
      <c r="D3" s="398"/>
      <c r="E3" s="398"/>
      <c r="F3" s="398"/>
      <c r="G3" s="398"/>
      <c r="H3" s="398"/>
      <c r="I3" s="398"/>
    </row>
    <row r="4" spans="1:9" ht="25.15" customHeight="1">
      <c r="A4" s="400" t="s">
        <v>15</v>
      </c>
      <c r="B4" s="400"/>
      <c r="C4" s="400"/>
      <c r="D4" s="400"/>
      <c r="E4" s="400"/>
      <c r="F4" s="400"/>
      <c r="G4" s="400"/>
      <c r="H4" s="400"/>
      <c r="I4" s="400"/>
    </row>
    <row r="5" spans="1:9" ht="13.15" hidden="1" customHeight="1">
      <c r="A5" s="256"/>
      <c r="B5" s="256"/>
      <c r="C5" s="256"/>
      <c r="D5" s="256"/>
      <c r="E5" s="256"/>
      <c r="F5" s="258" t="b">
        <v>0</v>
      </c>
      <c r="G5" s="256"/>
      <c r="H5" s="256"/>
      <c r="I5" s="256"/>
    </row>
    <row r="6" spans="1:9">
      <c r="A6" s="256"/>
      <c r="B6" s="259" t="str">
        <f>"Overview of the "&amp;intro!M2&amp;" electronic questionnaire Air Emissions Accounts"</f>
        <v>Overview of the 2023 electronic questionnaire Air Emissions Accounts</v>
      </c>
      <c r="C6" s="256"/>
      <c r="D6" s="256"/>
      <c r="E6" s="256"/>
      <c r="F6" s="256"/>
      <c r="G6" s="256"/>
      <c r="H6" s="256"/>
      <c r="I6" s="256"/>
    </row>
    <row r="7" spans="1:9" ht="13.5" hidden="1" thickBot="1">
      <c r="A7" s="256"/>
      <c r="B7" s="257"/>
      <c r="C7" s="256"/>
      <c r="D7" s="256"/>
      <c r="E7" s="28" t="s">
        <v>16</v>
      </c>
      <c r="F7" s="29" t="s">
        <v>17</v>
      </c>
      <c r="G7" s="28"/>
      <c r="H7" s="28"/>
      <c r="I7" s="256"/>
    </row>
    <row r="8" spans="1:9" ht="13.5" hidden="1" thickBot="1">
      <c r="A8" s="256"/>
      <c r="B8" s="257"/>
      <c r="C8" s="256"/>
      <c r="D8" s="256"/>
      <c r="E8" s="28" t="s">
        <v>18</v>
      </c>
      <c r="F8" s="29" t="s">
        <v>19</v>
      </c>
      <c r="G8" s="256"/>
      <c r="H8" s="256"/>
      <c r="I8" s="256"/>
    </row>
    <row r="9" spans="1:9" hidden="1">
      <c r="A9" s="256"/>
      <c r="B9" s="257"/>
      <c r="C9" s="256"/>
      <c r="D9" s="256"/>
      <c r="E9" s="256"/>
      <c r="F9" s="256"/>
      <c r="G9" s="256"/>
      <c r="H9" s="256"/>
      <c r="I9" s="256"/>
    </row>
    <row r="10" spans="1:9">
      <c r="A10" s="256"/>
      <c r="B10" s="396" t="s">
        <v>20</v>
      </c>
      <c r="C10" s="397"/>
      <c r="D10" s="260" t="s">
        <v>21</v>
      </c>
      <c r="E10" s="260" t="s">
        <v>22</v>
      </c>
      <c r="F10" s="260" t="s">
        <v>23</v>
      </c>
      <c r="G10" s="256"/>
      <c r="H10" s="256"/>
      <c r="I10" s="256"/>
    </row>
    <row r="11" spans="1:9" ht="30" customHeight="1">
      <c r="A11" s="256"/>
      <c r="B11" s="178">
        <v>1</v>
      </c>
      <c r="C11" s="212" t="s">
        <v>24</v>
      </c>
      <c r="D11" s="213" t="str">
        <f>"Air Emissions Accounts – Eurostat questionnaire "&amp;intro!M2&amp;" – Introduction"</f>
        <v>Air Emissions Accounts – Eurostat questionnaire 2023 – Introduction</v>
      </c>
      <c r="E11" s="213" t="str">
        <f>"General information about the Eurostat "&amp;intro!M2&amp;" collection of Air Emissions Accounts"</f>
        <v>General information about the Eurostat 2023 collection of Air Emissions Accounts</v>
      </c>
      <c r="F11" s="213" t="s">
        <v>25</v>
      </c>
      <c r="G11" s="256"/>
      <c r="H11" s="256"/>
      <c r="I11" s="256"/>
    </row>
    <row r="12" spans="1:9" ht="30" customHeight="1">
      <c r="A12" s="256"/>
      <c r="B12" s="178">
        <f>B11+1</f>
        <v>2</v>
      </c>
      <c r="C12" s="212" t="s">
        <v>26</v>
      </c>
      <c r="D12" s="213" t="s">
        <v>27</v>
      </c>
      <c r="E12" s="261" t="s">
        <v>28</v>
      </c>
      <c r="F12" s="213" t="s">
        <v>25</v>
      </c>
      <c r="G12" s="256"/>
      <c r="H12" s="256"/>
      <c r="I12" s="256"/>
    </row>
    <row r="13" spans="1:9" ht="33.6" customHeight="1">
      <c r="A13" s="256"/>
      <c r="B13" s="178">
        <f>B12+1</f>
        <v>3</v>
      </c>
      <c r="C13" s="212" t="s">
        <v>29</v>
      </c>
      <c r="D13" s="213" t="s">
        <v>30</v>
      </c>
      <c r="E13" s="213" t="s">
        <v>31</v>
      </c>
      <c r="F13" s="262" t="s">
        <v>25</v>
      </c>
      <c r="G13" s="256"/>
      <c r="H13" s="256"/>
      <c r="I13" s="256"/>
    </row>
    <row r="14" spans="1:9" ht="33.6" customHeight="1">
      <c r="A14" s="256"/>
      <c r="B14" s="178">
        <f t="shared" ref="B14:B36" si="0">B13+1</f>
        <v>4</v>
      </c>
      <c r="C14" s="212" t="s">
        <v>32</v>
      </c>
      <c r="D14" s="213" t="s">
        <v>33</v>
      </c>
      <c r="E14" s="213" t="s">
        <v>34</v>
      </c>
      <c r="F14" s="262" t="s">
        <v>25</v>
      </c>
      <c r="G14" s="256"/>
      <c r="H14" s="256"/>
      <c r="I14" s="256"/>
    </row>
    <row r="15" spans="1:9" ht="33.6" customHeight="1">
      <c r="A15" s="256"/>
      <c r="B15" s="178">
        <f t="shared" si="0"/>
        <v>5</v>
      </c>
      <c r="C15" s="212" t="s">
        <v>35</v>
      </c>
      <c r="D15" s="213" t="s">
        <v>36</v>
      </c>
      <c r="E15" s="213" t="s">
        <v>37</v>
      </c>
      <c r="F15" s="262" t="s">
        <v>25</v>
      </c>
      <c r="G15" s="256"/>
      <c r="H15" s="256"/>
      <c r="I15" s="256"/>
    </row>
    <row r="16" spans="1:9" ht="65.45" customHeight="1">
      <c r="A16" s="256"/>
      <c r="B16" s="178">
        <f t="shared" si="0"/>
        <v>6</v>
      </c>
      <c r="C16" s="212" t="s">
        <v>38</v>
      </c>
      <c r="D16" s="213" t="s">
        <v>39</v>
      </c>
      <c r="E16" s="213" t="s">
        <v>40</v>
      </c>
      <c r="F16" s="262" t="s">
        <v>25</v>
      </c>
      <c r="G16" s="256"/>
      <c r="H16" s="256"/>
      <c r="I16" s="256"/>
    </row>
    <row r="17" spans="1:9" ht="78" customHeight="1">
      <c r="A17" s="256"/>
      <c r="B17" s="178">
        <f t="shared" si="0"/>
        <v>7</v>
      </c>
      <c r="C17" s="212" t="s">
        <v>41</v>
      </c>
      <c r="D17" s="213" t="s">
        <v>42</v>
      </c>
      <c r="E17" s="213" t="s">
        <v>43</v>
      </c>
      <c r="F17" s="262" t="s">
        <v>44</v>
      </c>
      <c r="G17" s="256"/>
      <c r="H17" s="256"/>
      <c r="I17" s="256"/>
    </row>
    <row r="18" spans="1:9" ht="78" customHeight="1">
      <c r="A18" s="256"/>
      <c r="B18" s="178">
        <f t="shared" si="0"/>
        <v>8</v>
      </c>
      <c r="C18" s="179" t="s">
        <v>45</v>
      </c>
      <c r="D18" s="213" t="s">
        <v>46</v>
      </c>
      <c r="E18" s="213" t="s">
        <v>47</v>
      </c>
      <c r="F18" s="262" t="s">
        <v>48</v>
      </c>
      <c r="G18" s="256"/>
      <c r="H18" s="256"/>
      <c r="I18" s="256"/>
    </row>
    <row r="19" spans="1:9" ht="78" customHeight="1">
      <c r="A19" s="256"/>
      <c r="B19" s="178">
        <f t="shared" si="0"/>
        <v>9</v>
      </c>
      <c r="C19" s="212" t="s">
        <v>49</v>
      </c>
      <c r="D19" s="213" t="s">
        <v>50</v>
      </c>
      <c r="E19" s="213" t="s">
        <v>51</v>
      </c>
      <c r="F19" s="262" t="s">
        <v>52</v>
      </c>
      <c r="G19" s="256"/>
      <c r="H19" s="256"/>
      <c r="I19" s="256"/>
    </row>
    <row r="20" spans="1:9" ht="78" customHeight="1">
      <c r="A20" s="256"/>
      <c r="B20" s="178">
        <f t="shared" si="0"/>
        <v>10</v>
      </c>
      <c r="C20" s="212" t="s">
        <v>53</v>
      </c>
      <c r="D20" s="213" t="s">
        <v>54</v>
      </c>
      <c r="E20" s="213" t="s">
        <v>55</v>
      </c>
      <c r="F20" s="262" t="s">
        <v>56</v>
      </c>
      <c r="G20" s="256"/>
      <c r="H20" s="256"/>
      <c r="I20" s="256"/>
    </row>
    <row r="21" spans="1:9" ht="78" customHeight="1">
      <c r="A21" s="256"/>
      <c r="B21" s="178">
        <f t="shared" si="0"/>
        <v>11</v>
      </c>
      <c r="C21" s="212" t="s">
        <v>57</v>
      </c>
      <c r="D21" s="213" t="s">
        <v>58</v>
      </c>
      <c r="E21" s="213" t="s">
        <v>59</v>
      </c>
      <c r="F21" s="262" t="s">
        <v>44</v>
      </c>
      <c r="G21" s="256"/>
      <c r="H21" s="256"/>
      <c r="I21" s="256"/>
    </row>
    <row r="22" spans="1:9" ht="78" customHeight="1">
      <c r="A22" s="256"/>
      <c r="B22" s="178">
        <f t="shared" si="0"/>
        <v>12</v>
      </c>
      <c r="C22" s="212" t="s">
        <v>60</v>
      </c>
      <c r="D22" s="213" t="s">
        <v>61</v>
      </c>
      <c r="E22" s="213" t="s">
        <v>62</v>
      </c>
      <c r="F22" s="262" t="s">
        <v>63</v>
      </c>
      <c r="G22" s="256"/>
      <c r="H22" s="256"/>
      <c r="I22" s="256"/>
    </row>
    <row r="23" spans="1:9" ht="78" customHeight="1">
      <c r="A23" s="256"/>
      <c r="B23" s="178">
        <f t="shared" si="0"/>
        <v>13</v>
      </c>
      <c r="C23" s="212" t="s">
        <v>64</v>
      </c>
      <c r="D23" s="213" t="s">
        <v>65</v>
      </c>
      <c r="E23" s="213" t="s">
        <v>66</v>
      </c>
      <c r="F23" s="262" t="s">
        <v>67</v>
      </c>
      <c r="G23" s="256"/>
      <c r="H23" s="256"/>
      <c r="I23" s="256"/>
    </row>
    <row r="24" spans="1:9" ht="78" customHeight="1">
      <c r="A24" s="256"/>
      <c r="B24" s="178">
        <f t="shared" si="0"/>
        <v>14</v>
      </c>
      <c r="C24" s="212" t="s">
        <v>68</v>
      </c>
      <c r="D24" s="213" t="s">
        <v>69</v>
      </c>
      <c r="E24" s="213" t="s">
        <v>70</v>
      </c>
      <c r="F24" s="262" t="s">
        <v>71</v>
      </c>
      <c r="G24" s="256"/>
      <c r="H24" s="256"/>
      <c r="I24" s="256"/>
    </row>
    <row r="25" spans="1:9" ht="78" customHeight="1">
      <c r="A25" s="256"/>
      <c r="B25" s="178">
        <f t="shared" si="0"/>
        <v>15</v>
      </c>
      <c r="C25" s="212" t="s">
        <v>72</v>
      </c>
      <c r="D25" s="213" t="s">
        <v>73</v>
      </c>
      <c r="E25" s="213" t="s">
        <v>74</v>
      </c>
      <c r="F25" s="262" t="s">
        <v>71</v>
      </c>
      <c r="G25" s="256"/>
      <c r="H25" s="256"/>
      <c r="I25" s="256"/>
    </row>
    <row r="26" spans="1:9" ht="78" customHeight="1">
      <c r="A26" s="256"/>
      <c r="B26" s="178">
        <f t="shared" si="0"/>
        <v>16</v>
      </c>
      <c r="C26" s="179" t="s">
        <v>75</v>
      </c>
      <c r="D26" s="213" t="s">
        <v>76</v>
      </c>
      <c r="E26" s="213" t="s">
        <v>77</v>
      </c>
      <c r="F26" s="262" t="s">
        <v>48</v>
      </c>
      <c r="G26" s="256"/>
      <c r="H26" s="256"/>
      <c r="I26" s="256"/>
    </row>
    <row r="27" spans="1:9" ht="78" customHeight="1">
      <c r="A27" s="256"/>
      <c r="B27" s="178">
        <f t="shared" si="0"/>
        <v>17</v>
      </c>
      <c r="C27" s="212" t="s">
        <v>78</v>
      </c>
      <c r="D27" s="213" t="s">
        <v>79</v>
      </c>
      <c r="E27" s="213" t="s">
        <v>80</v>
      </c>
      <c r="F27" s="262" t="s">
        <v>81</v>
      </c>
      <c r="G27" s="256"/>
      <c r="H27" s="256"/>
      <c r="I27" s="256"/>
    </row>
    <row r="28" spans="1:9" ht="78" customHeight="1">
      <c r="A28" s="256"/>
      <c r="B28" s="178">
        <f t="shared" si="0"/>
        <v>18</v>
      </c>
      <c r="C28" s="212" t="s">
        <v>82</v>
      </c>
      <c r="D28" s="213" t="s">
        <v>83</v>
      </c>
      <c r="E28" s="213" t="s">
        <v>84</v>
      </c>
      <c r="F28" s="262" t="s">
        <v>85</v>
      </c>
      <c r="G28" s="256"/>
      <c r="H28" s="256"/>
      <c r="I28" s="256"/>
    </row>
    <row r="29" spans="1:9" ht="78" customHeight="1">
      <c r="A29" s="256"/>
      <c r="B29" s="178">
        <f t="shared" si="0"/>
        <v>19</v>
      </c>
      <c r="C29" s="212" t="s">
        <v>86</v>
      </c>
      <c r="D29" s="213" t="s">
        <v>87</v>
      </c>
      <c r="E29" s="213" t="s">
        <v>88</v>
      </c>
      <c r="F29" s="262" t="s">
        <v>89</v>
      </c>
      <c r="G29" s="256"/>
      <c r="H29" s="256"/>
      <c r="I29" s="256"/>
    </row>
    <row r="30" spans="1:9" ht="78" customHeight="1">
      <c r="A30" s="256"/>
      <c r="B30" s="178">
        <f t="shared" si="0"/>
        <v>20</v>
      </c>
      <c r="C30" s="179" t="s">
        <v>90</v>
      </c>
      <c r="D30" s="213" t="s">
        <v>91</v>
      </c>
      <c r="E30" s="213" t="s">
        <v>92</v>
      </c>
      <c r="F30" s="262" t="s">
        <v>93</v>
      </c>
      <c r="G30" s="256"/>
      <c r="H30" s="256"/>
      <c r="I30" s="256"/>
    </row>
    <row r="31" spans="1:9" ht="78" customHeight="1">
      <c r="A31" s="256"/>
      <c r="B31" s="178">
        <f t="shared" si="0"/>
        <v>21</v>
      </c>
      <c r="C31" s="212" t="s">
        <v>94</v>
      </c>
      <c r="D31" s="213" t="s">
        <v>95</v>
      </c>
      <c r="E31" s="213" t="s">
        <v>96</v>
      </c>
      <c r="F31" s="262" t="s">
        <v>56</v>
      </c>
      <c r="G31" s="256"/>
      <c r="H31" s="256"/>
      <c r="I31" s="256"/>
    </row>
    <row r="32" spans="1:9" ht="78" customHeight="1">
      <c r="A32" s="256"/>
      <c r="B32" s="178">
        <f t="shared" si="0"/>
        <v>22</v>
      </c>
      <c r="C32" s="212" t="s">
        <v>97</v>
      </c>
      <c r="D32" s="213" t="s">
        <v>98</v>
      </c>
      <c r="E32" s="213" t="s">
        <v>99</v>
      </c>
      <c r="F32" s="262" t="s">
        <v>100</v>
      </c>
      <c r="G32" s="256"/>
      <c r="H32" s="256"/>
      <c r="I32" s="256"/>
    </row>
    <row r="33" spans="1:9" ht="78" customHeight="1">
      <c r="A33" s="256"/>
      <c r="B33" s="178">
        <f t="shared" si="0"/>
        <v>23</v>
      </c>
      <c r="C33" s="179" t="s">
        <v>101</v>
      </c>
      <c r="D33" s="263" t="s">
        <v>102</v>
      </c>
      <c r="E33" s="263" t="s">
        <v>103</v>
      </c>
      <c r="F33" s="264" t="s">
        <v>104</v>
      </c>
      <c r="G33" s="256"/>
      <c r="H33" s="256"/>
      <c r="I33" s="256"/>
    </row>
    <row r="34" spans="1:9" ht="78" customHeight="1">
      <c r="A34" s="256"/>
      <c r="B34" s="178">
        <f t="shared" si="0"/>
        <v>24</v>
      </c>
      <c r="C34" s="265" t="s">
        <v>105</v>
      </c>
      <c r="D34" s="263" t="s">
        <v>106</v>
      </c>
      <c r="E34" s="263" t="s">
        <v>107</v>
      </c>
      <c r="F34" s="264" t="s">
        <v>100</v>
      </c>
      <c r="G34" s="256"/>
      <c r="H34" s="256"/>
      <c r="I34" s="256"/>
    </row>
    <row r="35" spans="1:9" ht="78" customHeight="1">
      <c r="A35" s="256"/>
      <c r="B35" s="178">
        <f t="shared" si="0"/>
        <v>25</v>
      </c>
      <c r="C35" s="179" t="s">
        <v>108</v>
      </c>
      <c r="D35" s="213" t="s">
        <v>109</v>
      </c>
      <c r="E35" s="213" t="s">
        <v>110</v>
      </c>
      <c r="F35" s="262" t="s">
        <v>104</v>
      </c>
      <c r="G35" s="256"/>
      <c r="H35" s="256"/>
      <c r="I35" s="256"/>
    </row>
    <row r="36" spans="1:9" ht="29.25" customHeight="1">
      <c r="A36" s="256"/>
      <c r="B36" s="178">
        <f t="shared" si="0"/>
        <v>26</v>
      </c>
      <c r="C36" s="265" t="s">
        <v>111</v>
      </c>
      <c r="D36" s="263" t="s">
        <v>111</v>
      </c>
      <c r="E36" s="263" t="s">
        <v>112</v>
      </c>
      <c r="F36" s="266" t="s">
        <v>25</v>
      </c>
      <c r="G36" s="32"/>
      <c r="H36" s="32"/>
      <c r="I36" s="32"/>
    </row>
    <row r="37" spans="1:9">
      <c r="A37" s="267"/>
      <c r="B37" s="30"/>
      <c r="C37" s="30"/>
      <c r="D37" s="30"/>
      <c r="E37" s="30"/>
      <c r="F37" s="30"/>
      <c r="G37" s="268"/>
      <c r="H37" s="32"/>
      <c r="I37" s="32"/>
    </row>
    <row r="38" spans="1:9" ht="14.25">
      <c r="A38" s="256"/>
      <c r="B38" s="268" t="s">
        <v>113</v>
      </c>
      <c r="C38" s="395" t="s">
        <v>114</v>
      </c>
      <c r="D38" s="395"/>
      <c r="E38" s="395"/>
      <c r="F38" s="395"/>
      <c r="G38" s="32"/>
      <c r="H38" s="32"/>
      <c r="I38" s="32"/>
    </row>
    <row r="39" spans="1:9">
      <c r="A39" s="30"/>
      <c r="B39" s="269"/>
      <c r="C39" s="395"/>
      <c r="D39" s="395"/>
      <c r="E39" s="395"/>
      <c r="F39" s="395"/>
      <c r="G39" s="30"/>
      <c r="H39" s="30"/>
      <c r="I39" s="30"/>
    </row>
    <row r="40" spans="1:9">
      <c r="A40" s="30"/>
      <c r="B40" s="30"/>
      <c r="C40" s="395"/>
      <c r="D40" s="395"/>
      <c r="E40" s="395"/>
      <c r="F40" s="395"/>
      <c r="G40" s="30"/>
      <c r="H40" s="30"/>
      <c r="I40" s="30"/>
    </row>
  </sheetData>
  <mergeCells count="5">
    <mergeCell ref="C38:F40"/>
    <mergeCell ref="B10:C10"/>
    <mergeCell ref="A3:I3"/>
    <mergeCell ref="A2:I2"/>
    <mergeCell ref="A4:I4"/>
  </mergeCells>
  <phoneticPr fontId="4" type="noConversion"/>
  <conditionalFormatting sqref="F17 F19:F35">
    <cfRule type="containsText" dxfId="5" priority="16" operator="containsText" text="Checking">
      <formula>NOT(ISERROR(SEARCH("Checking",F17)))</formula>
    </cfRule>
    <cfRule type="containsText" dxfId="4" priority="17" operator="containsText" text="OK">
      <formula>NOT(ISERROR(SEARCH("OK",F17)))</formula>
    </cfRule>
    <cfRule type="containsText" dxfId="3" priority="18" operator="containsText" text="to be filled">
      <formula>NOT(ISERROR(SEARCH("to be filled",F17)))</formula>
    </cfRule>
  </conditionalFormatting>
  <conditionalFormatting sqref="F18">
    <cfRule type="containsText" dxfId="2" priority="1" operator="containsText" text="Checking">
      <formula>NOT(ISERROR(SEARCH("Checking",F18)))</formula>
    </cfRule>
    <cfRule type="containsText" dxfId="1" priority="2" operator="containsText" text="OK">
      <formula>NOT(ISERROR(SEARCH("OK",F18)))</formula>
    </cfRule>
    <cfRule type="containsText" dxfId="0" priority="3" operator="containsText" text="to be filled">
      <formula>NOT(ISERROR(SEARCH("to be filled",F18)))</formula>
    </cfRule>
  </conditionalFormatting>
  <pageMargins left="0.39370078740157483" right="0.39370078740157483" top="0.51181102362204722" bottom="0.39370078740157483" header="0.51181102362204722" footer="0.51181102362204722"/>
  <pageSetup paperSize="9" scale="59" orientation="portrait" r:id="rId1"/>
  <headerFooter alignWithMargins="0">
    <oddFooter>&amp;L&amp;F&amp;C&amp;P&amp;R&amp;A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746" r:id="rId4" name="Button 354">
              <controlPr defaultSize="0" print="0" autoFill="0" autoPict="0" macro="[0]!ResetAllSheets">
                <anchor moveWithCells="1" sizeWithCells="1">
                  <from>
                    <xdr:col>5</xdr:col>
                    <xdr:colOff>1695450</xdr:colOff>
                    <xdr:row>1</xdr:row>
                    <xdr:rowOff>171450</xdr:rowOff>
                  </from>
                  <to>
                    <xdr:col>5</xdr:col>
                    <xdr:colOff>2724150</xdr:colOff>
                    <xdr:row>2</xdr:row>
                    <xdr:rowOff>209550</xdr:rowOff>
                  </to>
                </anchor>
              </controlPr>
            </control>
          </mc:Choice>
        </mc:AlternateContent>
        <mc:AlternateContent xmlns:mc="http://schemas.openxmlformats.org/markup-compatibility/2006">
          <mc:Choice Requires="x14">
            <control shapeId="59747" r:id="rId5" name="CHECKALL">
              <controlPr defaultSize="0" print="0" autoFill="0" autoPict="0" macro="[0]!CheckAllSheets">
                <anchor moveWithCells="1" sizeWithCells="1">
                  <from>
                    <xdr:col>5</xdr:col>
                    <xdr:colOff>533400</xdr:colOff>
                    <xdr:row>1</xdr:row>
                    <xdr:rowOff>171450</xdr:rowOff>
                  </from>
                  <to>
                    <xdr:col>5</xdr:col>
                    <xdr:colOff>1504950</xdr:colOff>
                    <xdr:row>2</xdr:row>
                    <xdr:rowOff>180975</xdr:rowOff>
                  </to>
                </anchor>
              </controlPr>
            </control>
          </mc:Choice>
        </mc:AlternateContent>
        <mc:AlternateContent xmlns:mc="http://schemas.openxmlformats.org/markup-compatibility/2006">
          <mc:Choice Requires="x14">
            <control shapeId="59750" r:id="rId6" name="Check Box 358">
              <controlPr locked="0" defaultSize="0" autoFill="0" autoLine="0" autoPict="0" altText="Enable Automatics Checks on Closing Workbook">
                <anchor moveWithCells="1">
                  <from>
                    <xdr:col>5</xdr:col>
                    <xdr:colOff>476250</xdr:colOff>
                    <xdr:row>0</xdr:row>
                    <xdr:rowOff>209550</xdr:rowOff>
                  </from>
                  <to>
                    <xdr:col>5</xdr:col>
                    <xdr:colOff>2419350</xdr:colOff>
                    <xdr:row>1</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100-000000000000}">
          <x14:formula1>
            <xm:f>Parameters!$E$39:$E$46</xm:f>
          </x14:formula1>
          <xm:sqref>F7</xm:sqref>
        </x14:dataValidation>
        <x14:dataValidation type="list" allowBlank="1" showInputMessage="1" showErrorMessage="1" xr:uid="{00000000-0002-0000-0100-000001000000}">
          <x14:formula1>
            <xm:f>Parameters!$E$53:$E$54</xm:f>
          </x14:formula1>
          <xm:sqref>F8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4" tint="0.59999389629810485"/>
  </sheetPr>
  <dimension ref="A1:Q119"/>
  <sheetViews>
    <sheetView showGridLines="0" showRuler="0" topLeftCell="A22" zoomScaleNormal="100" workbookViewId="0">
      <selection activeCell="P66" sqref="P66"/>
    </sheetView>
  </sheetViews>
  <sheetFormatPr defaultColWidth="9.140625" defaultRowHeight="12.75"/>
  <cols>
    <col min="1" max="1" width="7.5703125" customWidth="1"/>
    <col min="15" max="15" width="9.28515625" customWidth="1"/>
    <col min="16" max="16" width="12.28515625" customWidth="1"/>
    <col min="17" max="17" width="25" style="13" bestFit="1" customWidth="1"/>
  </cols>
  <sheetData>
    <row r="1" spans="1:16">
      <c r="A1" s="54"/>
      <c r="B1" s="54"/>
      <c r="C1" s="54"/>
      <c r="D1" s="54"/>
      <c r="E1" s="54"/>
      <c r="F1" s="54"/>
      <c r="G1" s="54"/>
      <c r="H1" s="54"/>
      <c r="I1" s="54"/>
      <c r="J1" s="54"/>
      <c r="K1" s="54"/>
      <c r="L1" s="54"/>
      <c r="M1" s="54"/>
      <c r="N1" s="54"/>
      <c r="O1" s="54"/>
      <c r="P1" s="54"/>
    </row>
    <row r="2" spans="1:16">
      <c r="A2" s="54"/>
      <c r="B2" s="54"/>
      <c r="C2" s="54"/>
      <c r="D2" s="54"/>
      <c r="E2" s="54"/>
      <c r="F2" s="54"/>
      <c r="G2" s="54"/>
      <c r="H2" s="54"/>
      <c r="I2" s="54"/>
      <c r="J2" s="54"/>
      <c r="K2" s="54"/>
      <c r="L2" s="54"/>
      <c r="M2" s="54"/>
      <c r="N2" s="54"/>
      <c r="O2" s="54"/>
      <c r="P2" s="54"/>
    </row>
    <row r="3" spans="1:16">
      <c r="A3" s="54"/>
      <c r="B3" s="54"/>
      <c r="C3" s="54"/>
      <c r="D3" s="54"/>
      <c r="E3" s="54"/>
      <c r="F3" s="54"/>
      <c r="G3" s="54"/>
      <c r="H3" s="54"/>
      <c r="I3" s="54"/>
      <c r="J3" s="54"/>
      <c r="K3" s="54"/>
      <c r="L3" s="54"/>
      <c r="M3" s="54"/>
      <c r="N3" s="54"/>
      <c r="O3" s="54"/>
      <c r="P3" s="54"/>
    </row>
    <row r="4" spans="1:16">
      <c r="A4" s="54"/>
      <c r="B4" s="54"/>
      <c r="C4" s="54"/>
      <c r="D4" s="54"/>
      <c r="E4" s="54"/>
      <c r="F4" s="54"/>
      <c r="G4" s="54"/>
      <c r="H4" s="54"/>
      <c r="I4" s="54"/>
      <c r="J4" s="54"/>
      <c r="K4" s="54"/>
      <c r="L4" s="54"/>
      <c r="M4" s="54"/>
      <c r="N4" s="54"/>
      <c r="O4" s="54"/>
      <c r="P4" s="54"/>
    </row>
    <row r="5" spans="1:16" ht="33.75" customHeight="1">
      <c r="A5" s="54"/>
      <c r="B5" s="410" t="s">
        <v>115</v>
      </c>
      <c r="C5" s="411"/>
      <c r="D5" s="411"/>
      <c r="E5" s="411"/>
      <c r="F5" s="411"/>
      <c r="G5" s="411"/>
      <c r="H5" s="411"/>
      <c r="I5" s="411"/>
      <c r="J5" s="411"/>
      <c r="K5" s="411"/>
      <c r="L5" s="411"/>
      <c r="M5" s="411"/>
      <c r="N5" s="411"/>
      <c r="O5" s="54"/>
      <c r="P5" s="54"/>
    </row>
    <row r="6" spans="1:16" ht="28.15" customHeight="1">
      <c r="A6" s="54"/>
      <c r="B6" s="54"/>
      <c r="C6" s="54"/>
      <c r="D6" s="54"/>
      <c r="E6" s="54"/>
      <c r="F6" s="54"/>
      <c r="G6" s="54"/>
      <c r="H6" s="54"/>
      <c r="I6" s="54"/>
      <c r="J6" s="54"/>
      <c r="K6" s="54"/>
      <c r="L6" s="54"/>
      <c r="M6" s="54"/>
      <c r="N6" s="54"/>
      <c r="O6" s="54"/>
      <c r="P6" s="54"/>
    </row>
    <row r="7" spans="1:16">
      <c r="A7" s="54"/>
      <c r="B7" s="412" t="s">
        <v>116</v>
      </c>
      <c r="C7" s="412"/>
      <c r="D7" s="412"/>
      <c r="E7" s="412"/>
      <c r="F7" s="412"/>
      <c r="G7" s="412"/>
      <c r="H7" s="412"/>
      <c r="I7" s="412"/>
      <c r="J7" s="412"/>
      <c r="K7" s="412"/>
      <c r="L7" s="412"/>
      <c r="M7" s="412"/>
      <c r="N7" s="412"/>
      <c r="O7" s="54"/>
      <c r="P7" s="54"/>
    </row>
    <row r="8" spans="1:16">
      <c r="A8" s="54"/>
      <c r="B8" s="413"/>
      <c r="C8" s="413"/>
      <c r="D8" s="413"/>
      <c r="E8" s="413"/>
      <c r="F8" s="413"/>
      <c r="G8" s="413"/>
      <c r="H8" s="413"/>
      <c r="I8" s="413"/>
      <c r="J8" s="413"/>
      <c r="K8" s="413"/>
      <c r="L8" s="413"/>
      <c r="M8" s="413"/>
      <c r="N8" s="413"/>
      <c r="O8" s="54"/>
      <c r="P8" s="54"/>
    </row>
    <row r="9" spans="1:16" ht="20.65" customHeight="1">
      <c r="A9" s="54"/>
      <c r="B9" s="401" t="s">
        <v>117</v>
      </c>
      <c r="C9" s="401"/>
      <c r="D9" s="401"/>
      <c r="E9" s="401"/>
      <c r="F9" s="401"/>
      <c r="G9" s="401"/>
      <c r="H9" s="401"/>
      <c r="I9" s="401"/>
      <c r="J9" s="401"/>
      <c r="K9" s="401"/>
      <c r="L9" s="401"/>
      <c r="M9" s="401"/>
      <c r="N9" s="401"/>
      <c r="O9" s="54"/>
      <c r="P9" s="54"/>
    </row>
    <row r="10" spans="1:16" ht="13.15" customHeight="1">
      <c r="A10" s="54"/>
      <c r="B10" s="406" t="s">
        <v>118</v>
      </c>
      <c r="C10" s="406"/>
      <c r="D10" s="406"/>
      <c r="E10" s="406"/>
      <c r="F10" s="406"/>
      <c r="G10" s="406"/>
      <c r="H10" s="406"/>
      <c r="I10" s="406"/>
      <c r="J10" s="406"/>
      <c r="K10" s="406"/>
      <c r="L10" s="406"/>
      <c r="M10" s="406"/>
      <c r="N10" s="406"/>
      <c r="O10" s="54"/>
      <c r="P10" s="54"/>
    </row>
    <row r="11" spans="1:16" ht="13.15" customHeight="1">
      <c r="A11" s="54"/>
      <c r="B11" s="414" t="s">
        <v>119</v>
      </c>
      <c r="C11" s="414"/>
      <c r="D11" s="414"/>
      <c r="E11" s="414"/>
      <c r="F11" s="414"/>
      <c r="G11" s="414"/>
      <c r="H11" s="415" t="s">
        <v>120</v>
      </c>
      <c r="I11" s="401"/>
      <c r="J11" s="401"/>
      <c r="K11" s="401"/>
      <c r="L11" s="401"/>
      <c r="M11" s="401"/>
      <c r="N11" s="63"/>
      <c r="O11" s="54"/>
      <c r="P11" s="54"/>
    </row>
    <row r="12" spans="1:16" ht="13.15" customHeight="1">
      <c r="A12" s="54"/>
      <c r="B12" s="414" t="s">
        <v>121</v>
      </c>
      <c r="C12" s="414"/>
      <c r="D12" s="414"/>
      <c r="E12" s="414"/>
      <c r="F12" s="414"/>
      <c r="G12" s="414"/>
      <c r="H12" s="414"/>
      <c r="I12" s="414"/>
      <c r="J12" s="414"/>
      <c r="K12" s="414"/>
      <c r="L12" s="414"/>
      <c r="M12" s="414"/>
      <c r="N12" s="414"/>
      <c r="O12" s="54"/>
      <c r="P12" s="54"/>
    </row>
    <row r="13" spans="1:16" ht="13.15" customHeight="1">
      <c r="A13" s="54"/>
      <c r="B13" s="108"/>
      <c r="C13" s="108"/>
      <c r="D13" s="108"/>
      <c r="E13" s="108"/>
      <c r="F13" s="108"/>
      <c r="G13" s="108"/>
      <c r="H13" s="109"/>
      <c r="I13" s="107"/>
      <c r="J13" s="107"/>
      <c r="K13" s="107"/>
      <c r="L13" s="107"/>
      <c r="M13" s="107"/>
      <c r="N13" s="63"/>
      <c r="O13" s="54"/>
      <c r="P13" s="54"/>
    </row>
    <row r="14" spans="1:16" ht="13.15" customHeight="1">
      <c r="A14" s="54"/>
      <c r="B14" s="125" t="s">
        <v>122</v>
      </c>
      <c r="C14" s="108"/>
      <c r="D14" s="108"/>
      <c r="E14" s="108"/>
      <c r="F14" s="108"/>
      <c r="G14" s="108"/>
      <c r="H14" s="109"/>
      <c r="I14" s="107"/>
      <c r="J14" s="107"/>
      <c r="K14" s="107"/>
      <c r="L14" s="107"/>
      <c r="M14" s="107"/>
      <c r="N14" s="63"/>
      <c r="O14" s="54"/>
      <c r="P14" s="54"/>
    </row>
    <row r="15" spans="1:16" ht="13.15" customHeight="1">
      <c r="A15" s="54"/>
      <c r="B15" s="416" t="s">
        <v>123</v>
      </c>
      <c r="C15" s="416"/>
      <c r="D15" s="416"/>
      <c r="E15" s="416"/>
      <c r="F15" s="416"/>
      <c r="G15" s="416"/>
      <c r="H15" s="416"/>
      <c r="I15" s="416"/>
      <c r="J15" s="416"/>
      <c r="K15" s="416"/>
      <c r="L15" s="416"/>
      <c r="M15" s="416"/>
      <c r="N15" s="416"/>
      <c r="O15" s="54"/>
      <c r="P15" s="54"/>
    </row>
    <row r="16" spans="1:16" ht="13.15" customHeight="1">
      <c r="A16" s="54"/>
      <c r="B16" s="409" t="s">
        <v>124</v>
      </c>
      <c r="C16" s="409"/>
      <c r="D16" s="409"/>
      <c r="E16" s="409"/>
      <c r="F16" s="409"/>
      <c r="G16" s="409"/>
      <c r="H16" s="409"/>
      <c r="I16" s="409"/>
      <c r="J16" s="409"/>
      <c r="K16" s="409"/>
      <c r="L16" s="409"/>
      <c r="M16" s="409"/>
      <c r="N16" s="409"/>
      <c r="O16" s="54"/>
      <c r="P16" s="54"/>
    </row>
    <row r="17" spans="1:16" ht="24.6" customHeight="1">
      <c r="A17" s="54"/>
      <c r="B17" s="408" t="s">
        <v>125</v>
      </c>
      <c r="C17" s="409"/>
      <c r="D17" s="409"/>
      <c r="E17" s="409"/>
      <c r="F17" s="409"/>
      <c r="G17" s="409"/>
      <c r="H17" s="409"/>
      <c r="I17" s="409"/>
      <c r="J17" s="409"/>
      <c r="K17" s="409"/>
      <c r="L17" s="409"/>
      <c r="M17" s="409"/>
      <c r="N17" s="409"/>
      <c r="O17" s="54"/>
      <c r="P17" s="54"/>
    </row>
    <row r="18" spans="1:16" ht="23.65" customHeight="1">
      <c r="A18" s="54"/>
      <c r="B18" s="63"/>
      <c r="C18" s="63"/>
      <c r="D18" s="63"/>
      <c r="E18" s="63"/>
      <c r="F18" s="63"/>
      <c r="G18" s="63"/>
      <c r="H18" s="63"/>
      <c r="I18" s="63"/>
      <c r="J18" s="63"/>
      <c r="K18" s="63"/>
      <c r="L18" s="63"/>
      <c r="M18" s="63"/>
      <c r="N18" s="63"/>
      <c r="O18" s="54"/>
      <c r="P18" s="54"/>
    </row>
    <row r="19" spans="1:16">
      <c r="A19" s="54"/>
      <c r="B19" s="407" t="s">
        <v>126</v>
      </c>
      <c r="C19" s="407"/>
      <c r="D19" s="407"/>
      <c r="E19" s="407"/>
      <c r="F19" s="407"/>
      <c r="G19" s="407"/>
      <c r="H19" s="407"/>
      <c r="I19" s="407"/>
      <c r="J19" s="407"/>
      <c r="K19" s="407"/>
      <c r="L19" s="407"/>
      <c r="M19" s="407"/>
      <c r="N19" s="407"/>
      <c r="O19" s="54"/>
      <c r="P19" s="54"/>
    </row>
    <row r="20" spans="1:16" ht="7.15" customHeight="1">
      <c r="A20" s="54"/>
      <c r="B20" s="406"/>
      <c r="C20" s="406"/>
      <c r="D20" s="406"/>
      <c r="E20" s="406"/>
      <c r="F20" s="406"/>
      <c r="G20" s="406"/>
      <c r="H20" s="406"/>
      <c r="I20" s="406"/>
      <c r="J20" s="406"/>
      <c r="K20" s="406"/>
      <c r="L20" s="406"/>
      <c r="M20" s="406"/>
      <c r="N20" s="406"/>
      <c r="O20" s="54"/>
      <c r="P20" s="54"/>
    </row>
    <row r="21" spans="1:16" ht="27" customHeight="1">
      <c r="A21" s="126"/>
      <c r="B21" s="54"/>
      <c r="C21" s="401" t="s">
        <v>127</v>
      </c>
      <c r="D21" s="401"/>
      <c r="E21" s="401"/>
      <c r="F21" s="401"/>
      <c r="G21" s="401"/>
      <c r="H21" s="401"/>
      <c r="I21" s="401"/>
      <c r="J21" s="401"/>
      <c r="K21" s="401"/>
      <c r="L21" s="401"/>
      <c r="M21" s="401"/>
      <c r="N21" s="401"/>
      <c r="O21" s="54"/>
      <c r="P21" s="54"/>
    </row>
    <row r="22" spans="1:16" ht="4.1500000000000004" customHeight="1">
      <c r="A22" s="54"/>
      <c r="B22" s="406"/>
      <c r="C22" s="406"/>
      <c r="D22" s="406"/>
      <c r="E22" s="406"/>
      <c r="F22" s="406"/>
      <c r="G22" s="406"/>
      <c r="H22" s="406"/>
      <c r="I22" s="406"/>
      <c r="J22" s="406"/>
      <c r="K22" s="406"/>
      <c r="L22" s="406"/>
      <c r="M22" s="406"/>
      <c r="N22" s="406"/>
      <c r="O22" s="54"/>
      <c r="P22" s="54"/>
    </row>
    <row r="23" spans="1:16" ht="32.25" customHeight="1">
      <c r="A23" s="54"/>
      <c r="B23" s="54"/>
      <c r="C23" s="401" t="s">
        <v>128</v>
      </c>
      <c r="D23" s="401"/>
      <c r="E23" s="401"/>
      <c r="F23" s="401"/>
      <c r="G23" s="401"/>
      <c r="H23" s="401"/>
      <c r="I23" s="401"/>
      <c r="J23" s="401"/>
      <c r="K23" s="401"/>
      <c r="L23" s="401"/>
      <c r="M23" s="401"/>
      <c r="N23" s="401"/>
      <c r="O23" s="54"/>
      <c r="P23" s="54"/>
    </row>
    <row r="24" spans="1:16" ht="1.5" hidden="1" customHeight="1">
      <c r="A24" s="54"/>
      <c r="B24" s="406"/>
      <c r="C24" s="406"/>
      <c r="D24" s="406"/>
      <c r="E24" s="406"/>
      <c r="F24" s="406"/>
      <c r="G24" s="406"/>
      <c r="H24" s="406"/>
      <c r="I24" s="406"/>
      <c r="J24" s="406"/>
      <c r="K24" s="406"/>
      <c r="L24" s="406"/>
      <c r="M24" s="406"/>
      <c r="N24" s="406"/>
      <c r="O24" s="54"/>
      <c r="P24" s="54"/>
    </row>
    <row r="25" spans="1:16" ht="39" customHeight="1">
      <c r="A25" s="54"/>
      <c r="B25" s="54"/>
      <c r="C25" s="401" t="s">
        <v>129</v>
      </c>
      <c r="D25" s="401"/>
      <c r="E25" s="401"/>
      <c r="F25" s="401"/>
      <c r="G25" s="401"/>
      <c r="H25" s="401"/>
      <c r="I25" s="401"/>
      <c r="J25" s="401"/>
      <c r="K25" s="401"/>
      <c r="L25" s="401"/>
      <c r="M25" s="401"/>
      <c r="N25" s="401"/>
      <c r="O25" s="54"/>
      <c r="P25" s="54"/>
    </row>
    <row r="26" spans="1:16" ht="9.75" customHeight="1">
      <c r="A26" s="54"/>
      <c r="B26" s="406"/>
      <c r="C26" s="406"/>
      <c r="D26" s="406"/>
      <c r="E26" s="406"/>
      <c r="F26" s="406"/>
      <c r="G26" s="406"/>
      <c r="H26" s="406"/>
      <c r="I26" s="406"/>
      <c r="J26" s="406"/>
      <c r="K26" s="406"/>
      <c r="L26" s="406"/>
      <c r="M26" s="406"/>
      <c r="N26" s="406"/>
      <c r="O26" s="54"/>
      <c r="P26" s="54"/>
    </row>
    <row r="27" spans="1:16">
      <c r="A27" s="54"/>
      <c r="B27" s="407" t="s">
        <v>130</v>
      </c>
      <c r="C27" s="407"/>
      <c r="D27" s="407"/>
      <c r="E27" s="407"/>
      <c r="F27" s="407"/>
      <c r="G27" s="407"/>
      <c r="H27" s="407"/>
      <c r="I27" s="407"/>
      <c r="J27" s="407"/>
      <c r="K27" s="407"/>
      <c r="L27" s="407"/>
      <c r="M27" s="407"/>
      <c r="N27" s="407"/>
      <c r="O27" s="54"/>
      <c r="P27" s="54"/>
    </row>
    <row r="28" spans="1:16" ht="7.15" customHeight="1">
      <c r="A28" s="54"/>
      <c r="B28" s="406"/>
      <c r="C28" s="406"/>
      <c r="D28" s="406"/>
      <c r="E28" s="406"/>
      <c r="F28" s="406"/>
      <c r="G28" s="406"/>
      <c r="H28" s="406"/>
      <c r="I28" s="406"/>
      <c r="J28" s="406"/>
      <c r="K28" s="406"/>
      <c r="L28" s="406"/>
      <c r="M28" s="406"/>
      <c r="N28" s="406"/>
      <c r="O28" s="54"/>
      <c r="P28" s="54"/>
    </row>
    <row r="29" spans="1:16" ht="13.15" customHeight="1">
      <c r="A29" s="54"/>
      <c r="B29" s="54"/>
      <c r="C29" s="401" t="s">
        <v>131</v>
      </c>
      <c r="D29" s="401"/>
      <c r="E29" s="401"/>
      <c r="F29" s="401"/>
      <c r="G29" s="401"/>
      <c r="H29" s="401"/>
      <c r="I29" s="401"/>
      <c r="J29" s="401"/>
      <c r="K29" s="401"/>
      <c r="L29" s="401"/>
      <c r="M29" s="401"/>
      <c r="N29" s="401"/>
      <c r="O29" s="54"/>
      <c r="P29" s="54"/>
    </row>
    <row r="30" spans="1:16" ht="4.1500000000000004" customHeight="1">
      <c r="A30" s="54"/>
      <c r="B30" s="406"/>
      <c r="C30" s="406"/>
      <c r="D30" s="406"/>
      <c r="E30" s="406"/>
      <c r="F30" s="406"/>
      <c r="G30" s="406"/>
      <c r="H30" s="406"/>
      <c r="I30" s="406"/>
      <c r="J30" s="406"/>
      <c r="K30" s="406"/>
      <c r="L30" s="406"/>
      <c r="M30" s="406"/>
      <c r="N30" s="406"/>
      <c r="O30" s="54"/>
      <c r="P30" s="54"/>
    </row>
    <row r="31" spans="1:16">
      <c r="A31" s="54"/>
      <c r="B31" s="54"/>
      <c r="C31" s="401" t="s">
        <v>132</v>
      </c>
      <c r="D31" s="401"/>
      <c r="E31" s="401"/>
      <c r="F31" s="401"/>
      <c r="G31" s="401"/>
      <c r="H31" s="401"/>
      <c r="I31" s="401"/>
      <c r="J31" s="401"/>
      <c r="K31" s="401"/>
      <c r="L31" s="401"/>
      <c r="M31" s="401"/>
      <c r="N31" s="401"/>
      <c r="O31" s="54"/>
      <c r="P31" s="54"/>
    </row>
    <row r="32" spans="1:16" ht="4.1500000000000004" customHeight="1">
      <c r="A32" s="54"/>
      <c r="B32" s="406"/>
      <c r="C32" s="406"/>
      <c r="D32" s="406"/>
      <c r="E32" s="406"/>
      <c r="F32" s="406"/>
      <c r="G32" s="406"/>
      <c r="H32" s="406"/>
      <c r="I32" s="406"/>
      <c r="J32" s="406"/>
      <c r="K32" s="406"/>
      <c r="L32" s="406"/>
      <c r="M32" s="406"/>
      <c r="N32" s="406"/>
      <c r="O32" s="54"/>
      <c r="P32" s="54"/>
    </row>
    <row r="33" spans="1:17" ht="24.6" customHeight="1">
      <c r="A33" s="54"/>
      <c r="B33" s="54"/>
      <c r="C33" s="401" t="s">
        <v>133</v>
      </c>
      <c r="D33" s="401"/>
      <c r="E33" s="401"/>
      <c r="F33" s="401"/>
      <c r="G33" s="401"/>
      <c r="H33" s="401"/>
      <c r="I33" s="401"/>
      <c r="J33" s="401"/>
      <c r="K33" s="401"/>
      <c r="L33" s="401"/>
      <c r="M33" s="401"/>
      <c r="N33" s="401"/>
      <c r="O33" s="54"/>
      <c r="P33" s="54"/>
    </row>
    <row r="34" spans="1:17" ht="4.1500000000000004" customHeight="1">
      <c r="A34" s="54"/>
      <c r="B34" s="406"/>
      <c r="C34" s="406"/>
      <c r="D34" s="406"/>
      <c r="E34" s="406"/>
      <c r="F34" s="406"/>
      <c r="G34" s="406"/>
      <c r="H34" s="406"/>
      <c r="I34" s="406"/>
      <c r="J34" s="406"/>
      <c r="K34" s="406"/>
      <c r="L34" s="406"/>
      <c r="M34" s="406"/>
      <c r="N34" s="406"/>
      <c r="O34" s="54"/>
      <c r="P34" s="54"/>
    </row>
    <row r="35" spans="1:17">
      <c r="A35" s="54"/>
      <c r="B35" s="54"/>
      <c r="C35" s="401" t="s">
        <v>134</v>
      </c>
      <c r="D35" s="401"/>
      <c r="E35" s="401"/>
      <c r="F35" s="401"/>
      <c r="G35" s="401"/>
      <c r="H35" s="401"/>
      <c r="I35" s="401"/>
      <c r="J35" s="401"/>
      <c r="K35" s="401"/>
      <c r="L35" s="401"/>
      <c r="M35" s="401"/>
      <c r="N35" s="401"/>
      <c r="O35" s="54"/>
      <c r="P35" s="54"/>
    </row>
    <row r="36" spans="1:17" ht="4.1500000000000004" customHeight="1">
      <c r="A36" s="54"/>
      <c r="B36" s="406"/>
      <c r="C36" s="406"/>
      <c r="D36" s="406"/>
      <c r="E36" s="406"/>
      <c r="F36" s="406"/>
      <c r="G36" s="406"/>
      <c r="H36" s="406"/>
      <c r="I36" s="406"/>
      <c r="J36" s="406"/>
      <c r="K36" s="406"/>
      <c r="L36" s="406"/>
      <c r="M36" s="406"/>
      <c r="N36" s="406"/>
      <c r="O36" s="54"/>
      <c r="P36" s="54"/>
    </row>
    <row r="37" spans="1:17" ht="24.75" customHeight="1">
      <c r="A37" s="54"/>
      <c r="B37" s="54"/>
      <c r="C37" s="401" t="s">
        <v>135</v>
      </c>
      <c r="D37" s="401"/>
      <c r="E37" s="401"/>
      <c r="F37" s="401"/>
      <c r="G37" s="401"/>
      <c r="H37" s="401"/>
      <c r="I37" s="401"/>
      <c r="J37" s="401"/>
      <c r="K37" s="401"/>
      <c r="L37" s="401"/>
      <c r="M37" s="401"/>
      <c r="N37" s="401"/>
      <c r="O37" s="54"/>
      <c r="P37" s="54"/>
    </row>
    <row r="38" spans="1:17" ht="3.75" hidden="1" customHeight="1">
      <c r="A38" s="54"/>
      <c r="B38" s="406"/>
      <c r="C38" s="406"/>
      <c r="D38" s="406"/>
      <c r="E38" s="406"/>
      <c r="F38" s="406"/>
      <c r="G38" s="406"/>
      <c r="H38" s="406"/>
      <c r="I38" s="406"/>
      <c r="J38" s="406"/>
      <c r="K38" s="406"/>
      <c r="L38" s="406"/>
      <c r="M38" s="406"/>
      <c r="N38" s="406"/>
      <c r="O38" s="54"/>
      <c r="P38" s="54"/>
    </row>
    <row r="39" spans="1:17" ht="13.5" customHeight="1">
      <c r="A39" s="54"/>
      <c r="B39" s="63"/>
      <c r="C39" s="414" t="s">
        <v>136</v>
      </c>
      <c r="D39" s="401"/>
      <c r="E39" s="401"/>
      <c r="F39" s="401"/>
      <c r="G39" s="401"/>
      <c r="H39" s="401"/>
      <c r="I39" s="401"/>
      <c r="J39" s="401"/>
      <c r="K39" s="401"/>
      <c r="L39" s="401"/>
      <c r="M39" s="401"/>
      <c r="N39" s="401"/>
      <c r="O39" s="54"/>
      <c r="P39" s="54"/>
    </row>
    <row r="40" spans="1:17">
      <c r="A40" s="54"/>
      <c r="B40" s="54"/>
      <c r="C40" s="401" t="s">
        <v>137</v>
      </c>
      <c r="D40" s="401"/>
      <c r="E40" s="401"/>
      <c r="F40" s="401"/>
      <c r="G40" s="401"/>
      <c r="H40" s="401"/>
      <c r="I40" s="401"/>
      <c r="J40" s="401"/>
      <c r="K40" s="401"/>
      <c r="L40" s="401"/>
      <c r="M40" s="401"/>
      <c r="N40" s="401"/>
      <c r="O40" s="54"/>
      <c r="P40" s="54"/>
      <c r="Q40" s="142"/>
    </row>
    <row r="41" spans="1:17">
      <c r="A41" s="54"/>
      <c r="B41" s="406"/>
      <c r="C41" s="406"/>
      <c r="D41" s="406"/>
      <c r="E41" s="406"/>
      <c r="F41" s="406"/>
      <c r="G41" s="406"/>
      <c r="H41" s="406"/>
      <c r="I41" s="406"/>
      <c r="J41" s="406"/>
      <c r="K41" s="406"/>
      <c r="L41" s="406"/>
      <c r="M41" s="406"/>
      <c r="N41" s="406"/>
      <c r="O41" s="54"/>
      <c r="P41" s="54"/>
    </row>
    <row r="42" spans="1:17" ht="18" hidden="1" customHeight="1">
      <c r="A42" s="54"/>
      <c r="B42" s="406"/>
      <c r="C42" s="406"/>
      <c r="D42" s="406"/>
      <c r="E42" s="406"/>
      <c r="F42" s="406"/>
      <c r="G42" s="406"/>
      <c r="H42" s="406"/>
      <c r="I42" s="406"/>
      <c r="J42" s="406"/>
      <c r="K42" s="406"/>
      <c r="L42" s="406"/>
      <c r="M42" s="406"/>
      <c r="N42" s="406"/>
      <c r="O42" s="54"/>
      <c r="P42" s="54"/>
    </row>
    <row r="43" spans="1:17">
      <c r="A43" s="54"/>
      <c r="B43" s="407" t="s">
        <v>138</v>
      </c>
      <c r="C43" s="407"/>
      <c r="D43" s="407"/>
      <c r="E43" s="407"/>
      <c r="F43" s="407"/>
      <c r="G43" s="407"/>
      <c r="H43" s="407"/>
      <c r="I43" s="407"/>
      <c r="J43" s="407"/>
      <c r="K43" s="407"/>
      <c r="L43" s="407"/>
      <c r="M43" s="407"/>
      <c r="N43" s="407"/>
      <c r="O43" s="54"/>
      <c r="P43" s="54"/>
    </row>
    <row r="44" spans="1:17" ht="17.25" customHeight="1">
      <c r="A44" s="54"/>
      <c r="B44" s="406"/>
      <c r="C44" s="406"/>
      <c r="D44" s="406"/>
      <c r="E44" s="406"/>
      <c r="F44" s="406"/>
      <c r="G44" s="406"/>
      <c r="H44" s="406"/>
      <c r="I44" s="406"/>
      <c r="J44" s="406"/>
      <c r="K44" s="406"/>
      <c r="L44" s="406"/>
      <c r="M44" s="406"/>
      <c r="N44" s="406"/>
      <c r="O44" s="54"/>
      <c r="P44" s="54"/>
    </row>
    <row r="45" spans="1:17" ht="25.15" customHeight="1">
      <c r="A45" s="54"/>
      <c r="B45" s="406" t="s">
        <v>139</v>
      </c>
      <c r="C45" s="406"/>
      <c r="D45" s="406"/>
      <c r="E45" s="406"/>
      <c r="F45" s="406"/>
      <c r="G45" s="406"/>
      <c r="H45" s="406"/>
      <c r="I45" s="406"/>
      <c r="J45" s="406"/>
      <c r="K45" s="406"/>
      <c r="L45" s="406"/>
      <c r="M45" s="406"/>
      <c r="N45" s="406"/>
      <c r="O45" s="54"/>
      <c r="P45" s="54"/>
    </row>
    <row r="46" spans="1:17" ht="4.9000000000000004" customHeight="1">
      <c r="A46" s="54"/>
      <c r="B46" s="406"/>
      <c r="C46" s="406"/>
      <c r="D46" s="406"/>
      <c r="E46" s="406"/>
      <c r="F46" s="406"/>
      <c r="G46" s="406"/>
      <c r="H46" s="406"/>
      <c r="I46" s="406"/>
      <c r="J46" s="406"/>
      <c r="K46" s="406"/>
      <c r="L46" s="406"/>
      <c r="M46" s="406"/>
      <c r="N46" s="406"/>
      <c r="O46" s="54"/>
      <c r="P46" s="54"/>
    </row>
    <row r="47" spans="1:17" ht="31.15" customHeight="1">
      <c r="A47" s="54"/>
      <c r="B47" s="406" t="s">
        <v>140</v>
      </c>
      <c r="C47" s="406"/>
      <c r="D47" s="406"/>
      <c r="E47" s="406"/>
      <c r="F47" s="406"/>
      <c r="G47" s="406"/>
      <c r="H47" s="406"/>
      <c r="I47" s="406"/>
      <c r="J47" s="406"/>
      <c r="K47" s="406"/>
      <c r="L47" s="406"/>
      <c r="M47" s="406"/>
      <c r="N47" s="406"/>
      <c r="O47" s="54"/>
      <c r="P47" s="54"/>
    </row>
    <row r="48" spans="1:17">
      <c r="A48" s="54"/>
      <c r="B48" s="406"/>
      <c r="C48" s="406"/>
      <c r="D48" s="406"/>
      <c r="E48" s="406"/>
      <c r="F48" s="406"/>
      <c r="G48" s="406"/>
      <c r="H48" s="406"/>
      <c r="I48" s="406"/>
      <c r="J48" s="406"/>
      <c r="K48" s="406"/>
      <c r="L48" s="406"/>
      <c r="M48" s="406"/>
      <c r="N48" s="406"/>
      <c r="O48" s="54"/>
      <c r="P48" s="54"/>
    </row>
    <row r="49" spans="1:16">
      <c r="A49" s="54"/>
      <c r="B49" s="407" t="s">
        <v>141</v>
      </c>
      <c r="C49" s="407"/>
      <c r="D49" s="407"/>
      <c r="E49" s="407"/>
      <c r="F49" s="407"/>
      <c r="G49" s="407"/>
      <c r="H49" s="407"/>
      <c r="I49" s="407"/>
      <c r="J49" s="407"/>
      <c r="K49" s="407"/>
      <c r="L49" s="407"/>
      <c r="M49" s="407"/>
      <c r="N49" s="407"/>
      <c r="O49" s="54"/>
      <c r="P49" s="54"/>
    </row>
    <row r="50" spans="1:16" ht="7.15" customHeight="1">
      <c r="A50" s="54"/>
      <c r="B50" s="406"/>
      <c r="C50" s="406"/>
      <c r="D50" s="406"/>
      <c r="E50" s="406"/>
      <c r="F50" s="406"/>
      <c r="G50" s="406"/>
      <c r="H50" s="406"/>
      <c r="I50" s="406"/>
      <c r="J50" s="406"/>
      <c r="K50" s="406"/>
      <c r="L50" s="406"/>
      <c r="M50" s="406"/>
      <c r="N50" s="406"/>
      <c r="O50" s="54"/>
      <c r="P50" s="54"/>
    </row>
    <row r="51" spans="1:16" ht="29.65" customHeight="1">
      <c r="A51" s="54"/>
      <c r="B51" s="406" t="s">
        <v>142</v>
      </c>
      <c r="C51" s="406"/>
      <c r="D51" s="406"/>
      <c r="E51" s="406"/>
      <c r="F51" s="406"/>
      <c r="G51" s="406"/>
      <c r="H51" s="406"/>
      <c r="I51" s="406"/>
      <c r="J51" s="406"/>
      <c r="K51" s="406"/>
      <c r="L51" s="406"/>
      <c r="M51" s="406"/>
      <c r="N51" s="406"/>
      <c r="O51" s="54"/>
      <c r="P51" s="54"/>
    </row>
    <row r="52" spans="1:16" ht="4.1500000000000004" customHeight="1">
      <c r="A52" s="54"/>
      <c r="B52" s="406"/>
      <c r="C52" s="406"/>
      <c r="D52" s="406"/>
      <c r="E52" s="406"/>
      <c r="F52" s="406"/>
      <c r="G52" s="406"/>
      <c r="H52" s="406"/>
      <c r="I52" s="406"/>
      <c r="J52" s="406"/>
      <c r="K52" s="406"/>
      <c r="L52" s="406"/>
      <c r="M52" s="406"/>
      <c r="N52" s="406"/>
      <c r="O52" s="54"/>
      <c r="P52" s="54"/>
    </row>
    <row r="53" spans="1:16">
      <c r="A53" s="54"/>
      <c r="B53" s="406" t="s">
        <v>143</v>
      </c>
      <c r="C53" s="406"/>
      <c r="D53" s="406"/>
      <c r="E53" s="406"/>
      <c r="F53" s="406"/>
      <c r="G53" s="406"/>
      <c r="H53" s="406"/>
      <c r="I53" s="406"/>
      <c r="J53" s="406"/>
      <c r="K53" s="406"/>
      <c r="L53" s="406"/>
      <c r="M53" s="406"/>
      <c r="N53" s="406"/>
      <c r="O53" s="54"/>
      <c r="P53" s="54"/>
    </row>
    <row r="54" spans="1:16" ht="1.1499999999999999" customHeight="1">
      <c r="A54" s="54"/>
      <c r="B54" s="63"/>
      <c r="C54" s="63"/>
      <c r="D54" s="63"/>
      <c r="E54" s="63"/>
      <c r="F54" s="63"/>
      <c r="G54" s="63"/>
      <c r="H54" s="63"/>
      <c r="I54" s="63"/>
      <c r="J54" s="63"/>
      <c r="K54" s="63"/>
      <c r="L54" s="63"/>
      <c r="M54" s="63"/>
      <c r="N54" s="63"/>
      <c r="O54" s="54"/>
      <c r="P54" s="54"/>
    </row>
    <row r="55" spans="1:16" ht="15" customHeight="1">
      <c r="A55" s="54"/>
      <c r="B55" s="406" t="s">
        <v>144</v>
      </c>
      <c r="C55" s="406"/>
      <c r="D55" s="406"/>
      <c r="E55" s="406"/>
      <c r="F55" s="406"/>
      <c r="G55" s="406"/>
      <c r="H55" s="406"/>
      <c r="I55" s="406"/>
      <c r="J55" s="406"/>
      <c r="K55" s="406"/>
      <c r="L55" s="406"/>
      <c r="M55" s="406"/>
      <c r="N55" s="406"/>
      <c r="O55" s="54"/>
      <c r="P55" s="54"/>
    </row>
    <row r="56" spans="1:16">
      <c r="A56" s="54"/>
      <c r="B56" s="406" t="s">
        <v>145</v>
      </c>
      <c r="C56" s="406"/>
      <c r="D56" s="406"/>
      <c r="E56" s="406"/>
      <c r="F56" s="406"/>
      <c r="G56" s="406"/>
      <c r="H56" s="406"/>
      <c r="I56" s="406"/>
      <c r="J56" s="406"/>
      <c r="K56" s="406"/>
      <c r="L56" s="406"/>
      <c r="M56" s="406"/>
      <c r="N56" s="406"/>
      <c r="O56" s="54"/>
      <c r="P56" s="54"/>
    </row>
    <row r="57" spans="1:16">
      <c r="A57" s="54"/>
      <c r="B57" s="406"/>
      <c r="C57" s="406"/>
      <c r="D57" s="406"/>
      <c r="E57" s="406"/>
      <c r="F57" s="406"/>
      <c r="G57" s="406"/>
      <c r="H57" s="406"/>
      <c r="I57" s="406"/>
      <c r="J57" s="406"/>
      <c r="K57" s="406"/>
      <c r="L57" s="406"/>
      <c r="M57" s="406"/>
      <c r="N57" s="406"/>
      <c r="O57" s="54"/>
      <c r="P57" s="54"/>
    </row>
    <row r="58" spans="1:16">
      <c r="A58" s="54"/>
      <c r="B58" s="407" t="s">
        <v>146</v>
      </c>
      <c r="C58" s="407"/>
      <c r="D58" s="407"/>
      <c r="E58" s="407"/>
      <c r="F58" s="407"/>
      <c r="G58" s="407"/>
      <c r="H58" s="407"/>
      <c r="I58" s="407"/>
      <c r="J58" s="407"/>
      <c r="K58" s="407"/>
      <c r="L58" s="407"/>
      <c r="M58" s="407"/>
      <c r="N58" s="407"/>
      <c r="O58" s="54"/>
      <c r="P58" s="54"/>
    </row>
    <row r="59" spans="1:16" ht="7.15" customHeight="1">
      <c r="A59" s="54"/>
      <c r="B59" s="406"/>
      <c r="C59" s="406"/>
      <c r="D59" s="406"/>
      <c r="E59" s="406"/>
      <c r="F59" s="406"/>
      <c r="G59" s="406"/>
      <c r="H59" s="406"/>
      <c r="I59" s="406"/>
      <c r="J59" s="406"/>
      <c r="K59" s="406"/>
      <c r="L59" s="406"/>
      <c r="M59" s="406"/>
      <c r="N59" s="406"/>
      <c r="O59" s="54"/>
      <c r="P59" s="54"/>
    </row>
    <row r="60" spans="1:16" ht="31.15" customHeight="1">
      <c r="A60" s="54"/>
      <c r="B60" s="406" t="s">
        <v>147</v>
      </c>
      <c r="C60" s="406"/>
      <c r="D60" s="406"/>
      <c r="E60" s="406"/>
      <c r="F60" s="406"/>
      <c r="G60" s="406"/>
      <c r="H60" s="406"/>
      <c r="I60" s="406"/>
      <c r="J60" s="406"/>
      <c r="K60" s="406"/>
      <c r="L60" s="406"/>
      <c r="M60" s="406"/>
      <c r="N60" s="406"/>
      <c r="O60" s="54"/>
      <c r="P60" s="54"/>
    </row>
    <row r="61" spans="1:16" ht="6.6" customHeight="1">
      <c r="A61" s="54"/>
      <c r="B61" s="406"/>
      <c r="C61" s="406"/>
      <c r="D61" s="406"/>
      <c r="E61" s="406"/>
      <c r="F61" s="406"/>
      <c r="G61" s="406"/>
      <c r="H61" s="406"/>
      <c r="I61" s="406"/>
      <c r="J61" s="406"/>
      <c r="K61" s="406"/>
      <c r="L61" s="406"/>
      <c r="M61" s="406"/>
      <c r="N61" s="406"/>
      <c r="O61" s="54"/>
      <c r="P61" s="54"/>
    </row>
    <row r="62" spans="1:16" ht="42.6" customHeight="1">
      <c r="A62" s="54"/>
      <c r="B62" s="407" t="s">
        <v>148</v>
      </c>
      <c r="C62" s="406"/>
      <c r="D62" s="406"/>
      <c r="E62" s="406"/>
      <c r="F62" s="406"/>
      <c r="G62" s="406"/>
      <c r="H62" s="406"/>
      <c r="I62" s="406"/>
      <c r="J62" s="406"/>
      <c r="K62" s="406"/>
      <c r="L62" s="406"/>
      <c r="M62" s="406"/>
      <c r="N62" s="406"/>
      <c r="O62" s="54"/>
      <c r="P62" s="54"/>
    </row>
    <row r="63" spans="1:16" ht="4.1500000000000004" customHeight="1">
      <c r="A63" s="54"/>
      <c r="B63" s="406"/>
      <c r="C63" s="406"/>
      <c r="D63" s="406"/>
      <c r="E63" s="406"/>
      <c r="F63" s="406"/>
      <c r="G63" s="406"/>
      <c r="H63" s="406"/>
      <c r="I63" s="406"/>
      <c r="J63" s="406"/>
      <c r="K63" s="406"/>
      <c r="L63" s="406"/>
      <c r="M63" s="406"/>
      <c r="N63" s="406"/>
      <c r="O63" s="54"/>
      <c r="P63" s="54"/>
    </row>
    <row r="64" spans="1:16" ht="29.65" customHeight="1">
      <c r="A64" s="54"/>
      <c r="B64" s="406" t="s">
        <v>149</v>
      </c>
      <c r="C64" s="406"/>
      <c r="D64" s="406"/>
      <c r="E64" s="406"/>
      <c r="F64" s="406"/>
      <c r="G64" s="406"/>
      <c r="H64" s="406"/>
      <c r="I64" s="406"/>
      <c r="J64" s="406"/>
      <c r="K64" s="406"/>
      <c r="L64" s="406"/>
      <c r="M64" s="406"/>
      <c r="N64" s="406"/>
      <c r="O64" s="54"/>
      <c r="P64" s="54"/>
    </row>
    <row r="65" spans="1:17" ht="7.9" customHeight="1">
      <c r="A65" s="54"/>
      <c r="B65" s="406"/>
      <c r="C65" s="406"/>
      <c r="D65" s="406"/>
      <c r="E65" s="406"/>
      <c r="F65" s="406"/>
      <c r="G65" s="406"/>
      <c r="H65" s="406"/>
      <c r="I65" s="406"/>
      <c r="J65" s="406"/>
      <c r="K65" s="406"/>
      <c r="L65" s="406"/>
      <c r="M65" s="406"/>
      <c r="N65" s="406"/>
      <c r="O65" s="54"/>
      <c r="P65" s="54"/>
    </row>
    <row r="66" spans="1:17" ht="38.25" customHeight="1">
      <c r="A66" s="54"/>
      <c r="B66" s="406" t="s">
        <v>150</v>
      </c>
      <c r="C66" s="406"/>
      <c r="D66" s="406"/>
      <c r="E66" s="406"/>
      <c r="F66" s="406"/>
      <c r="G66" s="406"/>
      <c r="H66" s="406"/>
      <c r="I66" s="406"/>
      <c r="J66" s="406"/>
      <c r="K66" s="406"/>
      <c r="L66" s="406"/>
      <c r="M66" s="406"/>
      <c r="N66" s="406"/>
      <c r="O66" s="54"/>
      <c r="P66" s="216" t="s">
        <v>151</v>
      </c>
    </row>
    <row r="67" spans="1:17" ht="9" customHeight="1">
      <c r="A67" s="54"/>
      <c r="B67" s="406"/>
      <c r="C67" s="406"/>
      <c r="D67" s="406"/>
      <c r="E67" s="406"/>
      <c r="F67" s="406"/>
      <c r="G67" s="406"/>
      <c r="H67" s="406"/>
      <c r="I67" s="406"/>
      <c r="J67" s="406"/>
      <c r="K67" s="406"/>
      <c r="L67" s="406"/>
      <c r="M67" s="406"/>
      <c r="N67" s="406"/>
      <c r="O67" s="54"/>
      <c r="P67" s="54"/>
    </row>
    <row r="68" spans="1:17" ht="21.75" customHeight="1">
      <c r="A68" s="54"/>
      <c r="B68" s="401" t="s">
        <v>152</v>
      </c>
      <c r="C68" s="401"/>
      <c r="D68" s="401"/>
      <c r="E68" s="401"/>
      <c r="F68" s="401"/>
      <c r="G68" s="401"/>
      <c r="H68" s="401"/>
      <c r="I68" s="401"/>
      <c r="J68" s="401"/>
      <c r="K68" s="401"/>
      <c r="L68" s="402"/>
      <c r="M68" s="402"/>
      <c r="N68" s="63"/>
      <c r="O68" s="270"/>
      <c r="P68" s="217" t="s">
        <v>153</v>
      </c>
      <c r="Q68" s="142"/>
    </row>
    <row r="69" spans="1:17" ht="9" customHeight="1">
      <c r="A69" s="54"/>
      <c r="B69" s="406"/>
      <c r="C69" s="406"/>
      <c r="D69" s="406"/>
      <c r="E69" s="406"/>
      <c r="F69" s="406"/>
      <c r="G69" s="406"/>
      <c r="H69" s="406"/>
      <c r="I69" s="406"/>
      <c r="J69" s="406"/>
      <c r="K69" s="406"/>
      <c r="L69" s="406"/>
      <c r="M69" s="406"/>
      <c r="N69" s="406"/>
      <c r="O69" s="54"/>
      <c r="P69" s="218"/>
      <c r="Q69" s="142"/>
    </row>
    <row r="70" spans="1:17" ht="26.25" customHeight="1">
      <c r="A70" s="54"/>
      <c r="B70" s="406" t="s">
        <v>154</v>
      </c>
      <c r="C70" s="406"/>
      <c r="D70" s="406"/>
      <c r="E70" s="406"/>
      <c r="F70" s="406"/>
      <c r="G70" s="406"/>
      <c r="H70" s="406"/>
      <c r="I70" s="406"/>
      <c r="J70" s="406"/>
      <c r="K70" s="406"/>
      <c r="L70" s="406"/>
      <c r="M70" s="406"/>
      <c r="N70" s="406"/>
      <c r="O70" s="143"/>
      <c r="P70" s="219" t="s">
        <v>155</v>
      </c>
    </row>
    <row r="71" spans="1:17" ht="9" customHeight="1">
      <c r="A71" s="54"/>
      <c r="B71" s="406"/>
      <c r="C71" s="406"/>
      <c r="D71" s="406"/>
      <c r="E71" s="406"/>
      <c r="F71" s="406"/>
      <c r="G71" s="406"/>
      <c r="H71" s="406"/>
      <c r="I71" s="406"/>
      <c r="J71" s="406"/>
      <c r="K71" s="406"/>
      <c r="L71" s="406"/>
      <c r="M71" s="406"/>
      <c r="N71" s="406"/>
      <c r="O71" s="54"/>
      <c r="P71" s="218"/>
      <c r="Q71" s="142"/>
    </row>
    <row r="72" spans="1:17" ht="37.5" customHeight="1">
      <c r="A72" s="54"/>
      <c r="B72" s="401" t="s">
        <v>156</v>
      </c>
      <c r="C72" s="401"/>
      <c r="D72" s="401"/>
      <c r="E72" s="401"/>
      <c r="F72" s="401"/>
      <c r="G72" s="401"/>
      <c r="H72" s="401"/>
      <c r="I72" s="401"/>
      <c r="J72" s="401"/>
      <c r="K72" s="401"/>
      <c r="L72" s="401"/>
      <c r="M72" s="401"/>
      <c r="N72" s="107"/>
      <c r="O72" s="271"/>
      <c r="P72" s="217" t="s">
        <v>157</v>
      </c>
    </row>
    <row r="73" spans="1:17" ht="9" customHeight="1">
      <c r="A73" s="54"/>
      <c r="B73" s="406"/>
      <c r="C73" s="406"/>
      <c r="D73" s="406"/>
      <c r="E73" s="406"/>
      <c r="F73" s="406"/>
      <c r="G73" s="406"/>
      <c r="H73" s="406"/>
      <c r="I73" s="406"/>
      <c r="J73" s="406"/>
      <c r="K73" s="406"/>
      <c r="L73" s="406"/>
      <c r="M73" s="406"/>
      <c r="N73" s="406"/>
      <c r="O73" s="54"/>
      <c r="P73" s="218"/>
    </row>
    <row r="74" spans="1:17" ht="40.15" customHeight="1">
      <c r="A74" s="54"/>
      <c r="B74" s="406" t="s">
        <v>158</v>
      </c>
      <c r="C74" s="406"/>
      <c r="D74" s="406"/>
      <c r="E74" s="406"/>
      <c r="F74" s="406"/>
      <c r="G74" s="406"/>
      <c r="H74" s="406"/>
      <c r="I74" s="406"/>
      <c r="J74" s="406"/>
      <c r="K74" s="406"/>
      <c r="L74" s="406"/>
      <c r="M74" s="406"/>
      <c r="N74" s="406"/>
      <c r="O74" s="272"/>
      <c r="P74" s="217" t="s">
        <v>159</v>
      </c>
    </row>
    <row r="75" spans="1:17" ht="7.5" customHeight="1">
      <c r="A75" s="54"/>
      <c r="B75" s="63"/>
      <c r="C75" s="63"/>
      <c r="D75" s="63"/>
      <c r="E75" s="63"/>
      <c r="F75" s="63"/>
      <c r="G75" s="63"/>
      <c r="H75" s="63"/>
      <c r="I75" s="63"/>
      <c r="J75" s="63"/>
      <c r="K75" s="63"/>
      <c r="L75" s="63"/>
      <c r="M75" s="63"/>
      <c r="N75" s="63"/>
      <c r="O75" s="54"/>
      <c r="P75" s="218"/>
    </row>
    <row r="76" spans="1:17" ht="42.75" customHeight="1">
      <c r="A76" s="176"/>
      <c r="B76" s="420" t="s">
        <v>160</v>
      </c>
      <c r="C76" s="420"/>
      <c r="D76" s="420"/>
      <c r="E76" s="420"/>
      <c r="F76" s="420"/>
      <c r="G76" s="420"/>
      <c r="H76" s="420"/>
      <c r="I76" s="420"/>
      <c r="J76" s="420"/>
      <c r="K76" s="420"/>
      <c r="L76" s="420"/>
      <c r="M76" s="420"/>
      <c r="N76" s="420"/>
      <c r="O76" s="54"/>
      <c r="P76" s="219" t="s">
        <v>161</v>
      </c>
    </row>
    <row r="77" spans="1:17" ht="10.5" customHeight="1">
      <c r="A77" s="54"/>
      <c r="B77" s="406"/>
      <c r="C77" s="406"/>
      <c r="D77" s="406"/>
      <c r="E77" s="406"/>
      <c r="F77" s="406"/>
      <c r="G77" s="406"/>
      <c r="H77" s="406"/>
      <c r="I77" s="406"/>
      <c r="J77" s="406"/>
      <c r="K77" s="406"/>
      <c r="L77" s="406"/>
      <c r="M77" s="406"/>
      <c r="N77" s="406"/>
      <c r="O77" s="54"/>
      <c r="P77" s="218"/>
    </row>
    <row r="78" spans="1:17" ht="16.899999999999999" customHeight="1">
      <c r="A78" s="54"/>
      <c r="B78" s="417" t="s">
        <v>162</v>
      </c>
      <c r="C78" s="417"/>
      <c r="D78" s="417"/>
      <c r="E78" s="417"/>
      <c r="F78" s="417"/>
      <c r="G78" s="417"/>
      <c r="H78" s="417"/>
      <c r="I78" s="417"/>
      <c r="J78" s="417"/>
      <c r="K78" s="417"/>
      <c r="L78" s="417"/>
      <c r="M78" s="63"/>
      <c r="N78" s="63"/>
      <c r="O78" s="54"/>
      <c r="P78" s="218"/>
    </row>
    <row r="79" spans="1:17" ht="19.899999999999999" customHeight="1">
      <c r="A79" s="54"/>
      <c r="B79" s="63"/>
      <c r="C79" s="414" t="s">
        <v>163</v>
      </c>
      <c r="D79" s="418"/>
      <c r="E79" s="418"/>
      <c r="F79" s="418"/>
      <c r="G79" s="418"/>
      <c r="H79" s="418"/>
      <c r="I79" s="418"/>
      <c r="J79" s="418"/>
      <c r="K79" s="418"/>
      <c r="L79" s="418"/>
      <c r="M79" s="63"/>
      <c r="N79" s="63"/>
      <c r="O79" s="54"/>
      <c r="P79" s="217" t="s">
        <v>164</v>
      </c>
    </row>
    <row r="80" spans="1:17" ht="30.6" customHeight="1">
      <c r="A80" s="54"/>
      <c r="B80" s="63"/>
      <c r="C80" s="414" t="s">
        <v>165</v>
      </c>
      <c r="D80" s="418"/>
      <c r="E80" s="418"/>
      <c r="F80" s="418"/>
      <c r="G80" s="418"/>
      <c r="H80" s="418"/>
      <c r="I80" s="418"/>
      <c r="J80" s="418"/>
      <c r="K80" s="418"/>
      <c r="L80" s="418"/>
      <c r="M80" s="63"/>
      <c r="N80" s="63"/>
      <c r="O80" s="54"/>
      <c r="P80" s="219" t="s">
        <v>166</v>
      </c>
    </row>
    <row r="81" spans="1:16" ht="15" customHeight="1">
      <c r="A81" s="54"/>
      <c r="B81" s="417" t="s">
        <v>167</v>
      </c>
      <c r="C81" s="417"/>
      <c r="D81" s="417"/>
      <c r="E81" s="417"/>
      <c r="F81" s="417"/>
      <c r="G81" s="417"/>
      <c r="H81" s="63"/>
      <c r="I81" s="63"/>
      <c r="J81" s="63"/>
      <c r="K81" s="63"/>
      <c r="L81" s="63"/>
      <c r="M81" s="63"/>
      <c r="N81" s="63"/>
      <c r="O81" s="215" t="s">
        <v>168</v>
      </c>
      <c r="P81" s="218"/>
    </row>
    <row r="82" spans="1:16" ht="10.5" customHeight="1">
      <c r="A82" s="54"/>
      <c r="B82" s="63"/>
      <c r="C82" s="63"/>
      <c r="D82" s="63"/>
      <c r="E82" s="63"/>
      <c r="F82" s="63"/>
      <c r="G82" s="63"/>
      <c r="H82" s="63"/>
      <c r="I82" s="63"/>
      <c r="J82" s="63"/>
      <c r="K82" s="63"/>
      <c r="L82" s="63"/>
      <c r="M82" s="63"/>
      <c r="N82" s="63"/>
      <c r="O82" s="54"/>
      <c r="P82" s="218"/>
    </row>
    <row r="83" spans="1:16">
      <c r="A83" s="54"/>
      <c r="B83" s="406" t="s">
        <v>169</v>
      </c>
      <c r="C83" s="406"/>
      <c r="D83" s="406"/>
      <c r="E83" s="406"/>
      <c r="F83" s="406"/>
      <c r="G83" s="406"/>
      <c r="H83" s="406"/>
      <c r="I83" s="406"/>
      <c r="J83" s="406"/>
      <c r="K83" s="406"/>
      <c r="L83" s="406"/>
      <c r="M83" s="406"/>
      <c r="N83" s="406"/>
      <c r="O83" s="54"/>
      <c r="P83" s="218"/>
    </row>
    <row r="84" spans="1:16" ht="4.1500000000000004" customHeight="1">
      <c r="A84" s="54"/>
      <c r="B84" s="406"/>
      <c r="C84" s="406"/>
      <c r="D84" s="406"/>
      <c r="E84" s="406"/>
      <c r="F84" s="406"/>
      <c r="G84" s="406"/>
      <c r="H84" s="406"/>
      <c r="I84" s="406"/>
      <c r="J84" s="406"/>
      <c r="K84" s="406"/>
      <c r="L84" s="406"/>
      <c r="M84" s="406"/>
      <c r="N84" s="406"/>
      <c r="O84" s="54"/>
      <c r="P84" s="218"/>
    </row>
    <row r="85" spans="1:16">
      <c r="A85" s="54"/>
      <c r="B85" s="54"/>
      <c r="C85" s="414" t="s">
        <v>170</v>
      </c>
      <c r="D85" s="401"/>
      <c r="E85" s="401"/>
      <c r="F85" s="401"/>
      <c r="G85" s="401"/>
      <c r="H85" s="401"/>
      <c r="I85" s="401"/>
      <c r="J85" s="401"/>
      <c r="K85" s="401"/>
      <c r="L85" s="401"/>
      <c r="M85" s="401"/>
      <c r="N85" s="401"/>
      <c r="O85" s="54"/>
      <c r="P85" s="217" t="s">
        <v>171</v>
      </c>
    </row>
    <row r="86" spans="1:16" ht="4.1500000000000004" customHeight="1">
      <c r="A86" s="54"/>
      <c r="B86" s="406"/>
      <c r="C86" s="406"/>
      <c r="D86" s="406"/>
      <c r="E86" s="406"/>
      <c r="F86" s="406"/>
      <c r="G86" s="406"/>
      <c r="H86" s="406"/>
      <c r="I86" s="406"/>
      <c r="J86" s="406"/>
      <c r="K86" s="406"/>
      <c r="L86" s="406"/>
      <c r="M86" s="406"/>
      <c r="N86" s="406"/>
      <c r="O86" s="54"/>
      <c r="P86" s="218"/>
    </row>
    <row r="87" spans="1:16">
      <c r="A87" s="54"/>
      <c r="B87" s="54"/>
      <c r="C87" s="414" t="s">
        <v>172</v>
      </c>
      <c r="D87" s="401"/>
      <c r="E87" s="401"/>
      <c r="F87" s="401"/>
      <c r="G87" s="401"/>
      <c r="H87" s="401"/>
      <c r="I87" s="401"/>
      <c r="J87" s="401"/>
      <c r="K87" s="401"/>
      <c r="L87" s="401"/>
      <c r="M87" s="401"/>
      <c r="N87" s="401"/>
      <c r="O87" s="54"/>
      <c r="P87" s="217" t="s">
        <v>173</v>
      </c>
    </row>
    <row r="88" spans="1:16" ht="4.1500000000000004" customHeight="1">
      <c r="A88" s="54"/>
      <c r="B88" s="406"/>
      <c r="C88" s="406"/>
      <c r="D88" s="406"/>
      <c r="E88" s="406"/>
      <c r="F88" s="406"/>
      <c r="G88" s="406"/>
      <c r="H88" s="406"/>
      <c r="I88" s="406"/>
      <c r="J88" s="406"/>
      <c r="K88" s="406"/>
      <c r="L88" s="406"/>
      <c r="M88" s="406"/>
      <c r="N88" s="406"/>
      <c r="O88" s="54"/>
      <c r="P88" s="218"/>
    </row>
    <row r="89" spans="1:16">
      <c r="A89" s="54"/>
      <c r="B89" s="54"/>
      <c r="C89" s="414" t="s">
        <v>174</v>
      </c>
      <c r="D89" s="401"/>
      <c r="E89" s="401"/>
      <c r="F89" s="401"/>
      <c r="G89" s="401"/>
      <c r="H89" s="401"/>
      <c r="I89" s="401"/>
      <c r="J89" s="401"/>
      <c r="K89" s="401"/>
      <c r="L89" s="401"/>
      <c r="M89" s="401"/>
      <c r="N89" s="401"/>
      <c r="O89" s="403"/>
      <c r="P89" s="217" t="s">
        <v>175</v>
      </c>
    </row>
    <row r="90" spans="1:16" ht="4.1500000000000004" customHeight="1">
      <c r="A90" s="54"/>
      <c r="B90" s="406"/>
      <c r="C90" s="406"/>
      <c r="D90" s="406"/>
      <c r="E90" s="406"/>
      <c r="F90" s="406"/>
      <c r="G90" s="406"/>
      <c r="H90" s="406"/>
      <c r="I90" s="406"/>
      <c r="J90" s="406"/>
      <c r="K90" s="406"/>
      <c r="L90" s="406"/>
      <c r="M90" s="406"/>
      <c r="N90" s="406"/>
      <c r="O90" s="404"/>
      <c r="P90" s="218"/>
    </row>
    <row r="91" spans="1:16" ht="13.15" customHeight="1">
      <c r="A91" s="54"/>
      <c r="B91" s="401" t="s">
        <v>176</v>
      </c>
      <c r="C91" s="401"/>
      <c r="D91" s="401"/>
      <c r="E91" s="401"/>
      <c r="F91" s="401"/>
      <c r="G91" s="401"/>
      <c r="H91" s="401"/>
      <c r="I91" s="63"/>
      <c r="J91" s="63"/>
      <c r="K91" s="63"/>
      <c r="L91" s="63"/>
      <c r="M91" s="63"/>
      <c r="N91" s="63"/>
      <c r="O91" s="405"/>
      <c r="P91" s="218"/>
    </row>
    <row r="92" spans="1:16" ht="10.9" customHeight="1">
      <c r="A92" s="54"/>
      <c r="B92" s="406"/>
      <c r="C92" s="406"/>
      <c r="D92" s="406"/>
      <c r="E92" s="406"/>
      <c r="F92" s="406"/>
      <c r="G92" s="406"/>
      <c r="H92" s="406"/>
      <c r="I92" s="406"/>
      <c r="J92" s="406"/>
      <c r="K92" s="406"/>
      <c r="L92" s="406"/>
      <c r="M92" s="406"/>
      <c r="N92" s="406"/>
      <c r="O92" s="54"/>
      <c r="P92" s="218"/>
    </row>
    <row r="93" spans="1:16" ht="27" customHeight="1">
      <c r="A93" s="54"/>
      <c r="B93" s="406" t="s">
        <v>177</v>
      </c>
      <c r="C93" s="406"/>
      <c r="D93" s="406"/>
      <c r="E93" s="406"/>
      <c r="F93" s="406"/>
      <c r="G93" s="406"/>
      <c r="H93" s="406"/>
      <c r="I93" s="406"/>
      <c r="J93" s="406"/>
      <c r="K93" s="406"/>
      <c r="L93" s="406"/>
      <c r="M93" s="406"/>
      <c r="N93" s="406"/>
      <c r="O93" s="54"/>
      <c r="P93" s="218"/>
    </row>
    <row r="94" spans="1:16" ht="3" customHeight="1">
      <c r="A94" s="54"/>
      <c r="B94" s="406"/>
      <c r="C94" s="406"/>
      <c r="D94" s="406"/>
      <c r="E94" s="406"/>
      <c r="F94" s="406"/>
      <c r="G94" s="406"/>
      <c r="H94" s="406"/>
      <c r="I94" s="406"/>
      <c r="J94" s="406"/>
      <c r="K94" s="406"/>
      <c r="L94" s="406"/>
      <c r="M94" s="406"/>
      <c r="N94" s="406"/>
      <c r="O94" s="54"/>
      <c r="P94" s="218"/>
    </row>
    <row r="95" spans="1:16" ht="24" customHeight="1">
      <c r="A95" s="54"/>
      <c r="B95" s="54"/>
      <c r="C95" s="414" t="s">
        <v>178</v>
      </c>
      <c r="D95" s="401"/>
      <c r="E95" s="401"/>
      <c r="F95" s="401"/>
      <c r="G95" s="401"/>
      <c r="H95" s="401"/>
      <c r="I95" s="401"/>
      <c r="J95" s="401"/>
      <c r="K95" s="401"/>
      <c r="L95" s="401"/>
      <c r="M95" s="401"/>
      <c r="N95" s="401"/>
      <c r="O95" s="54"/>
      <c r="P95" s="218"/>
    </row>
    <row r="96" spans="1:16" ht="4.9000000000000004" customHeight="1">
      <c r="A96" s="54"/>
      <c r="B96" s="406"/>
      <c r="C96" s="406"/>
      <c r="D96" s="406"/>
      <c r="E96" s="406"/>
      <c r="F96" s="406"/>
      <c r="G96" s="406"/>
      <c r="H96" s="406"/>
      <c r="I96" s="406"/>
      <c r="J96" s="406"/>
      <c r="K96" s="406"/>
      <c r="L96" s="406"/>
      <c r="M96" s="406"/>
      <c r="N96" s="406"/>
      <c r="O96" s="54"/>
      <c r="P96" s="218"/>
    </row>
    <row r="97" spans="1:16" ht="26.65" customHeight="1">
      <c r="A97" s="54"/>
      <c r="B97" s="54"/>
      <c r="C97" s="414" t="s">
        <v>179</v>
      </c>
      <c r="D97" s="401"/>
      <c r="E97" s="401"/>
      <c r="F97" s="401"/>
      <c r="G97" s="401"/>
      <c r="H97" s="401"/>
      <c r="I97" s="401"/>
      <c r="J97" s="401"/>
      <c r="K97" s="401"/>
      <c r="L97" s="401"/>
      <c r="M97" s="401"/>
      <c r="N97" s="401"/>
      <c r="O97" s="54"/>
      <c r="P97" s="218"/>
    </row>
    <row r="98" spans="1:16" ht="4.9000000000000004" customHeight="1">
      <c r="A98" s="54"/>
      <c r="B98" s="406"/>
      <c r="C98" s="406"/>
      <c r="D98" s="406"/>
      <c r="E98" s="406"/>
      <c r="F98" s="406"/>
      <c r="G98" s="406"/>
      <c r="H98" s="406"/>
      <c r="I98" s="406"/>
      <c r="J98" s="406"/>
      <c r="K98" s="406"/>
      <c r="L98" s="406"/>
      <c r="M98" s="406"/>
      <c r="N98" s="406"/>
      <c r="O98" s="54"/>
      <c r="P98" s="218"/>
    </row>
    <row r="99" spans="1:16">
      <c r="A99" s="54"/>
      <c r="B99" s="54"/>
      <c r="C99" s="414" t="s">
        <v>180</v>
      </c>
      <c r="D99" s="401"/>
      <c r="E99" s="401"/>
      <c r="F99" s="401"/>
      <c r="G99" s="401"/>
      <c r="H99" s="401"/>
      <c r="I99" s="401"/>
      <c r="J99" s="401"/>
      <c r="K99" s="401"/>
      <c r="L99" s="401"/>
      <c r="M99" s="401"/>
      <c r="N99" s="401"/>
      <c r="O99" s="54"/>
      <c r="P99" s="218"/>
    </row>
    <row r="100" spans="1:16" ht="4.9000000000000004" customHeight="1">
      <c r="A100" s="54"/>
      <c r="B100" s="406"/>
      <c r="C100" s="406"/>
      <c r="D100" s="406"/>
      <c r="E100" s="406"/>
      <c r="F100" s="406"/>
      <c r="G100" s="406"/>
      <c r="H100" s="406"/>
      <c r="I100" s="406"/>
      <c r="J100" s="406"/>
      <c r="K100" s="406"/>
      <c r="L100" s="406"/>
      <c r="M100" s="406"/>
      <c r="N100" s="406"/>
      <c r="O100" s="54"/>
      <c r="P100" s="218"/>
    </row>
    <row r="101" spans="1:16" ht="31.9" customHeight="1">
      <c r="A101" s="54"/>
      <c r="B101" s="54"/>
      <c r="C101" s="414" t="s">
        <v>181</v>
      </c>
      <c r="D101" s="401"/>
      <c r="E101" s="401"/>
      <c r="F101" s="401"/>
      <c r="G101" s="401"/>
      <c r="H101" s="401"/>
      <c r="I101" s="401"/>
      <c r="J101" s="401"/>
      <c r="K101" s="401"/>
      <c r="L101" s="401"/>
      <c r="M101" s="401"/>
      <c r="N101" s="401"/>
      <c r="O101" s="54"/>
      <c r="P101" s="218"/>
    </row>
    <row r="102" spans="1:16" ht="4.9000000000000004" customHeight="1">
      <c r="A102" s="54"/>
      <c r="B102" s="406"/>
      <c r="C102" s="406"/>
      <c r="D102" s="406"/>
      <c r="E102" s="406"/>
      <c r="F102" s="406"/>
      <c r="G102" s="406"/>
      <c r="H102" s="406"/>
      <c r="I102" s="406"/>
      <c r="J102" s="406"/>
      <c r="K102" s="406"/>
      <c r="L102" s="406"/>
      <c r="M102" s="406"/>
      <c r="N102" s="406"/>
      <c r="O102" s="54"/>
      <c r="P102" s="218"/>
    </row>
    <row r="103" spans="1:16" ht="25.9" customHeight="1">
      <c r="A103" s="54"/>
      <c r="B103" s="54"/>
      <c r="C103" s="414" t="s">
        <v>182</v>
      </c>
      <c r="D103" s="401"/>
      <c r="E103" s="401"/>
      <c r="F103" s="401"/>
      <c r="G103" s="401"/>
      <c r="H103" s="401"/>
      <c r="I103" s="401"/>
      <c r="J103" s="401"/>
      <c r="K103" s="401"/>
      <c r="L103" s="401"/>
      <c r="M103" s="401"/>
      <c r="N103" s="401"/>
      <c r="O103" s="54"/>
      <c r="P103" s="218"/>
    </row>
    <row r="104" spans="1:16" ht="4.9000000000000004" customHeight="1">
      <c r="A104" s="54"/>
      <c r="B104" s="406"/>
      <c r="C104" s="406"/>
      <c r="D104" s="406"/>
      <c r="E104" s="406"/>
      <c r="F104" s="406"/>
      <c r="G104" s="406"/>
      <c r="H104" s="406"/>
      <c r="I104" s="406"/>
      <c r="J104" s="406"/>
      <c r="K104" s="406"/>
      <c r="L104" s="406"/>
      <c r="M104" s="406"/>
      <c r="N104" s="406"/>
      <c r="O104" s="54"/>
      <c r="P104" s="218"/>
    </row>
    <row r="105" spans="1:16" ht="26.65" customHeight="1">
      <c r="A105" s="54"/>
      <c r="B105" s="54"/>
      <c r="C105" s="414" t="s">
        <v>183</v>
      </c>
      <c r="D105" s="401"/>
      <c r="E105" s="401"/>
      <c r="F105" s="401"/>
      <c r="G105" s="401"/>
      <c r="H105" s="401"/>
      <c r="I105" s="401"/>
      <c r="J105" s="401"/>
      <c r="K105" s="401"/>
      <c r="L105" s="401"/>
      <c r="M105" s="401"/>
      <c r="N105" s="401"/>
      <c r="O105" s="54"/>
      <c r="P105" s="218"/>
    </row>
    <row r="106" spans="1:16" ht="4.9000000000000004" customHeight="1">
      <c r="A106" s="54"/>
      <c r="B106" s="406"/>
      <c r="C106" s="406"/>
      <c r="D106" s="406"/>
      <c r="E106" s="406"/>
      <c r="F106" s="406"/>
      <c r="G106" s="406"/>
      <c r="H106" s="406"/>
      <c r="I106" s="406"/>
      <c r="J106" s="406"/>
      <c r="K106" s="406"/>
      <c r="L106" s="406"/>
      <c r="M106" s="406"/>
      <c r="N106" s="406"/>
      <c r="O106" s="54"/>
      <c r="P106" s="218"/>
    </row>
    <row r="107" spans="1:16" ht="28.5" customHeight="1">
      <c r="A107" s="54"/>
      <c r="B107" s="54"/>
      <c r="C107" s="414" t="s">
        <v>184</v>
      </c>
      <c r="D107" s="401"/>
      <c r="E107" s="401"/>
      <c r="F107" s="401"/>
      <c r="G107" s="401"/>
      <c r="H107" s="401"/>
      <c r="I107" s="401"/>
      <c r="J107" s="401"/>
      <c r="K107" s="401"/>
      <c r="L107" s="401"/>
      <c r="M107" s="401"/>
      <c r="N107" s="401"/>
      <c r="O107" s="54"/>
      <c r="P107" s="218"/>
    </row>
    <row r="108" spans="1:16" ht="9" customHeight="1">
      <c r="A108" s="54"/>
      <c r="B108" s="406"/>
      <c r="C108" s="406"/>
      <c r="D108" s="406"/>
      <c r="E108" s="406"/>
      <c r="F108" s="406"/>
      <c r="G108" s="406"/>
      <c r="H108" s="406"/>
      <c r="I108" s="406"/>
      <c r="J108" s="406"/>
      <c r="K108" s="406"/>
      <c r="L108" s="406"/>
      <c r="M108" s="406"/>
      <c r="N108" s="406"/>
      <c r="O108" s="54"/>
      <c r="P108" s="218"/>
    </row>
    <row r="109" spans="1:16" ht="27.75" customHeight="1">
      <c r="A109" s="54"/>
      <c r="B109" s="406" t="s">
        <v>185</v>
      </c>
      <c r="C109" s="402"/>
      <c r="D109" s="402"/>
      <c r="E109" s="402"/>
      <c r="F109" s="402"/>
      <c r="G109" s="402"/>
      <c r="H109" s="402"/>
      <c r="I109" s="402"/>
      <c r="J109" s="402"/>
      <c r="K109" s="402"/>
      <c r="L109" s="402"/>
      <c r="M109" s="402"/>
      <c r="N109" s="63"/>
      <c r="O109" s="54"/>
      <c r="P109" s="218"/>
    </row>
    <row r="110" spans="1:16" ht="12" customHeight="1">
      <c r="A110" s="54"/>
      <c r="B110" s="63"/>
      <c r="C110" s="63"/>
      <c r="D110" s="63"/>
      <c r="E110" s="63"/>
      <c r="F110" s="63"/>
      <c r="G110" s="63"/>
      <c r="H110" s="63"/>
      <c r="I110" s="63"/>
      <c r="J110" s="63"/>
      <c r="K110" s="63"/>
      <c r="L110" s="63"/>
      <c r="M110" s="63"/>
      <c r="N110" s="63"/>
      <c r="O110" s="54"/>
      <c r="P110" s="218"/>
    </row>
    <row r="111" spans="1:16" ht="18" customHeight="1">
      <c r="A111" s="54"/>
      <c r="B111" s="401" t="s">
        <v>186</v>
      </c>
      <c r="C111" s="401"/>
      <c r="D111" s="401"/>
      <c r="E111" s="401"/>
      <c r="F111" s="401"/>
      <c r="G111" s="401"/>
      <c r="H111" s="401"/>
      <c r="I111" s="401"/>
      <c r="J111" s="401"/>
      <c r="K111" s="63"/>
      <c r="L111" s="63"/>
      <c r="M111" s="63"/>
      <c r="N111" s="54"/>
      <c r="O111" s="273"/>
      <c r="P111" s="217" t="s">
        <v>187</v>
      </c>
    </row>
    <row r="112" spans="1:16" ht="5.25" customHeight="1">
      <c r="A112" s="54"/>
      <c r="B112" s="107"/>
      <c r="C112" s="107"/>
      <c r="D112" s="107"/>
      <c r="E112" s="107"/>
      <c r="F112" s="107"/>
      <c r="G112" s="107"/>
      <c r="H112" s="107"/>
      <c r="I112" s="107"/>
      <c r="J112" s="107"/>
      <c r="K112" s="107"/>
      <c r="L112" s="63"/>
      <c r="M112" s="63"/>
      <c r="N112" s="54"/>
      <c r="O112" s="63"/>
      <c r="P112" s="218"/>
    </row>
    <row r="113" spans="1:17" ht="18.75" customHeight="1">
      <c r="A113" s="54"/>
      <c r="B113" s="401" t="s">
        <v>188</v>
      </c>
      <c r="C113" s="401"/>
      <c r="D113" s="401"/>
      <c r="E113" s="401"/>
      <c r="F113" s="401"/>
      <c r="G113" s="401"/>
      <c r="H113" s="401"/>
      <c r="I113" s="401"/>
      <c r="J113" s="401"/>
      <c r="K113" s="401"/>
      <c r="L113" s="401"/>
      <c r="M113" s="401"/>
      <c r="N113" s="54"/>
      <c r="O113" s="274"/>
      <c r="P113" s="217" t="s">
        <v>189</v>
      </c>
    </row>
    <row r="114" spans="1:17" ht="8.25" customHeight="1">
      <c r="A114" s="54"/>
      <c r="B114" s="107"/>
      <c r="C114" s="107"/>
      <c r="D114" s="107"/>
      <c r="E114" s="107"/>
      <c r="F114" s="107"/>
      <c r="G114" s="107"/>
      <c r="H114" s="107"/>
      <c r="I114" s="107"/>
      <c r="J114" s="107"/>
      <c r="K114" s="107"/>
      <c r="L114" s="107"/>
      <c r="M114" s="63"/>
      <c r="N114" s="63"/>
      <c r="O114" s="54"/>
      <c r="P114" s="218"/>
    </row>
    <row r="115" spans="1:17">
      <c r="A115" s="54"/>
      <c r="B115" s="406" t="s">
        <v>190</v>
      </c>
      <c r="C115" s="406"/>
      <c r="D115" s="406"/>
      <c r="E115" s="406"/>
      <c r="F115" s="406"/>
      <c r="G115" s="406"/>
      <c r="H115" s="406"/>
      <c r="I115" s="406"/>
      <c r="J115" s="406"/>
      <c r="K115" s="406"/>
      <c r="L115" s="406"/>
      <c r="M115" s="406"/>
      <c r="N115" s="406"/>
      <c r="O115" s="54"/>
      <c r="P115" s="218"/>
      <c r="Q115" s="142"/>
    </row>
    <row r="116" spans="1:17">
      <c r="A116" s="54"/>
      <c r="B116" s="63"/>
      <c r="C116" s="63"/>
      <c r="D116" s="63"/>
      <c r="E116" s="63"/>
      <c r="F116" s="63"/>
      <c r="G116" s="63"/>
      <c r="H116" s="63"/>
      <c r="I116" s="63"/>
      <c r="J116" s="63"/>
      <c r="K116" s="63"/>
      <c r="L116" s="63"/>
      <c r="M116" s="63"/>
      <c r="N116" s="63"/>
      <c r="O116" s="54"/>
      <c r="P116" s="218"/>
      <c r="Q116" s="142"/>
    </row>
    <row r="117" spans="1:17" ht="45.75" customHeight="1">
      <c r="A117" s="176"/>
      <c r="B117" s="419" t="s">
        <v>191</v>
      </c>
      <c r="C117" s="420"/>
      <c r="D117" s="420"/>
      <c r="E117" s="420"/>
      <c r="F117" s="420"/>
      <c r="G117" s="420"/>
      <c r="H117" s="420"/>
      <c r="I117" s="420"/>
      <c r="J117" s="420"/>
      <c r="K117" s="420"/>
      <c r="L117" s="420"/>
      <c r="M117" s="420"/>
      <c r="N117" s="421"/>
      <c r="O117" s="275"/>
      <c r="P117" s="217" t="s">
        <v>192</v>
      </c>
    </row>
    <row r="118" spans="1:17">
      <c r="A118" s="54"/>
      <c r="B118" s="406"/>
      <c r="C118" s="406"/>
      <c r="D118" s="406"/>
      <c r="E118" s="406"/>
      <c r="F118" s="406"/>
      <c r="G118" s="406"/>
      <c r="H118" s="406"/>
      <c r="I118" s="406"/>
      <c r="J118" s="406"/>
      <c r="K118" s="406"/>
      <c r="L118" s="406"/>
      <c r="M118" s="406"/>
      <c r="N118" s="406"/>
      <c r="O118" s="54"/>
      <c r="P118" s="218"/>
    </row>
    <row r="119" spans="1:17">
      <c r="A119" s="54"/>
      <c r="B119" s="406"/>
      <c r="C119" s="406"/>
      <c r="D119" s="406"/>
      <c r="E119" s="406"/>
      <c r="F119" s="406"/>
      <c r="G119" s="406"/>
      <c r="H119" s="406"/>
      <c r="I119" s="406"/>
      <c r="J119" s="406"/>
      <c r="K119" s="406"/>
      <c r="L119" s="406"/>
      <c r="M119" s="406"/>
      <c r="N119" s="406"/>
      <c r="O119" s="54"/>
      <c r="P119" s="218"/>
    </row>
  </sheetData>
  <mergeCells count="106">
    <mergeCell ref="B12:N12"/>
    <mergeCell ref="B115:N115"/>
    <mergeCell ref="B118:N118"/>
    <mergeCell ref="B119:N119"/>
    <mergeCell ref="B106:N106"/>
    <mergeCell ref="B108:N108"/>
    <mergeCell ref="B96:N96"/>
    <mergeCell ref="B98:N98"/>
    <mergeCell ref="C95:N95"/>
    <mergeCell ref="C97:N97"/>
    <mergeCell ref="C99:N99"/>
    <mergeCell ref="C105:N105"/>
    <mergeCell ref="C107:N107"/>
    <mergeCell ref="B111:J111"/>
    <mergeCell ref="B113:M113"/>
    <mergeCell ref="B100:N100"/>
    <mergeCell ref="B102:N102"/>
    <mergeCell ref="B104:N104"/>
    <mergeCell ref="C101:N101"/>
    <mergeCell ref="C103:N103"/>
    <mergeCell ref="B117:N117"/>
    <mergeCell ref="B69:N69"/>
    <mergeCell ref="B76:N76"/>
    <mergeCell ref="B92:N92"/>
    <mergeCell ref="B93:N93"/>
    <mergeCell ref="B94:N94"/>
    <mergeCell ref="B86:N86"/>
    <mergeCell ref="B88:N88"/>
    <mergeCell ref="C89:N89"/>
    <mergeCell ref="B91:H91"/>
    <mergeCell ref="B90:N90"/>
    <mergeCell ref="B70:N70"/>
    <mergeCell ref="B72:M72"/>
    <mergeCell ref="C85:N85"/>
    <mergeCell ref="C87:N87"/>
    <mergeCell ref="B73:N73"/>
    <mergeCell ref="B74:N74"/>
    <mergeCell ref="B77:N77"/>
    <mergeCell ref="B83:N83"/>
    <mergeCell ref="B84:N84"/>
    <mergeCell ref="B71:N71"/>
    <mergeCell ref="B78:L78"/>
    <mergeCell ref="C79:L79"/>
    <mergeCell ref="C80:L80"/>
    <mergeCell ref="B81:G81"/>
    <mergeCell ref="B60:N60"/>
    <mergeCell ref="B61:N61"/>
    <mergeCell ref="B62:N62"/>
    <mergeCell ref="B28:N28"/>
    <mergeCell ref="B30:N30"/>
    <mergeCell ref="B22:N22"/>
    <mergeCell ref="B24:N24"/>
    <mergeCell ref="B26:N26"/>
    <mergeCell ref="B32:N32"/>
    <mergeCell ref="B34:N34"/>
    <mergeCell ref="C39:N39"/>
    <mergeCell ref="B36:N36"/>
    <mergeCell ref="C33:N33"/>
    <mergeCell ref="B67:N67"/>
    <mergeCell ref="B17:N17"/>
    <mergeCell ref="B19:N19"/>
    <mergeCell ref="B20:N20"/>
    <mergeCell ref="B5:N5"/>
    <mergeCell ref="B7:N7"/>
    <mergeCell ref="B8:N8"/>
    <mergeCell ref="B9:N9"/>
    <mergeCell ref="B10:N10"/>
    <mergeCell ref="B11:G11"/>
    <mergeCell ref="H11:M11"/>
    <mergeCell ref="B15:N15"/>
    <mergeCell ref="B16:N16"/>
    <mergeCell ref="C21:N21"/>
    <mergeCell ref="C23:N23"/>
    <mergeCell ref="C25:N25"/>
    <mergeCell ref="C29:N29"/>
    <mergeCell ref="C31:N31"/>
    <mergeCell ref="B27:N27"/>
    <mergeCell ref="B63:N63"/>
    <mergeCell ref="B64:N64"/>
    <mergeCell ref="B65:N65"/>
    <mergeCell ref="B58:N58"/>
    <mergeCell ref="B59:N59"/>
    <mergeCell ref="B68:M68"/>
    <mergeCell ref="C35:N35"/>
    <mergeCell ref="O89:O91"/>
    <mergeCell ref="B109:M109"/>
    <mergeCell ref="C37:N37"/>
    <mergeCell ref="B38:N38"/>
    <mergeCell ref="B41:N41"/>
    <mergeCell ref="C40:N40"/>
    <mergeCell ref="B48:N48"/>
    <mergeCell ref="B49:N49"/>
    <mergeCell ref="B42:N42"/>
    <mergeCell ref="B45:N45"/>
    <mergeCell ref="B46:N46"/>
    <mergeCell ref="B47:N47"/>
    <mergeCell ref="B43:N43"/>
    <mergeCell ref="B44:N44"/>
    <mergeCell ref="B50:N50"/>
    <mergeCell ref="B51:N51"/>
    <mergeCell ref="B52:N52"/>
    <mergeCell ref="B53:N53"/>
    <mergeCell ref="B55:N55"/>
    <mergeCell ref="B56:N56"/>
    <mergeCell ref="B57:N57"/>
    <mergeCell ref="B66:N66"/>
  </mergeCells>
  <hyperlinks>
    <hyperlink ref="H11" r:id="rId1" xr:uid="{00000000-0004-0000-0200-000000000000}"/>
  </hyperlinks>
  <pageMargins left="0.7" right="0.7" top="0.75" bottom="0.75" header="0.3" footer="0.3"/>
  <pageSetup paperSize="9" orientation="portrait" verticalDpi="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15"/>
  <sheetViews>
    <sheetView workbookViewId="0">
      <selection activeCell="A40" sqref="A40"/>
    </sheetView>
  </sheetViews>
  <sheetFormatPr defaultColWidth="9.28515625" defaultRowHeight="12.75"/>
  <cols>
    <col min="1" max="1" width="18.7109375" customWidth="1"/>
    <col min="2" max="2" width="26" customWidth="1"/>
  </cols>
  <sheetData>
    <row r="1" spans="1:2">
      <c r="A1" s="36" t="s">
        <v>193</v>
      </c>
      <c r="B1" s="36" t="s">
        <v>194</v>
      </c>
    </row>
    <row r="2" spans="1:2">
      <c r="A2" s="36" t="s">
        <v>195</v>
      </c>
      <c r="B2" s="36" t="s">
        <v>196</v>
      </c>
    </row>
    <row r="3" spans="1:2">
      <c r="A3" s="36" t="s">
        <v>197</v>
      </c>
      <c r="B3" s="36" t="s">
        <v>196</v>
      </c>
    </row>
    <row r="4" spans="1:2">
      <c r="A4" s="36" t="s">
        <v>53</v>
      </c>
      <c r="B4" s="36" t="s">
        <v>196</v>
      </c>
    </row>
    <row r="5" spans="1:2">
      <c r="A5" s="36" t="s">
        <v>57</v>
      </c>
      <c r="B5" s="36" t="s">
        <v>196</v>
      </c>
    </row>
    <row r="6" spans="1:2">
      <c r="A6" s="36" t="s">
        <v>60</v>
      </c>
      <c r="B6" s="36" t="s">
        <v>196</v>
      </c>
    </row>
    <row r="7" spans="1:2">
      <c r="A7" s="36" t="s">
        <v>64</v>
      </c>
      <c r="B7" s="36" t="s">
        <v>196</v>
      </c>
    </row>
    <row r="8" spans="1:2">
      <c r="A8" s="36" t="s">
        <v>68</v>
      </c>
      <c r="B8" s="36" t="s">
        <v>196</v>
      </c>
    </row>
    <row r="9" spans="1:2">
      <c r="A9" s="36" t="s">
        <v>72</v>
      </c>
      <c r="B9" s="36" t="s">
        <v>196</v>
      </c>
    </row>
    <row r="10" spans="1:2">
      <c r="A10" s="36" t="s">
        <v>78</v>
      </c>
      <c r="B10" s="36" t="s">
        <v>196</v>
      </c>
    </row>
    <row r="11" spans="1:2">
      <c r="A11" s="36" t="s">
        <v>82</v>
      </c>
      <c r="B11" s="36" t="s">
        <v>196</v>
      </c>
    </row>
    <row r="12" spans="1:2">
      <c r="A12" s="36" t="s">
        <v>86</v>
      </c>
      <c r="B12" s="36" t="s">
        <v>196</v>
      </c>
    </row>
    <row r="13" spans="1:2">
      <c r="A13" s="36" t="s">
        <v>94</v>
      </c>
      <c r="B13" s="36" t="s">
        <v>196</v>
      </c>
    </row>
    <row r="14" spans="1:2">
      <c r="A14" s="36" t="s">
        <v>97</v>
      </c>
      <c r="B14" s="36" t="s">
        <v>196</v>
      </c>
    </row>
    <row r="15" spans="1:2">
      <c r="A15" s="36" t="s">
        <v>105</v>
      </c>
      <c r="B15" s="36" t="s">
        <v>196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G22"/>
  <sheetViews>
    <sheetView workbookViewId="0">
      <selection activeCell="F33" sqref="F33"/>
    </sheetView>
  </sheetViews>
  <sheetFormatPr defaultColWidth="9.28515625" defaultRowHeight="12.75"/>
  <cols>
    <col min="1" max="1" width="19.5703125" customWidth="1"/>
    <col min="3" max="3" width="10.42578125" customWidth="1"/>
    <col min="4" max="4" width="9.28515625" style="79"/>
    <col min="6" max="6" width="27.28515625" customWidth="1"/>
    <col min="7" max="7" width="11.42578125" customWidth="1"/>
  </cols>
  <sheetData>
    <row r="1" spans="1:7" ht="15">
      <c r="A1" s="276" t="s">
        <v>198</v>
      </c>
      <c r="B1" s="276" t="s">
        <v>23</v>
      </c>
      <c r="C1" s="276" t="s">
        <v>199</v>
      </c>
      <c r="D1" s="277" t="s">
        <v>200</v>
      </c>
      <c r="E1" s="278"/>
      <c r="F1" s="276" t="s">
        <v>201</v>
      </c>
      <c r="G1" s="279" t="s">
        <v>202</v>
      </c>
    </row>
    <row r="2" spans="1:7" ht="15">
      <c r="A2" s="280" t="s">
        <v>203</v>
      </c>
      <c r="B2" s="280" t="s">
        <v>204</v>
      </c>
      <c r="C2" s="280" t="s">
        <v>205</v>
      </c>
      <c r="D2" s="281" t="s">
        <v>206</v>
      </c>
      <c r="E2" s="278"/>
      <c r="F2" s="282" t="s">
        <v>207</v>
      </c>
      <c r="G2" s="279" t="s">
        <v>208</v>
      </c>
    </row>
    <row r="3" spans="1:7" ht="15">
      <c r="A3" s="280" t="s">
        <v>209</v>
      </c>
      <c r="B3" s="280" t="s">
        <v>204</v>
      </c>
      <c r="C3" s="280" t="s">
        <v>210</v>
      </c>
      <c r="D3" s="281" t="s">
        <v>211</v>
      </c>
      <c r="E3" s="278"/>
      <c r="F3" s="276" t="s">
        <v>212</v>
      </c>
      <c r="G3" s="283" t="s">
        <v>213</v>
      </c>
    </row>
    <row r="4" spans="1:7" ht="15">
      <c r="A4" s="278" t="s">
        <v>214</v>
      </c>
      <c r="B4" s="278" t="s">
        <v>204</v>
      </c>
      <c r="C4" s="278" t="s">
        <v>210</v>
      </c>
      <c r="D4" s="284" t="s">
        <v>215</v>
      </c>
      <c r="E4" s="278"/>
      <c r="F4" s="282" t="s">
        <v>216</v>
      </c>
      <c r="G4" s="279" t="s">
        <v>217</v>
      </c>
    </row>
    <row r="5" spans="1:7" ht="15" customHeight="1">
      <c r="A5" s="280" t="s">
        <v>218</v>
      </c>
      <c r="B5" s="280" t="s">
        <v>204</v>
      </c>
      <c r="C5" s="280" t="s">
        <v>205</v>
      </c>
      <c r="D5" s="281" t="s">
        <v>219</v>
      </c>
      <c r="E5" s="278"/>
      <c r="F5" s="276" t="s">
        <v>220</v>
      </c>
      <c r="G5" s="285" t="s">
        <v>221</v>
      </c>
    </row>
    <row r="6" spans="1:7" ht="15">
      <c r="A6" s="278" t="s">
        <v>222</v>
      </c>
      <c r="B6" s="278" t="s">
        <v>204</v>
      </c>
      <c r="C6" s="278" t="s">
        <v>210</v>
      </c>
      <c r="D6" s="284" t="s">
        <v>223</v>
      </c>
      <c r="E6" s="278"/>
      <c r="F6" s="276" t="s">
        <v>224</v>
      </c>
      <c r="G6" s="279" t="s">
        <v>217</v>
      </c>
    </row>
    <row r="7" spans="1:7" ht="15">
      <c r="A7" s="278" t="s">
        <v>225</v>
      </c>
      <c r="B7" s="278" t="s">
        <v>204</v>
      </c>
      <c r="C7" s="278" t="s">
        <v>226</v>
      </c>
      <c r="D7" s="281" t="s">
        <v>227</v>
      </c>
      <c r="E7" s="278"/>
      <c r="F7" s="276" t="s">
        <v>228</v>
      </c>
      <c r="G7" s="285" t="s">
        <v>229</v>
      </c>
    </row>
    <row r="8" spans="1:7" ht="15">
      <c r="A8" s="280" t="s">
        <v>230</v>
      </c>
      <c r="B8" s="278" t="s">
        <v>204</v>
      </c>
      <c r="C8" s="278" t="s">
        <v>226</v>
      </c>
      <c r="D8" s="281" t="s">
        <v>231</v>
      </c>
      <c r="E8" s="278"/>
      <c r="F8" s="282" t="s">
        <v>232</v>
      </c>
      <c r="G8" s="283" t="s">
        <v>233</v>
      </c>
    </row>
    <row r="9" spans="1:7" ht="15">
      <c r="A9" s="278" t="s">
        <v>234</v>
      </c>
      <c r="B9" s="278" t="s">
        <v>204</v>
      </c>
      <c r="C9" s="278" t="s">
        <v>210</v>
      </c>
      <c r="D9" s="281" t="s">
        <v>235</v>
      </c>
      <c r="E9" s="278"/>
      <c r="F9" s="276"/>
      <c r="G9" s="285"/>
    </row>
    <row r="10" spans="1:7" ht="15">
      <c r="A10" s="278" t="s">
        <v>236</v>
      </c>
      <c r="B10" s="278" t="s">
        <v>204</v>
      </c>
      <c r="C10" s="278" t="s">
        <v>210</v>
      </c>
      <c r="D10" s="281" t="s">
        <v>237</v>
      </c>
      <c r="E10" s="278"/>
      <c r="F10" s="276"/>
      <c r="G10" s="285"/>
    </row>
    <row r="11" spans="1:7" ht="15">
      <c r="A11" s="278" t="s">
        <v>238</v>
      </c>
      <c r="B11" s="278" t="s">
        <v>204</v>
      </c>
      <c r="C11" s="278" t="s">
        <v>210</v>
      </c>
      <c r="D11" s="281" t="s">
        <v>239</v>
      </c>
      <c r="E11" s="278"/>
      <c r="F11" s="276"/>
      <c r="G11" s="285"/>
    </row>
    <row r="12" spans="1:7" ht="15">
      <c r="A12" s="278" t="s">
        <v>240</v>
      </c>
      <c r="B12" s="278" t="s">
        <v>204</v>
      </c>
      <c r="C12" s="278" t="s">
        <v>210</v>
      </c>
      <c r="D12" s="281" t="s">
        <v>241</v>
      </c>
      <c r="E12" s="278"/>
      <c r="F12" s="276"/>
      <c r="G12" s="285"/>
    </row>
    <row r="13" spans="1:7" ht="15">
      <c r="A13" s="278" t="s">
        <v>242</v>
      </c>
      <c r="B13" s="278" t="s">
        <v>204</v>
      </c>
      <c r="C13" s="278" t="s">
        <v>210</v>
      </c>
      <c r="D13" s="281" t="s">
        <v>243</v>
      </c>
      <c r="E13" s="278"/>
      <c r="F13" s="276"/>
      <c r="G13" s="285"/>
    </row>
    <row r="14" spans="1:7" ht="15">
      <c r="A14" s="280" t="s">
        <v>244</v>
      </c>
      <c r="B14" s="280" t="s">
        <v>204</v>
      </c>
      <c r="C14" s="280" t="s">
        <v>245</v>
      </c>
      <c r="D14" s="281" t="s">
        <v>246</v>
      </c>
      <c r="E14" s="278"/>
      <c r="F14" s="276"/>
      <c r="G14" s="285"/>
    </row>
    <row r="15" spans="1:7" ht="15">
      <c r="A15" s="280" t="s">
        <v>247</v>
      </c>
      <c r="B15" s="278" t="s">
        <v>248</v>
      </c>
      <c r="C15" s="278" t="s">
        <v>249</v>
      </c>
      <c r="D15" s="281" t="s">
        <v>250</v>
      </c>
      <c r="E15" s="278"/>
      <c r="F15" s="276"/>
      <c r="G15" s="285"/>
    </row>
    <row r="16" spans="1:7" ht="15">
      <c r="A16" s="280" t="s">
        <v>251</v>
      </c>
      <c r="B16" s="278" t="s">
        <v>248</v>
      </c>
      <c r="C16" s="278" t="s">
        <v>249</v>
      </c>
      <c r="D16" s="281" t="s">
        <v>252</v>
      </c>
      <c r="E16" s="278"/>
      <c r="F16" s="276"/>
      <c r="G16" s="285"/>
    </row>
    <row r="17" spans="1:7" ht="15">
      <c r="A17" s="280" t="s">
        <v>253</v>
      </c>
      <c r="B17" s="278" t="s">
        <v>248</v>
      </c>
      <c r="C17" s="278" t="s">
        <v>249</v>
      </c>
      <c r="D17" s="281" t="s">
        <v>254</v>
      </c>
      <c r="E17" s="278"/>
      <c r="F17" s="276"/>
      <c r="G17" s="285"/>
    </row>
    <row r="18" spans="1:7" ht="15">
      <c r="A18" s="280" t="s">
        <v>255</v>
      </c>
      <c r="B18" s="278" t="s">
        <v>248</v>
      </c>
      <c r="C18" s="278" t="s">
        <v>249</v>
      </c>
      <c r="D18" s="281" t="s">
        <v>256</v>
      </c>
      <c r="E18" s="278"/>
      <c r="F18" s="276"/>
      <c r="G18" s="285"/>
    </row>
    <row r="19" spans="1:7" ht="15">
      <c r="A19" s="280" t="s">
        <v>257</v>
      </c>
      <c r="B19" s="278" t="s">
        <v>248</v>
      </c>
      <c r="C19" s="278" t="s">
        <v>249</v>
      </c>
      <c r="D19" s="281" t="s">
        <v>258</v>
      </c>
      <c r="E19" s="278"/>
      <c r="F19" s="276"/>
      <c r="G19" s="285"/>
    </row>
    <row r="20" spans="1:7" ht="15">
      <c r="A20" s="278" t="s">
        <v>259</v>
      </c>
      <c r="B20" s="278" t="s">
        <v>204</v>
      </c>
      <c r="C20" s="278" t="s">
        <v>210</v>
      </c>
      <c r="D20" s="281" t="s">
        <v>260</v>
      </c>
      <c r="E20" s="278"/>
      <c r="F20" s="276"/>
      <c r="G20" s="285"/>
    </row>
    <row r="21" spans="1:7" ht="15">
      <c r="A21" s="280" t="s">
        <v>261</v>
      </c>
      <c r="B21" s="278" t="s">
        <v>248</v>
      </c>
      <c r="C21" s="278" t="s">
        <v>249</v>
      </c>
      <c r="D21" s="281" t="s">
        <v>262</v>
      </c>
      <c r="E21" s="278"/>
      <c r="F21" s="276"/>
      <c r="G21" s="285"/>
    </row>
    <row r="22" spans="1:7">
      <c r="A22" s="278"/>
      <c r="B22" s="278"/>
      <c r="C22" s="278"/>
      <c r="D22" s="284"/>
      <c r="E22" s="278"/>
      <c r="F22" s="276"/>
      <c r="G22" s="28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114"/>
  <sheetViews>
    <sheetView workbookViewId="0">
      <selection activeCell="A2" sqref="A2"/>
    </sheetView>
  </sheetViews>
  <sheetFormatPr defaultColWidth="9.28515625" defaultRowHeight="12.75"/>
  <cols>
    <col min="1" max="1" width="9.5703125" customWidth="1"/>
    <col min="2" max="2" width="24.5703125" customWidth="1"/>
    <col min="3" max="3" width="177.28515625" customWidth="1"/>
  </cols>
  <sheetData>
    <row r="1" spans="1:3">
      <c r="A1" t="s">
        <v>263</v>
      </c>
      <c r="B1" t="s">
        <v>264</v>
      </c>
      <c r="C1" t="s">
        <v>265</v>
      </c>
    </row>
    <row r="2" spans="1:3">
      <c r="A2" s="36" t="s">
        <v>266</v>
      </c>
      <c r="B2" s="36" t="s">
        <v>247</v>
      </c>
      <c r="C2" s="36" t="s">
        <v>267</v>
      </c>
    </row>
    <row r="3" spans="1:3">
      <c r="A3" s="36" t="s">
        <v>268</v>
      </c>
      <c r="B3" s="36" t="s">
        <v>247</v>
      </c>
      <c r="C3" s="36" t="s">
        <v>269</v>
      </c>
    </row>
    <row r="4" spans="1:3">
      <c r="A4" s="36" t="s">
        <v>270</v>
      </c>
      <c r="B4" s="36" t="s">
        <v>247</v>
      </c>
      <c r="C4" s="36" t="s">
        <v>271</v>
      </c>
    </row>
    <row r="5" spans="1:3">
      <c r="A5" s="36" t="s">
        <v>266</v>
      </c>
      <c r="B5" s="36" t="s">
        <v>251</v>
      </c>
      <c r="C5" s="36" t="s">
        <v>267</v>
      </c>
    </row>
    <row r="6" spans="1:3">
      <c r="A6" s="36" t="s">
        <v>268</v>
      </c>
      <c r="B6" s="36" t="s">
        <v>251</v>
      </c>
      <c r="C6" s="36" t="s">
        <v>269</v>
      </c>
    </row>
    <row r="7" spans="1:3">
      <c r="A7" s="36" t="s">
        <v>270</v>
      </c>
      <c r="B7" s="36" t="s">
        <v>251</v>
      </c>
      <c r="C7" s="36" t="s">
        <v>271</v>
      </c>
    </row>
    <row r="8" spans="1:3">
      <c r="A8" s="36" t="s">
        <v>266</v>
      </c>
      <c r="B8" s="36" t="s">
        <v>253</v>
      </c>
      <c r="C8" s="36" t="s">
        <v>267</v>
      </c>
    </row>
    <row r="9" spans="1:3">
      <c r="A9" s="36" t="s">
        <v>268</v>
      </c>
      <c r="B9" s="36" t="s">
        <v>253</v>
      </c>
      <c r="C9" s="36" t="s">
        <v>269</v>
      </c>
    </row>
    <row r="10" spans="1:3">
      <c r="A10" s="36" t="s">
        <v>270</v>
      </c>
      <c r="B10" s="36" t="s">
        <v>253</v>
      </c>
      <c r="C10" s="36" t="s">
        <v>271</v>
      </c>
    </row>
    <row r="11" spans="1:3">
      <c r="A11" s="36" t="s">
        <v>266</v>
      </c>
      <c r="B11" s="36" t="s">
        <v>255</v>
      </c>
      <c r="C11" s="36" t="s">
        <v>267</v>
      </c>
    </row>
    <row r="12" spans="1:3">
      <c r="A12" s="36" t="s">
        <v>268</v>
      </c>
      <c r="B12" s="36" t="s">
        <v>255</v>
      </c>
      <c r="C12" s="36" t="s">
        <v>269</v>
      </c>
    </row>
    <row r="13" spans="1:3">
      <c r="A13" s="36" t="s">
        <v>270</v>
      </c>
      <c r="B13" s="36" t="s">
        <v>255</v>
      </c>
      <c r="C13" s="36" t="s">
        <v>271</v>
      </c>
    </row>
    <row r="14" spans="1:3">
      <c r="A14" s="36" t="s">
        <v>272</v>
      </c>
      <c r="B14" s="36" t="s">
        <v>257</v>
      </c>
      <c r="C14" s="36" t="s">
        <v>273</v>
      </c>
    </row>
    <row r="15" spans="1:3">
      <c r="A15" s="36" t="s">
        <v>274</v>
      </c>
      <c r="B15" s="36" t="s">
        <v>257</v>
      </c>
      <c r="C15" s="36" t="s">
        <v>275</v>
      </c>
    </row>
    <row r="16" spans="1:3">
      <c r="A16">
        <v>1</v>
      </c>
      <c r="B16" s="36" t="s">
        <v>261</v>
      </c>
      <c r="C16" t="str">
        <f>IF(ISBLANK(footnote_list!D17),"",footnote_list!D17)</f>
        <v>C19 includes C20 and C21 for confidentiality reasons</v>
      </c>
    </row>
    <row r="17" spans="1:3">
      <c r="A17">
        <v>2</v>
      </c>
      <c r="B17" s="36" t="s">
        <v>261</v>
      </c>
      <c r="C17" t="str">
        <f>IF(ISBLANK(footnote_list!D18),"",footnote_list!D18)</f>
        <v>Impossible to correct the figure</v>
      </c>
    </row>
    <row r="18" spans="1:3">
      <c r="A18">
        <v>3</v>
      </c>
      <c r="B18" s="36" t="s">
        <v>261</v>
      </c>
      <c r="C18" t="str">
        <f>IF(ISBLANK(footnote_list!D19),"",footnote_list!D19)</f>
        <v>J61 is included in H53</v>
      </c>
    </row>
    <row r="19" spans="1:3">
      <c r="A19">
        <v>4</v>
      </c>
      <c r="B19" s="36" t="s">
        <v>261</v>
      </c>
      <c r="C19" t="str">
        <f>IF(ISBLANK(footnote_list!D20),"",footnote_list!D20)</f>
        <v>Sector U is included in S due to lack of more detailed data. For this reason U is set as 0.</v>
      </c>
    </row>
    <row r="20" spans="1:3">
      <c r="A20">
        <v>5</v>
      </c>
      <c r="B20" s="36" t="s">
        <v>261</v>
      </c>
      <c r="C20" t="str">
        <f>IF(ISBLANK(footnote_list!D21),"",footnote_list!D21)</f>
        <v>Reduced economic activity due to the financial crisis caused an emission reduction (N2O)</v>
      </c>
    </row>
    <row r="21" spans="1:3">
      <c r="A21">
        <v>6</v>
      </c>
      <c r="B21" s="36" t="s">
        <v>261</v>
      </c>
      <c r="C21" t="str">
        <f>IF(ISBLANK(footnote_list!D22),"",footnote_list!D22)</f>
        <v>Changes in reported emissions from aluminium production (PFC)</v>
      </c>
    </row>
    <row r="22" spans="1:3">
      <c r="A22">
        <v>7</v>
      </c>
      <c r="B22" s="36" t="s">
        <v>261</v>
      </c>
      <c r="C22" t="str">
        <f>IF(ISBLANK(footnote_list!D23),"",footnote_list!D23)</f>
        <v>The change is within expected variability (SF6)</v>
      </c>
    </row>
    <row r="23" spans="1:3">
      <c r="A23">
        <v>8</v>
      </c>
      <c r="B23" s="36" t="s">
        <v>261</v>
      </c>
      <c r="C23" t="str">
        <f>IF(ISBLANK(footnote_list!D24),"",footnote_list!D24)</f>
        <v>Increased use in E37-E39 (HFC)</v>
      </c>
    </row>
    <row r="24" spans="1:3">
      <c r="A24">
        <v>9</v>
      </c>
      <c r="B24" s="36" t="s">
        <v>261</v>
      </c>
      <c r="C24" t="str">
        <f>IF(ISBLANK(footnote_list!D25),"",footnote_list!D25)</f>
        <v>Increased use of wood waste in district heating (Biomass)</v>
      </c>
    </row>
    <row r="25" spans="1:3">
      <c r="A25">
        <v>10</v>
      </c>
      <c r="B25" s="36" t="s">
        <v>261</v>
      </c>
      <c r="C25" t="str">
        <f>IF(ISBLANK(footnote_list!D26),"",footnote_list!D26)</f>
        <v xml:space="preserve">First year with ended lifetime for windows isolated with SF6 </v>
      </c>
    </row>
    <row r="26" spans="1:3">
      <c r="A26">
        <v>11</v>
      </c>
      <c r="B26" s="36" t="s">
        <v>261</v>
      </c>
      <c r="C26" t="str">
        <f>IF(ISBLANK(footnote_list!D27),"",footnote_list!D27)</f>
        <v>Error in the "other adjustment-controle"</v>
      </c>
    </row>
    <row r="27" spans="1:3">
      <c r="A27">
        <v>12</v>
      </c>
      <c r="B27" s="36" t="s">
        <v>261</v>
      </c>
      <c r="C27" t="str">
        <f>IF(ISBLANK(footnote_list!D28),"",footnote_list!D28)</f>
        <v>Increased consumption of black liquor (biomass)</v>
      </c>
    </row>
    <row r="28" spans="1:3">
      <c r="A28">
        <v>13</v>
      </c>
      <c r="B28" s="36" t="s">
        <v>261</v>
      </c>
      <c r="C28" t="str">
        <f>IF(ISBLANK(footnote_list!D29),"",footnote_list!D29)</f>
        <v xml:space="preserve">Large increase in consumption of heavy fuel oil in international shipping. </v>
      </c>
    </row>
    <row r="29" spans="1:3">
      <c r="A29">
        <v>14</v>
      </c>
      <c r="B29" s="36" t="s">
        <v>261</v>
      </c>
      <c r="C29" t="str">
        <f>IF(ISBLANK(footnote_list!D30),"",footnote_list!D30)</f>
        <v>Large consumption of heavy fuel oil with high sulfur content in water transport.(SOx)</v>
      </c>
    </row>
    <row r="30" spans="1:3">
      <c r="A30">
        <v>15</v>
      </c>
      <c r="B30" s="36" t="s">
        <v>261</v>
      </c>
      <c r="C30" t="str">
        <f>IF(ISBLANK(footnote_list!D31),"",footnote_list!D31)</f>
        <v>Increased use of bio fuel in petrol and auto diesel (biomass)</v>
      </c>
    </row>
    <row r="31" spans="1:3">
      <c r="A31">
        <v>16</v>
      </c>
      <c r="B31" s="36" t="s">
        <v>261</v>
      </c>
      <c r="C31" t="str">
        <f>IF(ISBLANK(footnote_list!D32),"",footnote_list!D32)</f>
        <v>Decreased consumption of black liquor (biomass)</v>
      </c>
    </row>
    <row r="32" spans="1:3">
      <c r="A32">
        <v>17</v>
      </c>
      <c r="B32" s="36" t="s">
        <v>261</v>
      </c>
      <c r="C32" t="str">
        <f>IF(ISBLANK(footnote_list!D33),"",footnote_list!D33)</f>
        <v>Increased consumption of wood waste. (biomass)</v>
      </c>
    </row>
    <row r="33" spans="1:3">
      <c r="A33">
        <v>18</v>
      </c>
      <c r="B33" s="36" t="s">
        <v>261</v>
      </c>
      <c r="C33" t="str">
        <f>IF(ISBLANK(footnote_list!D34),"",footnote_list!D34)</f>
        <v>Increased use of petrol coke (SOx)</v>
      </c>
    </row>
    <row r="34" spans="1:3">
      <c r="A34">
        <v>19</v>
      </c>
      <c r="B34" s="36" t="s">
        <v>261</v>
      </c>
      <c r="C34" t="str">
        <f>IF(ISBLANK(footnote_list!D35),"",footnote_list!D35)</f>
        <v>Increased consumption of natural gas in ships</v>
      </c>
    </row>
    <row r="35" spans="1:3">
      <c r="A35">
        <v>20</v>
      </c>
      <c r="B35" s="36" t="s">
        <v>261</v>
      </c>
      <c r="C35" t="str">
        <f>IF(ISBLANK(footnote_list!D36),"",footnote_list!D36)</f>
        <v>Increased consumtion of biodiesel</v>
      </c>
    </row>
    <row r="36" spans="1:3">
      <c r="A36">
        <v>21</v>
      </c>
      <c r="B36" s="36" t="s">
        <v>261</v>
      </c>
      <c r="C36" t="str">
        <f>IF(ISBLANK(footnote_list!D37),"",footnote_list!D37)</f>
        <v>Increased consumtion of biogas</v>
      </c>
    </row>
    <row r="37" spans="1:3">
      <c r="A37">
        <v>22</v>
      </c>
      <c r="B37" s="36" t="s">
        <v>261</v>
      </c>
      <c r="C37" t="str">
        <f>IF(ISBLANK(footnote_list!D38),"",footnote_list!D38)</f>
        <v>Increased use of solvents (NMVOC)</v>
      </c>
    </row>
    <row r="38" spans="1:3">
      <c r="A38">
        <v>23</v>
      </c>
      <c r="B38" s="36" t="s">
        <v>261</v>
      </c>
      <c r="C38" t="str">
        <f>IF(ISBLANK(footnote_list!D39),"",footnote_list!D39)</f>
        <v>Increased figures on use in international sea transport in 2015. Calculated figures are highly uncertain</v>
      </c>
    </row>
    <row r="39" spans="1:3">
      <c r="A39">
        <v>24</v>
      </c>
      <c r="B39" s="36" t="s">
        <v>261</v>
      </c>
      <c r="C39" t="str">
        <f>IF(ISBLANK(footnote_list!D40),"",footnote_list!D40)</f>
        <v>Phasing out SF6 in footwear</v>
      </c>
    </row>
    <row r="40" spans="1:3">
      <c r="A40">
        <v>25</v>
      </c>
      <c r="B40" s="36" t="s">
        <v>261</v>
      </c>
      <c r="C40" t="str">
        <f>IF(ISBLANK(footnote_list!D41),"",footnote_list!D41)</f>
        <v>Increased emissions due to higher economic activity after the financial crisis</v>
      </c>
    </row>
    <row r="41" spans="1:3">
      <c r="A41">
        <v>26</v>
      </c>
      <c r="B41" s="36" t="s">
        <v>261</v>
      </c>
      <c r="C41" t="str">
        <f>IF(ISBLANK(footnote_list!D42),"",footnote_list!D42)</f>
        <v>The increase/decrease are due to an unintended emission at one facility in 2017. (SF6)</v>
      </c>
    </row>
    <row r="42" spans="1:3">
      <c r="A42">
        <v>27</v>
      </c>
      <c r="B42" s="36" t="s">
        <v>261</v>
      </c>
      <c r="C42" t="str">
        <f>IF(ISBLANK(footnote_list!D43),"",footnote_list!D43)</f>
        <v>Lower use due to closing-down of one plant</v>
      </c>
    </row>
    <row r="43" spans="1:3">
      <c r="A43">
        <v>28</v>
      </c>
      <c r="B43" s="36" t="s">
        <v>261</v>
      </c>
      <c r="C43" t="str">
        <f>IF(ISBLANK(footnote_list!D44),"",footnote_list!D44)</f>
        <v>Increased import of chemicals</v>
      </c>
    </row>
    <row r="44" spans="1:3">
      <c r="A44">
        <v>29</v>
      </c>
      <c r="B44" s="36" t="s">
        <v>261</v>
      </c>
      <c r="C44" t="str">
        <f>IF(ISBLANK(footnote_list!D45),"",footnote_list!D45)</f>
        <v>Change in type of chemicals imported</v>
      </c>
    </row>
    <row r="45" spans="1:3">
      <c r="A45">
        <v>30</v>
      </c>
      <c r="B45" s="36" t="s">
        <v>261</v>
      </c>
      <c r="C45" t="str">
        <f>IF(ISBLANK(footnote_list!D46),"",footnote_list!D46)</f>
        <v>First year to obtain sufficiently detailed data to differentiate between Non-resident and Resident Emissions</v>
      </c>
    </row>
    <row r="46" spans="1:3">
      <c r="A46">
        <v>31</v>
      </c>
      <c r="B46" s="36" t="s">
        <v>261</v>
      </c>
      <c r="C46" t="str">
        <f>IF(ISBLANK(footnote_list!D47),"",footnote_list!D47)</f>
        <v>Increased use of SF6 (insulation) in electricity production</v>
      </c>
    </row>
    <row r="47" spans="1:3">
      <c r="A47">
        <v>32</v>
      </c>
      <c r="B47" s="36" t="s">
        <v>261</v>
      </c>
      <c r="C47" t="str">
        <f>IF(ISBLANK(footnote_list!D48),"",footnote_list!D48)</f>
        <v>Increased consumption of marine gas oils in oil and gas extraction</v>
      </c>
    </row>
    <row r="48" spans="1:3">
      <c r="A48">
        <v>33</v>
      </c>
      <c r="B48" s="36" t="s">
        <v>261</v>
      </c>
      <c r="C48" t="str">
        <f>IF(ISBLANK(footnote_list!D49),"",footnote_list!D49)</f>
        <v>Increased consumption of marine gas oils</v>
      </c>
    </row>
    <row r="49" spans="1:3">
      <c r="A49">
        <v>34</v>
      </c>
      <c r="B49" s="36" t="s">
        <v>261</v>
      </c>
      <c r="C49" t="str">
        <f>IF(ISBLANK(footnote_list!D50),"",footnote_list!D50)</f>
        <v>Increased consumption of jet kerosene</v>
      </c>
    </row>
    <row r="50" spans="1:3">
      <c r="A50">
        <v>35</v>
      </c>
      <c r="B50" s="36" t="s">
        <v>261</v>
      </c>
      <c r="C50" t="str">
        <f>IF(ISBLANK(footnote_list!D51),"",footnote_list!D51)</f>
        <v>Increased consumption og solvents due to the COVID-19 pandemic</v>
      </c>
    </row>
    <row r="51" spans="1:3">
      <c r="A51">
        <v>36</v>
      </c>
      <c r="B51" s="36" t="s">
        <v>261</v>
      </c>
      <c r="C51" t="str">
        <f>IF(ISBLANK(footnote_list!D52),"",footnote_list!D52)</f>
        <v>Decreased consumption of marine gas oils</v>
      </c>
    </row>
    <row r="52" spans="1:3">
      <c r="A52">
        <v>37</v>
      </c>
      <c r="B52" s="36" t="s">
        <v>261</v>
      </c>
      <c r="C52" t="str">
        <f>IF(ISBLANK(footnote_list!D53),"",footnote_list!D53)</f>
        <v>Decreased consumption of other fossil fuels</v>
      </c>
    </row>
    <row r="53" spans="1:3">
      <c r="A53">
        <v>38</v>
      </c>
      <c r="B53" s="36" t="s">
        <v>261</v>
      </c>
      <c r="C53" t="str">
        <f>IF(ISBLANK(footnote_list!D54),"",footnote_list!D54)</f>
        <v>Increased consumption of other fossil fuels</v>
      </c>
    </row>
    <row r="54" spans="1:3">
      <c r="A54">
        <v>39</v>
      </c>
      <c r="B54" s="36" t="s">
        <v>261</v>
      </c>
      <c r="C54" t="str">
        <f>IF(ISBLANK(footnote_list!D55),"",footnote_list!D55)</f>
        <v>High sulfur content in fuels used in water transport</v>
      </c>
    </row>
    <row r="55" spans="1:3">
      <c r="A55">
        <v>40</v>
      </c>
      <c r="B55" s="36" t="s">
        <v>261</v>
      </c>
      <c r="C55" t="str">
        <f>IF(ISBLANK(footnote_list!D56),"",footnote_list!D56)</f>
        <v>Increased use of wood waste and pellets (Biomass)</v>
      </c>
    </row>
    <row r="56" spans="1:3">
      <c r="A56">
        <v>41</v>
      </c>
      <c r="B56" s="36" t="s">
        <v>261</v>
      </c>
      <c r="C56" t="str">
        <f>IF(ISBLANK(footnote_list!D57),"",footnote_list!D57)</f>
        <v>Increased use of autodiesel</v>
      </c>
    </row>
    <row r="57" spans="1:3">
      <c r="A57">
        <v>42</v>
      </c>
      <c r="B57" s="36" t="s">
        <v>261</v>
      </c>
      <c r="C57" t="str">
        <f>IF(ISBLANK(footnote_list!D58),"",footnote_list!D58)</f>
        <v>Increased aluminium production, reopening of facility closed in 2009</v>
      </c>
    </row>
    <row r="58" spans="1:3">
      <c r="A58">
        <v>43</v>
      </c>
      <c r="B58" s="36" t="s">
        <v>261</v>
      </c>
      <c r="C58" t="str">
        <f>IF(ISBLANK(footnote_list!D59),"",footnote_list!D59)</f>
        <v>Increased use of auto petrol</v>
      </c>
    </row>
    <row r="59" spans="1:3">
      <c r="A59">
        <v>44</v>
      </c>
      <c r="B59" s="36" t="s">
        <v>261</v>
      </c>
      <c r="C59" t="str">
        <f>IF(ISBLANK(footnote_list!D60),"",footnote_list!D60)</f>
        <v>Increased use of auto petrol and autodiesel</v>
      </c>
    </row>
    <row r="60" spans="1:3">
      <c r="A60">
        <v>45</v>
      </c>
      <c r="B60" s="36" t="s">
        <v>261</v>
      </c>
      <c r="C60" t="str">
        <f>IF(ISBLANK(footnote_list!D61),"",footnote_list!D61)</f>
        <v>Decreased use of auto petrol</v>
      </c>
    </row>
    <row r="61" spans="1:3">
      <c r="A61">
        <v>46</v>
      </c>
      <c r="B61" s="36" t="s">
        <v>261</v>
      </c>
      <c r="C61" t="str">
        <f>IF(ISBLANK(footnote_list!D62),"",footnote_list!D62)</f>
        <v>Difference due to change to AR5 GWP values</v>
      </c>
    </row>
    <row r="62" spans="1:3">
      <c r="A62">
        <v>47</v>
      </c>
      <c r="B62" s="36" t="s">
        <v>261</v>
      </c>
      <c r="C62" t="str">
        <f>IF(ISBLANK(footnote_list!D63),"",footnote_list!D63)</f>
        <v>Reduced imports in 2001 and 2002, leading to reduced amount of products reaching end of life in 2019</v>
      </c>
    </row>
    <row r="63" spans="1:3">
      <c r="A63">
        <v>48</v>
      </c>
      <c r="B63" s="36" t="s">
        <v>261</v>
      </c>
      <c r="C63" t="str">
        <f>IF(ISBLANK(footnote_list!D64),"",footnote_list!D64)</f>
        <v/>
      </c>
    </row>
    <row r="64" spans="1:3">
      <c r="A64">
        <v>49</v>
      </c>
      <c r="B64" s="36" t="s">
        <v>261</v>
      </c>
      <c r="C64" t="str">
        <f>IF(ISBLANK(footnote_list!D65),"",footnote_list!D65)</f>
        <v/>
      </c>
    </row>
    <row r="65" spans="1:3">
      <c r="A65">
        <v>50</v>
      </c>
      <c r="B65" s="36" t="s">
        <v>261</v>
      </c>
      <c r="C65" t="str">
        <f>IF(ISBLANK(footnote_list!D66),"",footnote_list!D66)</f>
        <v/>
      </c>
    </row>
    <row r="66" spans="1:3">
      <c r="A66">
        <v>51</v>
      </c>
      <c r="B66" s="36" t="s">
        <v>261</v>
      </c>
      <c r="C66" t="str">
        <f>IF(ISBLANK(footnote_list!D67),"",footnote_list!D67)</f>
        <v/>
      </c>
    </row>
    <row r="67" spans="1:3">
      <c r="A67">
        <v>52</v>
      </c>
      <c r="B67" s="36" t="s">
        <v>261</v>
      </c>
      <c r="C67" t="str">
        <f>IF(ISBLANK(footnote_list!D68),"",footnote_list!D68)</f>
        <v/>
      </c>
    </row>
    <row r="68" spans="1:3">
      <c r="A68">
        <v>53</v>
      </c>
      <c r="B68" s="36" t="s">
        <v>261</v>
      </c>
      <c r="C68" t="str">
        <f>IF(ISBLANK(footnote_list!D69),"",footnote_list!D69)</f>
        <v/>
      </c>
    </row>
    <row r="69" spans="1:3">
      <c r="A69">
        <v>54</v>
      </c>
      <c r="B69" s="36" t="s">
        <v>261</v>
      </c>
      <c r="C69" t="str">
        <f>IF(ISBLANK(footnote_list!D70),"",footnote_list!D70)</f>
        <v/>
      </c>
    </row>
    <row r="70" spans="1:3">
      <c r="A70">
        <v>55</v>
      </c>
      <c r="B70" s="36" t="s">
        <v>261</v>
      </c>
      <c r="C70" t="str">
        <f>IF(ISBLANK(footnote_list!D71),"",footnote_list!D71)</f>
        <v/>
      </c>
    </row>
    <row r="71" spans="1:3">
      <c r="A71">
        <v>56</v>
      </c>
      <c r="B71" s="36" t="s">
        <v>261</v>
      </c>
      <c r="C71" t="str">
        <f>IF(ISBLANK(footnote_list!D72),"",footnote_list!D72)</f>
        <v/>
      </c>
    </row>
    <row r="72" spans="1:3">
      <c r="A72">
        <v>57</v>
      </c>
      <c r="B72" s="36" t="s">
        <v>261</v>
      </c>
      <c r="C72" t="str">
        <f>IF(ISBLANK(footnote_list!D73),"",footnote_list!D73)</f>
        <v/>
      </c>
    </row>
    <row r="73" spans="1:3">
      <c r="A73">
        <v>58</v>
      </c>
      <c r="B73" s="36" t="s">
        <v>261</v>
      </c>
      <c r="C73" t="str">
        <f>IF(ISBLANK(footnote_list!D74),"",footnote_list!D74)</f>
        <v/>
      </c>
    </row>
    <row r="74" spans="1:3">
      <c r="A74">
        <v>59</v>
      </c>
      <c r="B74" s="36" t="s">
        <v>261</v>
      </c>
      <c r="C74" t="str">
        <f>IF(ISBLANK(footnote_list!D75),"",footnote_list!D75)</f>
        <v/>
      </c>
    </row>
    <row r="75" spans="1:3">
      <c r="A75">
        <v>60</v>
      </c>
      <c r="B75" s="36" t="s">
        <v>261</v>
      </c>
      <c r="C75" t="str">
        <f>IF(ISBLANK(footnote_list!D76),"",footnote_list!D76)</f>
        <v/>
      </c>
    </row>
    <row r="76" spans="1:3">
      <c r="A76">
        <v>61</v>
      </c>
      <c r="B76" s="36" t="s">
        <v>261</v>
      </c>
      <c r="C76" t="str">
        <f>IF(ISBLANK(footnote_list!D77),"",footnote_list!D77)</f>
        <v/>
      </c>
    </row>
    <row r="77" spans="1:3">
      <c r="A77">
        <v>62</v>
      </c>
      <c r="B77" s="36" t="s">
        <v>261</v>
      </c>
      <c r="C77" t="str">
        <f>IF(ISBLANK(footnote_list!D78),"",footnote_list!D78)</f>
        <v/>
      </c>
    </row>
    <row r="78" spans="1:3">
      <c r="A78">
        <v>63</v>
      </c>
      <c r="B78" s="36" t="s">
        <v>261</v>
      </c>
      <c r="C78" t="str">
        <f>IF(ISBLANK(footnote_list!D79),"",footnote_list!D79)</f>
        <v/>
      </c>
    </row>
    <row r="79" spans="1:3">
      <c r="A79">
        <v>64</v>
      </c>
      <c r="B79" s="36" t="s">
        <v>261</v>
      </c>
      <c r="C79" t="str">
        <f>IF(ISBLANK(footnote_list!D80),"",footnote_list!D80)</f>
        <v/>
      </c>
    </row>
    <row r="80" spans="1:3">
      <c r="A80">
        <v>65</v>
      </c>
      <c r="B80" s="36" t="s">
        <v>261</v>
      </c>
      <c r="C80" t="str">
        <f>IF(ISBLANK(footnote_list!D81),"",footnote_list!D81)</f>
        <v/>
      </c>
    </row>
    <row r="81" spans="1:3">
      <c r="A81">
        <v>66</v>
      </c>
      <c r="B81" s="36" t="s">
        <v>261</v>
      </c>
      <c r="C81" t="str">
        <f>IF(ISBLANK(footnote_list!D82),"",footnote_list!D82)</f>
        <v/>
      </c>
    </row>
    <row r="82" spans="1:3">
      <c r="A82">
        <v>67</v>
      </c>
      <c r="B82" s="36" t="s">
        <v>261</v>
      </c>
      <c r="C82" t="str">
        <f>IF(ISBLANK(footnote_list!D83),"",footnote_list!D83)</f>
        <v/>
      </c>
    </row>
    <row r="83" spans="1:3">
      <c r="A83">
        <v>68</v>
      </c>
      <c r="B83" s="36" t="s">
        <v>261</v>
      </c>
      <c r="C83" t="str">
        <f>IF(ISBLANK(footnote_list!D84),"",footnote_list!D84)</f>
        <v/>
      </c>
    </row>
    <row r="84" spans="1:3">
      <c r="A84">
        <v>69</v>
      </c>
      <c r="B84" s="36" t="s">
        <v>261</v>
      </c>
      <c r="C84" t="str">
        <f>IF(ISBLANK(footnote_list!D85),"",footnote_list!D85)</f>
        <v/>
      </c>
    </row>
    <row r="85" spans="1:3">
      <c r="A85">
        <v>70</v>
      </c>
      <c r="B85" s="36" t="s">
        <v>261</v>
      </c>
      <c r="C85" t="str">
        <f>IF(ISBLANK(footnote_list!D86),"",footnote_list!D86)</f>
        <v/>
      </c>
    </row>
    <row r="86" spans="1:3">
      <c r="A86">
        <v>71</v>
      </c>
      <c r="B86" s="36" t="s">
        <v>261</v>
      </c>
      <c r="C86" t="str">
        <f>IF(ISBLANK(footnote_list!D87),"",footnote_list!D87)</f>
        <v/>
      </c>
    </row>
    <row r="87" spans="1:3">
      <c r="A87">
        <v>72</v>
      </c>
      <c r="B87" s="36" t="s">
        <v>261</v>
      </c>
      <c r="C87" t="str">
        <f>IF(ISBLANK(footnote_list!D88),"",footnote_list!D88)</f>
        <v/>
      </c>
    </row>
    <row r="88" spans="1:3">
      <c r="A88">
        <v>73</v>
      </c>
      <c r="B88" s="36" t="s">
        <v>261</v>
      </c>
      <c r="C88" t="str">
        <f>IF(ISBLANK(footnote_list!D89),"",footnote_list!D89)</f>
        <v/>
      </c>
    </row>
    <row r="89" spans="1:3">
      <c r="A89">
        <v>74</v>
      </c>
      <c r="B89" s="36" t="s">
        <v>261</v>
      </c>
      <c r="C89" t="str">
        <f>IF(ISBLANK(footnote_list!D90),"",footnote_list!D90)</f>
        <v/>
      </c>
    </row>
    <row r="90" spans="1:3">
      <c r="A90">
        <v>75</v>
      </c>
      <c r="B90" s="36" t="s">
        <v>261</v>
      </c>
      <c r="C90" t="str">
        <f>IF(ISBLANK(footnote_list!D91),"",footnote_list!D91)</f>
        <v/>
      </c>
    </row>
    <row r="91" spans="1:3">
      <c r="A91">
        <v>76</v>
      </c>
      <c r="B91" s="36" t="s">
        <v>261</v>
      </c>
      <c r="C91" t="str">
        <f>IF(ISBLANK(footnote_list!D92),"",footnote_list!D92)</f>
        <v/>
      </c>
    </row>
    <row r="92" spans="1:3">
      <c r="A92">
        <v>77</v>
      </c>
      <c r="B92" s="36" t="s">
        <v>261</v>
      </c>
      <c r="C92" t="str">
        <f>IF(ISBLANK(footnote_list!D93),"",footnote_list!D93)</f>
        <v/>
      </c>
    </row>
    <row r="93" spans="1:3">
      <c r="A93">
        <v>78</v>
      </c>
      <c r="B93" s="36" t="s">
        <v>261</v>
      </c>
      <c r="C93" t="str">
        <f>IF(ISBLANK(footnote_list!D94),"",footnote_list!D94)</f>
        <v/>
      </c>
    </row>
    <row r="94" spans="1:3">
      <c r="A94">
        <v>79</v>
      </c>
      <c r="B94" s="36" t="s">
        <v>261</v>
      </c>
      <c r="C94" t="str">
        <f>IF(ISBLANK(footnote_list!D95),"",footnote_list!D95)</f>
        <v/>
      </c>
    </row>
    <row r="95" spans="1:3">
      <c r="A95">
        <v>80</v>
      </c>
      <c r="B95" s="36" t="s">
        <v>261</v>
      </c>
      <c r="C95" t="str">
        <f>IF(ISBLANK(footnote_list!D96),"",footnote_list!D96)</f>
        <v/>
      </c>
    </row>
    <row r="96" spans="1:3">
      <c r="A96">
        <v>81</v>
      </c>
      <c r="B96" s="36" t="s">
        <v>261</v>
      </c>
      <c r="C96" t="str">
        <f>IF(ISBLANK(footnote_list!D97),"",footnote_list!D97)</f>
        <v/>
      </c>
    </row>
    <row r="97" spans="1:3">
      <c r="A97">
        <v>82</v>
      </c>
      <c r="B97" s="36" t="s">
        <v>261</v>
      </c>
      <c r="C97" t="str">
        <f>IF(ISBLANK(footnote_list!D98),"",footnote_list!D98)</f>
        <v/>
      </c>
    </row>
    <row r="98" spans="1:3">
      <c r="A98">
        <v>83</v>
      </c>
      <c r="B98" s="36" t="s">
        <v>261</v>
      </c>
      <c r="C98" t="str">
        <f>IF(ISBLANK(footnote_list!D99),"",footnote_list!D99)</f>
        <v/>
      </c>
    </row>
    <row r="99" spans="1:3">
      <c r="A99">
        <v>84</v>
      </c>
      <c r="B99" s="36" t="s">
        <v>261</v>
      </c>
      <c r="C99" t="str">
        <f>IF(ISBLANK(footnote_list!D100),"",footnote_list!D100)</f>
        <v/>
      </c>
    </row>
    <row r="100" spans="1:3">
      <c r="A100">
        <v>85</v>
      </c>
      <c r="B100" s="36" t="s">
        <v>261</v>
      </c>
      <c r="C100" t="str">
        <f>IF(ISBLANK(footnote_list!D101),"",footnote_list!D101)</f>
        <v/>
      </c>
    </row>
    <row r="101" spans="1:3">
      <c r="A101">
        <v>86</v>
      </c>
      <c r="B101" s="36" t="s">
        <v>261</v>
      </c>
      <c r="C101" t="str">
        <f>IF(ISBLANK(footnote_list!D102),"",footnote_list!D102)</f>
        <v/>
      </c>
    </row>
    <row r="102" spans="1:3">
      <c r="A102">
        <v>87</v>
      </c>
      <c r="B102" s="36" t="s">
        <v>261</v>
      </c>
      <c r="C102" t="str">
        <f>IF(ISBLANK(footnote_list!D103),"",footnote_list!D103)</f>
        <v/>
      </c>
    </row>
    <row r="103" spans="1:3">
      <c r="A103">
        <v>88</v>
      </c>
      <c r="B103" s="36" t="s">
        <v>261</v>
      </c>
      <c r="C103" t="str">
        <f>IF(ISBLANK(footnote_list!D104),"",footnote_list!D104)</f>
        <v/>
      </c>
    </row>
    <row r="104" spans="1:3">
      <c r="A104">
        <v>89</v>
      </c>
      <c r="B104" s="36" t="s">
        <v>261</v>
      </c>
      <c r="C104" t="str">
        <f>IF(ISBLANK(footnote_list!D105),"",footnote_list!D105)</f>
        <v/>
      </c>
    </row>
    <row r="105" spans="1:3">
      <c r="A105">
        <v>90</v>
      </c>
      <c r="B105" s="36" t="s">
        <v>261</v>
      </c>
      <c r="C105" t="str">
        <f>IF(ISBLANK(footnote_list!D106),"",footnote_list!D106)</f>
        <v/>
      </c>
    </row>
    <row r="106" spans="1:3">
      <c r="A106">
        <v>91</v>
      </c>
      <c r="B106" s="36" t="s">
        <v>261</v>
      </c>
      <c r="C106" t="str">
        <f>IF(ISBLANK(footnote_list!D107),"",footnote_list!D107)</f>
        <v/>
      </c>
    </row>
    <row r="107" spans="1:3">
      <c r="A107">
        <v>92</v>
      </c>
      <c r="B107" s="36" t="s">
        <v>261</v>
      </c>
      <c r="C107" t="str">
        <f>IF(ISBLANK(footnote_list!D108),"",footnote_list!D108)</f>
        <v/>
      </c>
    </row>
    <row r="108" spans="1:3">
      <c r="A108">
        <v>93</v>
      </c>
      <c r="B108" s="36" t="s">
        <v>261</v>
      </c>
      <c r="C108" t="str">
        <f>IF(ISBLANK(footnote_list!D109),"",footnote_list!D109)</f>
        <v/>
      </c>
    </row>
    <row r="109" spans="1:3">
      <c r="A109">
        <v>94</v>
      </c>
      <c r="B109" s="36" t="s">
        <v>261</v>
      </c>
      <c r="C109" t="str">
        <f>IF(ISBLANK(footnote_list!D110),"",footnote_list!D110)</f>
        <v/>
      </c>
    </row>
    <row r="110" spans="1:3">
      <c r="A110">
        <v>95</v>
      </c>
      <c r="B110" s="36" t="s">
        <v>261</v>
      </c>
      <c r="C110" t="str">
        <f>IF(ISBLANK(footnote_list!D111),"",footnote_list!D111)</f>
        <v/>
      </c>
    </row>
    <row r="111" spans="1:3">
      <c r="A111">
        <v>96</v>
      </c>
      <c r="B111" s="36" t="s">
        <v>261</v>
      </c>
      <c r="C111" t="str">
        <f>IF(ISBLANK(footnote_list!D112),"",footnote_list!D112)</f>
        <v/>
      </c>
    </row>
    <row r="112" spans="1:3">
      <c r="A112">
        <v>97</v>
      </c>
      <c r="B112" s="36" t="s">
        <v>261</v>
      </c>
      <c r="C112" t="str">
        <f>IF(ISBLANK(footnote_list!D113),"",footnote_list!D113)</f>
        <v/>
      </c>
    </row>
    <row r="113" spans="1:3">
      <c r="A113">
        <v>98</v>
      </c>
      <c r="B113" s="36" t="s">
        <v>261</v>
      </c>
      <c r="C113" t="str">
        <f>IF(ISBLANK(footnote_list!D114),"",footnote_list!D114)</f>
        <v/>
      </c>
    </row>
    <row r="114" spans="1:3">
      <c r="A114">
        <v>99</v>
      </c>
      <c r="B114" s="36" t="s">
        <v>261</v>
      </c>
      <c r="C114" t="str">
        <f>IF(ISBLANK(footnote_list!D115),"",footnote_list!D115)</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59999389629810485"/>
  </sheetPr>
  <dimension ref="A1:Q120"/>
  <sheetViews>
    <sheetView showGridLines="0" showRuler="0" topLeftCell="A23" zoomScaleNormal="100" workbookViewId="0">
      <selection activeCell="R11" sqref="R11"/>
    </sheetView>
  </sheetViews>
  <sheetFormatPr defaultColWidth="9.140625" defaultRowHeight="12.75"/>
  <cols>
    <col min="1" max="1" width="7.5703125" customWidth="1"/>
    <col min="17" max="17" width="25" style="13" bestFit="1" customWidth="1"/>
  </cols>
  <sheetData>
    <row r="1" spans="1:16">
      <c r="A1" s="54"/>
      <c r="B1" s="54"/>
      <c r="C1" s="54"/>
      <c r="D1" s="54"/>
      <c r="E1" s="54"/>
      <c r="F1" s="54"/>
      <c r="G1" s="54"/>
      <c r="H1" s="54"/>
      <c r="I1" s="54"/>
      <c r="J1" s="54"/>
      <c r="K1" s="54"/>
      <c r="L1" s="54"/>
      <c r="M1" s="54"/>
      <c r="N1" s="54"/>
      <c r="O1" s="54"/>
      <c r="P1" s="54"/>
    </row>
    <row r="2" spans="1:16">
      <c r="A2" s="54"/>
      <c r="B2" s="54"/>
      <c r="C2" s="54"/>
      <c r="D2" s="54"/>
      <c r="E2" s="54"/>
      <c r="F2" s="54"/>
      <c r="G2" s="54"/>
      <c r="H2" s="54"/>
      <c r="I2" s="54"/>
      <c r="J2" s="54"/>
      <c r="K2" s="54"/>
      <c r="L2" s="54"/>
      <c r="M2" s="54"/>
      <c r="N2" s="54"/>
      <c r="O2" s="54"/>
      <c r="P2" s="54"/>
    </row>
    <row r="3" spans="1:16">
      <c r="A3" s="54"/>
      <c r="B3" s="54"/>
      <c r="C3" s="54"/>
      <c r="D3" s="54"/>
      <c r="E3" s="54"/>
      <c r="F3" s="54"/>
      <c r="G3" s="54"/>
      <c r="H3" s="54"/>
      <c r="I3" s="54"/>
      <c r="J3" s="54"/>
      <c r="K3" s="54"/>
      <c r="L3" s="54"/>
      <c r="M3" s="54"/>
      <c r="N3" s="54"/>
      <c r="O3" s="54"/>
      <c r="P3" s="54"/>
    </row>
    <row r="4" spans="1:16" s="13" customFormat="1">
      <c r="A4" s="54"/>
      <c r="B4" s="54"/>
      <c r="C4" s="54"/>
      <c r="D4" s="54"/>
      <c r="E4" s="54"/>
      <c r="F4" s="54"/>
      <c r="G4" s="54"/>
      <c r="H4" s="54"/>
      <c r="I4" s="54"/>
      <c r="J4" s="54"/>
      <c r="K4" s="54"/>
      <c r="L4" s="54"/>
      <c r="M4" s="54"/>
      <c r="N4" s="54"/>
      <c r="O4" s="54"/>
      <c r="P4" s="54"/>
    </row>
    <row r="5" spans="1:16" s="13" customFormat="1" ht="15.75">
      <c r="A5" s="54"/>
      <c r="B5" s="410"/>
      <c r="C5" s="411"/>
      <c r="D5" s="411"/>
      <c r="E5" s="411"/>
      <c r="F5" s="411"/>
      <c r="G5" s="411"/>
      <c r="H5" s="411"/>
      <c r="I5" s="411"/>
      <c r="J5" s="411"/>
      <c r="K5" s="411"/>
      <c r="L5" s="411"/>
      <c r="M5" s="411"/>
      <c r="N5" s="411"/>
      <c r="O5" s="54"/>
      <c r="P5" s="54"/>
    </row>
    <row r="6" spans="1:16" s="13" customFormat="1" ht="33.75" customHeight="1">
      <c r="A6" s="54"/>
      <c r="B6" s="410" t="s">
        <v>33</v>
      </c>
      <c r="C6" s="411"/>
      <c r="D6" s="411"/>
      <c r="E6" s="411"/>
      <c r="F6" s="411"/>
      <c r="G6" s="411"/>
      <c r="H6" s="411"/>
      <c r="I6" s="411"/>
      <c r="J6" s="411"/>
      <c r="K6" s="411"/>
      <c r="L6" s="411"/>
      <c r="M6" s="411"/>
      <c r="N6" s="411"/>
      <c r="O6" s="54"/>
      <c r="P6" s="54"/>
    </row>
    <row r="7" spans="1:16" s="13" customFormat="1" ht="28.15" customHeight="1">
      <c r="A7" s="54"/>
      <c r="B7" s="54"/>
      <c r="C7" s="54"/>
      <c r="D7" s="54"/>
      <c r="E7" s="54"/>
      <c r="F7" s="54"/>
      <c r="G7" s="54"/>
      <c r="H7" s="54"/>
      <c r="I7" s="54"/>
      <c r="J7" s="54"/>
      <c r="K7" s="54"/>
      <c r="L7" s="54"/>
      <c r="M7" s="54"/>
      <c r="N7" s="54"/>
      <c r="O7" s="54"/>
      <c r="P7" s="54"/>
    </row>
    <row r="8" spans="1:16" s="13" customFormat="1">
      <c r="A8" s="54"/>
      <c r="B8" s="412"/>
      <c r="C8" s="412"/>
      <c r="D8" s="412"/>
      <c r="E8" s="412"/>
      <c r="F8" s="412"/>
      <c r="G8" s="412"/>
      <c r="H8" s="412"/>
      <c r="I8" s="412"/>
      <c r="J8" s="412"/>
      <c r="K8" s="412"/>
      <c r="L8" s="412"/>
      <c r="M8" s="412"/>
      <c r="N8" s="412"/>
      <c r="O8" s="54"/>
      <c r="P8" s="54"/>
    </row>
    <row r="9" spans="1:16" s="13" customFormat="1" ht="58.9" customHeight="1">
      <c r="A9" s="54"/>
      <c r="B9" s="401" t="s">
        <v>276</v>
      </c>
      <c r="C9" s="401"/>
      <c r="D9" s="401"/>
      <c r="E9" s="401"/>
      <c r="F9" s="401"/>
      <c r="G9" s="401"/>
      <c r="H9" s="401"/>
      <c r="I9" s="401"/>
      <c r="J9" s="401"/>
      <c r="K9" s="401"/>
      <c r="L9" s="401"/>
      <c r="M9" s="401"/>
      <c r="N9" s="401"/>
      <c r="O9" s="54"/>
      <c r="P9" s="54"/>
    </row>
    <row r="10" spans="1:16" s="13" customFormat="1" ht="12.6" customHeight="1">
      <c r="A10" s="54"/>
      <c r="B10" s="401"/>
      <c r="C10" s="401"/>
      <c r="D10" s="401"/>
      <c r="E10" s="401"/>
      <c r="F10" s="401"/>
      <c r="G10" s="401"/>
      <c r="H10" s="401"/>
      <c r="I10" s="401"/>
      <c r="J10" s="401"/>
      <c r="K10" s="401"/>
      <c r="L10" s="401"/>
      <c r="M10" s="401"/>
      <c r="N10" s="401"/>
      <c r="O10" s="54"/>
      <c r="P10" s="54"/>
    </row>
    <row r="11" spans="1:16" s="13" customFormat="1" ht="27" customHeight="1">
      <c r="A11" s="54"/>
      <c r="B11" s="406" t="s">
        <v>277</v>
      </c>
      <c r="C11" s="406"/>
      <c r="D11" s="406"/>
      <c r="E11" s="406"/>
      <c r="F11" s="406"/>
      <c r="G11" s="406"/>
      <c r="H11" s="406"/>
      <c r="I11" s="406"/>
      <c r="J11" s="406"/>
      <c r="K11" s="406"/>
      <c r="L11" s="406"/>
      <c r="M11" s="406"/>
      <c r="N11" s="406"/>
      <c r="O11" s="54"/>
      <c r="P11" s="54"/>
    </row>
    <row r="12" spans="1:16" s="13" customFormat="1" ht="13.15" customHeight="1">
      <c r="A12" s="54"/>
      <c r="B12" s="414"/>
      <c r="C12" s="414"/>
      <c r="D12" s="414"/>
      <c r="E12" s="414"/>
      <c r="F12" s="414"/>
      <c r="G12" s="414"/>
      <c r="H12" s="415"/>
      <c r="I12" s="401"/>
      <c r="J12" s="401"/>
      <c r="K12" s="401"/>
      <c r="L12" s="401"/>
      <c r="M12" s="401"/>
      <c r="N12" s="63"/>
      <c r="O12" s="54"/>
      <c r="P12" s="54"/>
    </row>
    <row r="13" spans="1:16" s="13" customFormat="1" ht="13.15" customHeight="1">
      <c r="A13" s="54"/>
      <c r="B13" s="446" t="s">
        <v>278</v>
      </c>
      <c r="C13" s="446"/>
      <c r="D13" s="446"/>
      <c r="E13" s="446"/>
      <c r="F13" s="446"/>
      <c r="G13" s="446"/>
      <c r="H13" s="446"/>
      <c r="I13" s="446"/>
      <c r="J13" s="446"/>
      <c r="K13" s="446"/>
      <c r="L13" s="446"/>
      <c r="M13" s="446"/>
      <c r="N13" s="446"/>
      <c r="O13" s="54"/>
      <c r="P13" s="54"/>
    </row>
    <row r="14" spans="1:16" s="13" customFormat="1" ht="13.15" customHeight="1">
      <c r="A14" s="54"/>
      <c r="B14" s="125"/>
      <c r="C14" s="108"/>
      <c r="D14" s="108"/>
      <c r="E14" s="108"/>
      <c r="F14" s="108"/>
      <c r="G14" s="108"/>
      <c r="H14" s="109"/>
      <c r="I14" s="107"/>
      <c r="J14" s="107"/>
      <c r="K14" s="107"/>
      <c r="L14" s="107"/>
      <c r="M14" s="107"/>
      <c r="N14" s="63"/>
      <c r="O14" s="54"/>
      <c r="P14" s="54"/>
    </row>
    <row r="15" spans="1:16" s="13" customFormat="1" ht="39.6" customHeight="1">
      <c r="A15" s="54"/>
      <c r="B15" s="401" t="s">
        <v>279</v>
      </c>
      <c r="C15" s="401"/>
      <c r="D15" s="401"/>
      <c r="E15" s="401"/>
      <c r="F15" s="401"/>
      <c r="G15" s="401"/>
      <c r="H15" s="401"/>
      <c r="I15" s="401"/>
      <c r="J15" s="401"/>
      <c r="K15" s="401"/>
      <c r="L15" s="401"/>
      <c r="M15" s="401"/>
      <c r="N15" s="401"/>
      <c r="O15" s="54"/>
      <c r="P15" s="54"/>
    </row>
    <row r="16" spans="1:16" s="13" customFormat="1" ht="13.15" customHeight="1">
      <c r="A16" s="54"/>
      <c r="B16" s="416"/>
      <c r="C16" s="416"/>
      <c r="D16" s="416"/>
      <c r="E16" s="416"/>
      <c r="F16" s="416"/>
      <c r="G16" s="416"/>
      <c r="H16" s="416"/>
      <c r="I16" s="416"/>
      <c r="J16" s="416"/>
      <c r="K16" s="416"/>
      <c r="L16" s="416"/>
      <c r="M16" s="416"/>
      <c r="N16" s="416"/>
      <c r="O16" s="54"/>
      <c r="P16" s="54"/>
    </row>
    <row r="17" spans="1:16" s="13" customFormat="1" ht="13.15" customHeight="1">
      <c r="A17" s="54"/>
      <c r="B17" s="425" t="s">
        <v>280</v>
      </c>
      <c r="C17" s="425"/>
      <c r="D17" s="425"/>
      <c r="E17" s="425"/>
      <c r="F17" s="425"/>
      <c r="G17" s="425"/>
      <c r="H17" s="425"/>
      <c r="I17" s="425"/>
      <c r="J17" s="425"/>
      <c r="K17" s="425"/>
      <c r="L17" s="425"/>
      <c r="M17" s="425"/>
      <c r="N17" s="425"/>
      <c r="O17" s="54"/>
      <c r="P17" s="54"/>
    </row>
    <row r="18" spans="1:16" s="13" customFormat="1" ht="12.6" customHeight="1">
      <c r="A18" s="54"/>
      <c r="B18" s="408"/>
      <c r="C18" s="409"/>
      <c r="D18" s="409"/>
      <c r="E18" s="409"/>
      <c r="F18" s="409"/>
      <c r="G18" s="409"/>
      <c r="H18" s="409"/>
      <c r="I18" s="409"/>
      <c r="J18" s="409"/>
      <c r="K18" s="409"/>
      <c r="L18" s="409"/>
      <c r="M18" s="409"/>
      <c r="N18" s="409"/>
      <c r="O18" s="54"/>
      <c r="P18" s="54"/>
    </row>
    <row r="19" spans="1:16" s="13" customFormat="1" ht="67.900000000000006" customHeight="1">
      <c r="A19" s="54"/>
      <c r="B19" s="401" t="s">
        <v>281</v>
      </c>
      <c r="C19" s="401"/>
      <c r="D19" s="401"/>
      <c r="E19" s="401"/>
      <c r="F19" s="401"/>
      <c r="G19" s="401"/>
      <c r="H19" s="401"/>
      <c r="I19" s="401"/>
      <c r="J19" s="401"/>
      <c r="K19" s="401"/>
      <c r="L19" s="401"/>
      <c r="M19" s="401"/>
      <c r="N19" s="401"/>
      <c r="O19" s="54"/>
      <c r="P19" s="54"/>
    </row>
    <row r="20" spans="1:16" s="13" customFormat="1">
      <c r="A20" s="54"/>
      <c r="B20" s="407"/>
      <c r="C20" s="407"/>
      <c r="D20" s="407"/>
      <c r="E20" s="407"/>
      <c r="F20" s="407"/>
      <c r="G20" s="407"/>
      <c r="H20" s="407"/>
      <c r="I20" s="407"/>
      <c r="J20" s="407"/>
      <c r="K20" s="407"/>
      <c r="L20" s="407"/>
      <c r="M20" s="407"/>
      <c r="N20" s="407"/>
      <c r="O20" s="54"/>
      <c r="P20" s="54"/>
    </row>
    <row r="21" spans="1:16" s="13" customFormat="1" ht="12" customHeight="1">
      <c r="A21" s="54"/>
      <c r="B21" s="406" t="s">
        <v>282</v>
      </c>
      <c r="C21" s="406"/>
      <c r="D21" s="406"/>
      <c r="E21" s="406"/>
      <c r="F21" s="406"/>
      <c r="G21" s="406"/>
      <c r="H21" s="406"/>
      <c r="I21" s="406"/>
      <c r="J21" s="406"/>
      <c r="K21" s="406"/>
      <c r="L21" s="406"/>
      <c r="M21" s="406"/>
      <c r="N21" s="406"/>
      <c r="O21" s="54"/>
      <c r="P21" s="54"/>
    </row>
    <row r="22" spans="1:16" s="13" customFormat="1" ht="11.45" customHeight="1" thickBot="1">
      <c r="A22" s="126"/>
      <c r="B22" s="54"/>
      <c r="C22" s="401"/>
      <c r="D22" s="401"/>
      <c r="E22" s="401"/>
      <c r="F22" s="401"/>
      <c r="G22" s="401"/>
      <c r="H22" s="401"/>
      <c r="I22" s="401"/>
      <c r="J22" s="401"/>
      <c r="K22" s="401"/>
      <c r="L22" s="401"/>
      <c r="M22" s="401"/>
      <c r="N22" s="401"/>
      <c r="O22" s="54"/>
      <c r="P22" s="54"/>
    </row>
    <row r="23" spans="1:16" s="13" customFormat="1" ht="23.45" customHeight="1">
      <c r="A23" s="54"/>
      <c r="B23" s="422" t="s">
        <v>283</v>
      </c>
      <c r="C23" s="423"/>
      <c r="D23" s="423"/>
      <c r="E23" s="423"/>
      <c r="F23" s="423"/>
      <c r="G23" s="423"/>
      <c r="H23" s="423"/>
      <c r="I23" s="423"/>
      <c r="J23" s="423"/>
      <c r="K23" s="423"/>
      <c r="L23" s="423"/>
      <c r="M23" s="423"/>
      <c r="N23" s="424"/>
      <c r="O23" s="54"/>
      <c r="P23" s="54"/>
    </row>
    <row r="24" spans="1:16" s="13" customFormat="1">
      <c r="A24" s="54"/>
      <c r="B24" s="447" t="s">
        <v>284</v>
      </c>
      <c r="C24" s="448"/>
      <c r="D24" s="448"/>
      <c r="E24" s="448"/>
      <c r="F24" s="448"/>
      <c r="G24" s="448"/>
      <c r="H24" s="448"/>
      <c r="I24" s="448"/>
      <c r="J24" s="63" t="s">
        <v>285</v>
      </c>
      <c r="K24" s="63"/>
      <c r="L24" s="63"/>
      <c r="M24" s="63"/>
      <c r="N24" s="205"/>
      <c r="O24" s="54"/>
      <c r="P24" s="54"/>
    </row>
    <row r="25" spans="1:16" s="13" customFormat="1" ht="15.6" customHeight="1">
      <c r="A25" s="54"/>
      <c r="B25" s="431" t="s">
        <v>286</v>
      </c>
      <c r="C25" s="401"/>
      <c r="D25" s="401"/>
      <c r="E25" s="401"/>
      <c r="F25" s="401"/>
      <c r="G25" s="401"/>
      <c r="H25" s="401"/>
      <c r="I25" s="401"/>
      <c r="J25" s="63" t="s">
        <v>287</v>
      </c>
      <c r="K25" s="63"/>
      <c r="L25" s="63"/>
      <c r="M25" s="63"/>
      <c r="N25" s="205"/>
      <c r="O25" s="54"/>
      <c r="P25" s="54"/>
    </row>
    <row r="26" spans="1:16" s="13" customFormat="1">
      <c r="A26" s="54"/>
      <c r="B26" s="447" t="s">
        <v>288</v>
      </c>
      <c r="C26" s="448"/>
      <c r="D26" s="448"/>
      <c r="E26" s="448"/>
      <c r="F26" s="448"/>
      <c r="G26" s="448"/>
      <c r="H26" s="448"/>
      <c r="I26" s="448"/>
      <c r="J26" s="63" t="s">
        <v>289</v>
      </c>
      <c r="K26" s="63"/>
      <c r="L26" s="63"/>
      <c r="M26" s="63"/>
      <c r="N26" s="205"/>
      <c r="O26" s="54"/>
      <c r="P26" s="54"/>
    </row>
    <row r="27" spans="1:16" s="13" customFormat="1">
      <c r="A27" s="54"/>
      <c r="B27" s="431" t="s">
        <v>290</v>
      </c>
      <c r="C27" s="401"/>
      <c r="D27" s="401"/>
      <c r="E27" s="401"/>
      <c r="F27" s="401"/>
      <c r="G27" s="401"/>
      <c r="H27" s="401"/>
      <c r="I27" s="401"/>
      <c r="J27" s="63" t="s">
        <v>291</v>
      </c>
      <c r="K27" s="63"/>
      <c r="L27" s="63"/>
      <c r="M27" s="63"/>
      <c r="N27" s="205"/>
      <c r="O27" s="54"/>
      <c r="P27" s="54"/>
    </row>
    <row r="28" spans="1:16" s="13" customFormat="1">
      <c r="A28" s="54"/>
      <c r="B28" s="431" t="s">
        <v>292</v>
      </c>
      <c r="C28" s="401"/>
      <c r="D28" s="401"/>
      <c r="E28" s="401"/>
      <c r="F28" s="401"/>
      <c r="G28" s="401"/>
      <c r="H28" s="401"/>
      <c r="I28" s="401"/>
      <c r="J28" s="63" t="s">
        <v>293</v>
      </c>
      <c r="K28" s="131"/>
      <c r="L28" s="131"/>
      <c r="M28" s="131"/>
      <c r="N28" s="206"/>
      <c r="O28" s="54"/>
      <c r="P28" s="54"/>
    </row>
    <row r="29" spans="1:16" s="13" customFormat="1" ht="7.15" customHeight="1">
      <c r="A29" s="54"/>
      <c r="B29" s="432"/>
      <c r="C29" s="406"/>
      <c r="D29" s="406"/>
      <c r="E29" s="406"/>
      <c r="F29" s="406"/>
      <c r="G29" s="406"/>
      <c r="H29" s="406"/>
      <c r="I29" s="406"/>
      <c r="J29" s="406"/>
      <c r="K29" s="406"/>
      <c r="L29" s="406"/>
      <c r="M29" s="406"/>
      <c r="N29" s="433"/>
      <c r="O29" s="54"/>
      <c r="P29" s="54"/>
    </row>
    <row r="30" spans="1:16" s="13" customFormat="1" ht="18" customHeight="1">
      <c r="A30" s="54"/>
      <c r="B30" s="207" t="s">
        <v>294</v>
      </c>
      <c r="C30" s="63"/>
      <c r="D30" s="63"/>
      <c r="E30" s="63"/>
      <c r="F30" s="63"/>
      <c r="G30" s="63"/>
      <c r="H30" s="63"/>
      <c r="I30" s="63"/>
      <c r="J30" s="63"/>
      <c r="K30" s="63"/>
      <c r="L30" s="63"/>
      <c r="M30" s="63"/>
      <c r="N30" s="205"/>
      <c r="O30" s="54"/>
      <c r="P30" s="54"/>
    </row>
    <row r="31" spans="1:16" s="13" customFormat="1">
      <c r="A31" s="54"/>
      <c r="B31" s="434" t="s">
        <v>295</v>
      </c>
      <c r="C31" s="435"/>
      <c r="D31" s="435"/>
      <c r="E31" s="435"/>
      <c r="F31" s="435"/>
      <c r="G31" s="435"/>
      <c r="H31" s="435"/>
      <c r="I31" s="435"/>
      <c r="J31" s="63" t="s">
        <v>285</v>
      </c>
      <c r="K31" s="63"/>
      <c r="L31" s="63"/>
      <c r="M31" s="63"/>
      <c r="N31" s="205"/>
      <c r="O31" s="54"/>
      <c r="P31" s="54"/>
    </row>
    <row r="32" spans="1:16" s="13" customFormat="1">
      <c r="A32" s="54"/>
      <c r="B32" s="429" t="s">
        <v>296</v>
      </c>
      <c r="C32" s="436"/>
      <c r="D32" s="436"/>
      <c r="E32" s="436"/>
      <c r="F32" s="436"/>
      <c r="G32" s="436"/>
      <c r="H32" s="436"/>
      <c r="I32" s="436"/>
      <c r="J32" s="63" t="s">
        <v>287</v>
      </c>
      <c r="K32" s="63"/>
      <c r="L32" s="63"/>
      <c r="M32" s="63"/>
      <c r="N32" s="205"/>
      <c r="O32" s="54"/>
      <c r="P32" s="54"/>
    </row>
    <row r="33" spans="1:17" s="13" customFormat="1" ht="13.15" customHeight="1">
      <c r="A33" s="54"/>
      <c r="B33" s="431" t="s">
        <v>297</v>
      </c>
      <c r="C33" s="401"/>
      <c r="D33" s="401"/>
      <c r="E33" s="401"/>
      <c r="F33" s="401"/>
      <c r="G33" s="401"/>
      <c r="H33" s="401"/>
      <c r="I33" s="401"/>
      <c r="J33" s="63" t="s">
        <v>289</v>
      </c>
      <c r="K33" s="63"/>
      <c r="L33" s="63"/>
      <c r="M33" s="63"/>
      <c r="N33" s="205"/>
      <c r="O33" s="54"/>
      <c r="P33" s="54"/>
    </row>
    <row r="34" spans="1:17">
      <c r="A34" s="54"/>
      <c r="B34" s="429" t="s">
        <v>298</v>
      </c>
      <c r="C34" s="430"/>
      <c r="D34" s="430"/>
      <c r="E34" s="430"/>
      <c r="F34" s="430"/>
      <c r="G34" s="430"/>
      <c r="H34" s="430"/>
      <c r="I34" s="430"/>
      <c r="J34" s="63" t="s">
        <v>291</v>
      </c>
      <c r="K34" s="63"/>
      <c r="L34" s="63"/>
      <c r="M34" s="63"/>
      <c r="N34" s="205"/>
      <c r="O34" s="54"/>
      <c r="P34" s="54"/>
    </row>
    <row r="35" spans="1:17" ht="13.15" customHeight="1">
      <c r="A35" s="54"/>
      <c r="B35" s="431" t="s">
        <v>299</v>
      </c>
      <c r="C35" s="401"/>
      <c r="D35" s="401"/>
      <c r="E35" s="401"/>
      <c r="F35" s="401"/>
      <c r="G35" s="401"/>
      <c r="H35" s="401"/>
      <c r="I35" s="401"/>
      <c r="J35" s="63" t="s">
        <v>300</v>
      </c>
      <c r="K35" s="63"/>
      <c r="L35" s="63"/>
      <c r="M35" s="63"/>
      <c r="N35" s="205"/>
      <c r="O35" s="54"/>
      <c r="P35" s="54"/>
    </row>
    <row r="36" spans="1:17">
      <c r="A36" s="54"/>
      <c r="B36" s="429" t="s">
        <v>301</v>
      </c>
      <c r="C36" s="430"/>
      <c r="D36" s="430"/>
      <c r="E36" s="430"/>
      <c r="F36" s="430"/>
      <c r="G36" s="430"/>
      <c r="H36" s="430"/>
      <c r="I36" s="430"/>
      <c r="J36" s="63" t="s">
        <v>302</v>
      </c>
      <c r="K36" s="63"/>
      <c r="L36" s="63"/>
      <c r="M36" s="63"/>
      <c r="N36" s="205"/>
      <c r="O36" s="54"/>
      <c r="P36" s="54"/>
    </row>
    <row r="37" spans="1:17" ht="13.15" customHeight="1">
      <c r="A37" s="54"/>
      <c r="B37" s="431" t="s">
        <v>303</v>
      </c>
      <c r="C37" s="401"/>
      <c r="D37" s="401"/>
      <c r="E37" s="401"/>
      <c r="F37" s="401"/>
      <c r="G37" s="401"/>
      <c r="H37" s="401"/>
      <c r="I37" s="401"/>
      <c r="J37" s="63" t="s">
        <v>304</v>
      </c>
      <c r="K37" s="63"/>
      <c r="L37" s="63"/>
      <c r="M37" s="63"/>
      <c r="N37" s="205"/>
      <c r="O37" s="54"/>
      <c r="P37" s="54"/>
    </row>
    <row r="38" spans="1:17" ht="8.4499999999999993" customHeight="1" thickBot="1">
      <c r="A38" s="54"/>
      <c r="B38" s="208"/>
      <c r="C38" s="427"/>
      <c r="D38" s="427"/>
      <c r="E38" s="427"/>
      <c r="F38" s="427"/>
      <c r="G38" s="427"/>
      <c r="H38" s="427"/>
      <c r="I38" s="427"/>
      <c r="J38" s="427"/>
      <c r="K38" s="427"/>
      <c r="L38" s="427"/>
      <c r="M38" s="427"/>
      <c r="N38" s="428"/>
      <c r="O38" s="54"/>
      <c r="P38" s="54"/>
    </row>
    <row r="39" spans="1:17">
      <c r="A39" s="54"/>
      <c r="B39" s="406"/>
      <c r="C39" s="406"/>
      <c r="D39" s="406"/>
      <c r="E39" s="406"/>
      <c r="F39" s="406"/>
      <c r="G39" s="406"/>
      <c r="H39" s="406"/>
      <c r="I39" s="406"/>
      <c r="J39" s="406"/>
      <c r="K39" s="406"/>
      <c r="L39" s="406"/>
      <c r="M39" s="406"/>
      <c r="N39" s="406"/>
      <c r="O39" s="54"/>
      <c r="P39" s="54"/>
    </row>
    <row r="40" spans="1:17" ht="13.5" customHeight="1">
      <c r="A40" s="54"/>
      <c r="B40" s="426" t="s">
        <v>305</v>
      </c>
      <c r="C40" s="426"/>
      <c r="D40" s="426"/>
      <c r="E40" s="426"/>
      <c r="F40" s="426"/>
      <c r="G40" s="426"/>
      <c r="H40" s="426"/>
      <c r="I40" s="426"/>
      <c r="J40" s="426"/>
      <c r="K40" s="426"/>
      <c r="L40" s="426"/>
      <c r="M40" s="426"/>
      <c r="N40" s="426"/>
      <c r="O40" s="54"/>
      <c r="P40" s="54"/>
    </row>
    <row r="41" spans="1:17">
      <c r="A41" s="54"/>
      <c r="B41" s="54"/>
      <c r="C41" s="401"/>
      <c r="D41" s="401"/>
      <c r="E41" s="401"/>
      <c r="F41" s="401"/>
      <c r="G41" s="401"/>
      <c r="H41" s="401"/>
      <c r="I41" s="401"/>
      <c r="J41" s="401"/>
      <c r="K41" s="401"/>
      <c r="L41" s="401"/>
      <c r="M41" s="401"/>
      <c r="N41" s="401"/>
      <c r="O41" s="54"/>
      <c r="P41" s="54"/>
      <c r="Q41" s="142"/>
    </row>
    <row r="42" spans="1:17" ht="46.5" customHeight="1">
      <c r="A42" s="54"/>
      <c r="B42" s="407" t="s">
        <v>306</v>
      </c>
      <c r="C42" s="406"/>
      <c r="D42" s="406"/>
      <c r="E42" s="406"/>
      <c r="F42" s="406"/>
      <c r="G42" s="406"/>
      <c r="H42" s="406"/>
      <c r="I42" s="406"/>
      <c r="J42" s="406"/>
      <c r="K42" s="406"/>
      <c r="L42" s="406"/>
      <c r="M42" s="406"/>
      <c r="N42" s="406"/>
      <c r="O42" s="54"/>
      <c r="P42" s="54"/>
    </row>
    <row r="43" spans="1:17" ht="3.6" customHeight="1">
      <c r="A43" s="54"/>
      <c r="B43" s="406"/>
      <c r="C43" s="406"/>
      <c r="D43" s="406"/>
      <c r="E43" s="406"/>
      <c r="F43" s="406"/>
      <c r="G43" s="406"/>
      <c r="H43" s="406"/>
      <c r="I43" s="406"/>
      <c r="J43" s="406"/>
      <c r="K43" s="406"/>
      <c r="L43" s="406"/>
      <c r="M43" s="406"/>
      <c r="N43" s="406"/>
      <c r="O43" s="54"/>
      <c r="P43" s="54"/>
    </row>
    <row r="44" spans="1:17" ht="27.6" customHeight="1">
      <c r="A44" s="54"/>
      <c r="B44" s="406" t="s">
        <v>307</v>
      </c>
      <c r="C44" s="406"/>
      <c r="D44" s="406"/>
      <c r="E44" s="406"/>
      <c r="F44" s="406"/>
      <c r="G44" s="406"/>
      <c r="H44" s="406"/>
      <c r="I44" s="406"/>
      <c r="J44" s="406"/>
      <c r="K44" s="406"/>
      <c r="L44" s="406"/>
      <c r="M44" s="406"/>
      <c r="N44" s="406"/>
      <c r="O44" s="54"/>
      <c r="P44" s="54"/>
    </row>
    <row r="45" spans="1:17" ht="9" customHeight="1">
      <c r="A45" s="54"/>
      <c r="B45" s="406"/>
      <c r="C45" s="406"/>
      <c r="D45" s="406"/>
      <c r="E45" s="406"/>
      <c r="F45" s="406"/>
      <c r="G45" s="406"/>
      <c r="H45" s="406"/>
      <c r="I45" s="406"/>
      <c r="J45" s="406"/>
      <c r="K45" s="406"/>
      <c r="L45" s="406"/>
      <c r="M45" s="406"/>
      <c r="N45" s="406"/>
      <c r="O45" s="54"/>
      <c r="P45" s="54"/>
    </row>
    <row r="46" spans="1:17" ht="18.600000000000001" customHeight="1">
      <c r="A46" s="54"/>
      <c r="B46" s="406" t="s">
        <v>308</v>
      </c>
      <c r="C46" s="406"/>
      <c r="D46" s="406"/>
      <c r="E46" s="406"/>
      <c r="F46" s="406"/>
      <c r="G46" s="406"/>
      <c r="H46" s="406"/>
      <c r="I46" s="406"/>
      <c r="J46" s="406"/>
      <c r="K46" s="406"/>
      <c r="L46" s="406"/>
      <c r="M46" s="406"/>
      <c r="N46" s="406"/>
      <c r="O46" s="54"/>
      <c r="P46" s="54"/>
    </row>
    <row r="47" spans="1:17" ht="6" customHeight="1">
      <c r="A47" s="54"/>
      <c r="B47" s="406"/>
      <c r="C47" s="406"/>
      <c r="D47" s="406"/>
      <c r="E47" s="406"/>
      <c r="F47" s="406"/>
      <c r="G47" s="406"/>
      <c r="H47" s="406"/>
      <c r="I47" s="406"/>
      <c r="J47" s="406"/>
      <c r="K47" s="406"/>
      <c r="L47" s="406"/>
      <c r="M47" s="406"/>
      <c r="N47" s="406"/>
      <c r="O47" s="54"/>
      <c r="P47" s="54"/>
    </row>
    <row r="48" spans="1:17" ht="36.6" customHeight="1">
      <c r="A48" s="54"/>
      <c r="B48" s="63"/>
      <c r="C48" s="414" t="s">
        <v>309</v>
      </c>
      <c r="D48" s="401"/>
      <c r="E48" s="401"/>
      <c r="F48" s="401"/>
      <c r="G48" s="401"/>
      <c r="H48" s="401"/>
      <c r="I48" s="401"/>
      <c r="J48" s="401"/>
      <c r="K48" s="401"/>
      <c r="L48" s="401"/>
      <c r="M48" s="401"/>
      <c r="N48" s="401"/>
      <c r="O48" s="54"/>
      <c r="P48" s="54"/>
    </row>
    <row r="49" spans="1:16" ht="34.9" customHeight="1">
      <c r="A49" s="54"/>
      <c r="B49" s="63"/>
      <c r="C49" s="414" t="s">
        <v>310</v>
      </c>
      <c r="D49" s="401"/>
      <c r="E49" s="401"/>
      <c r="F49" s="401"/>
      <c r="G49" s="401"/>
      <c r="H49" s="401"/>
      <c r="I49" s="401"/>
      <c r="J49" s="401"/>
      <c r="K49" s="401"/>
      <c r="L49" s="401"/>
      <c r="M49" s="401"/>
      <c r="N49" s="401"/>
      <c r="O49" s="54"/>
      <c r="P49" s="54"/>
    </row>
    <row r="50" spans="1:16" s="13" customFormat="1" ht="51.6" customHeight="1">
      <c r="A50" s="54"/>
      <c r="B50" s="131"/>
      <c r="C50" s="414" t="s">
        <v>311</v>
      </c>
      <c r="D50" s="401"/>
      <c r="E50" s="401"/>
      <c r="F50" s="401"/>
      <c r="G50" s="401"/>
      <c r="H50" s="401"/>
      <c r="I50" s="401"/>
      <c r="J50" s="401"/>
      <c r="K50" s="401"/>
      <c r="L50" s="401"/>
      <c r="M50" s="401"/>
      <c r="N50" s="401"/>
      <c r="O50" s="54"/>
      <c r="P50" s="54"/>
    </row>
    <row r="51" spans="1:16" s="13" customFormat="1" ht="15" customHeight="1">
      <c r="A51" s="54"/>
      <c r="B51" s="406"/>
      <c r="C51" s="406"/>
      <c r="D51" s="406"/>
      <c r="E51" s="406"/>
      <c r="F51" s="406"/>
      <c r="G51" s="406"/>
      <c r="H51" s="406"/>
      <c r="I51" s="406"/>
      <c r="J51" s="406"/>
      <c r="K51" s="406"/>
      <c r="L51" s="406"/>
      <c r="M51" s="406"/>
      <c r="N51" s="406"/>
      <c r="O51" s="54"/>
      <c r="P51" s="54"/>
    </row>
    <row r="52" spans="1:16" s="13" customFormat="1" ht="29.65" customHeight="1">
      <c r="A52" s="54"/>
      <c r="B52" s="406"/>
      <c r="C52" s="406"/>
      <c r="D52" s="406"/>
      <c r="E52" s="406"/>
      <c r="F52" s="406"/>
      <c r="G52" s="406"/>
      <c r="H52" s="406"/>
      <c r="I52" s="406"/>
      <c r="J52" s="406"/>
      <c r="K52" s="406"/>
      <c r="L52" s="406"/>
      <c r="M52" s="406"/>
      <c r="N52" s="406"/>
      <c r="O52" s="54"/>
      <c r="P52" s="54"/>
    </row>
    <row r="53" spans="1:16" s="13" customFormat="1" ht="4.1500000000000004" customHeight="1">
      <c r="A53" s="54"/>
      <c r="B53" s="406"/>
      <c r="C53" s="406"/>
      <c r="D53" s="406"/>
      <c r="E53" s="406"/>
      <c r="F53" s="406"/>
      <c r="G53" s="406"/>
      <c r="H53" s="406"/>
      <c r="I53" s="406"/>
      <c r="J53" s="406"/>
      <c r="K53" s="406"/>
      <c r="L53" s="406"/>
      <c r="M53" s="406"/>
      <c r="N53" s="406"/>
      <c r="O53" s="54"/>
      <c r="P53" s="54"/>
    </row>
    <row r="54" spans="1:16" s="13" customFormat="1">
      <c r="A54" s="54"/>
      <c r="B54" s="406"/>
      <c r="C54" s="406"/>
      <c r="D54" s="406"/>
      <c r="E54" s="406"/>
      <c r="F54" s="406"/>
      <c r="G54" s="406"/>
      <c r="H54" s="406"/>
      <c r="I54" s="406"/>
      <c r="J54" s="406"/>
      <c r="K54" s="406"/>
      <c r="L54" s="406"/>
      <c r="M54" s="406"/>
      <c r="N54" s="406"/>
      <c r="O54" s="54"/>
      <c r="P54" s="54"/>
    </row>
    <row r="55" spans="1:16" s="13" customFormat="1" ht="1.1499999999999999" customHeight="1">
      <c r="A55" s="54"/>
      <c r="B55" s="63"/>
      <c r="C55" s="63"/>
      <c r="D55" s="63"/>
      <c r="E55" s="63"/>
      <c r="F55" s="63"/>
      <c r="G55" s="63"/>
      <c r="H55" s="63"/>
      <c r="I55" s="63"/>
      <c r="J55" s="63"/>
      <c r="K55" s="63"/>
      <c r="L55" s="63"/>
      <c r="M55" s="63"/>
      <c r="N55" s="63"/>
      <c r="O55" s="54"/>
      <c r="P55" s="54"/>
    </row>
    <row r="56" spans="1:16" s="13" customFormat="1" ht="15" customHeight="1">
      <c r="A56"/>
      <c r="B56" s="438"/>
      <c r="C56" s="438"/>
      <c r="D56" s="438"/>
      <c r="E56" s="438"/>
      <c r="F56" s="438"/>
      <c r="G56" s="438"/>
      <c r="H56" s="438"/>
      <c r="I56" s="438"/>
      <c r="J56" s="438"/>
      <c r="K56" s="438"/>
      <c r="L56" s="438"/>
      <c r="M56" s="438"/>
      <c r="N56" s="438"/>
      <c r="O56"/>
      <c r="P56"/>
    </row>
    <row r="57" spans="1:16" s="13" customFormat="1">
      <c r="A57"/>
      <c r="B57" s="438"/>
      <c r="C57" s="438"/>
      <c r="D57" s="438"/>
      <c r="E57" s="438"/>
      <c r="F57" s="438"/>
      <c r="G57" s="438"/>
      <c r="H57" s="438"/>
      <c r="I57" s="438"/>
      <c r="J57" s="438"/>
      <c r="K57" s="438"/>
      <c r="L57" s="438"/>
      <c r="M57" s="438"/>
      <c r="N57" s="438"/>
      <c r="O57"/>
      <c r="P57"/>
    </row>
    <row r="58" spans="1:16" s="13" customFormat="1">
      <c r="A58"/>
      <c r="B58" s="438"/>
      <c r="C58" s="438"/>
      <c r="D58" s="438"/>
      <c r="E58" s="438"/>
      <c r="F58" s="438"/>
      <c r="G58" s="438"/>
      <c r="H58" s="438"/>
      <c r="I58" s="438"/>
      <c r="J58" s="438"/>
      <c r="K58" s="438"/>
      <c r="L58" s="438"/>
      <c r="M58" s="438"/>
      <c r="N58" s="438"/>
      <c r="O58"/>
      <c r="P58"/>
    </row>
    <row r="59" spans="1:16" s="13" customFormat="1">
      <c r="A59"/>
      <c r="B59" s="437"/>
      <c r="C59" s="437"/>
      <c r="D59" s="437"/>
      <c r="E59" s="437"/>
      <c r="F59" s="437"/>
      <c r="G59" s="437"/>
      <c r="H59" s="437"/>
      <c r="I59" s="437"/>
      <c r="J59" s="437"/>
      <c r="K59" s="437"/>
      <c r="L59" s="437"/>
      <c r="M59" s="437"/>
      <c r="N59" s="437"/>
      <c r="O59"/>
      <c r="P59"/>
    </row>
    <row r="60" spans="1:16" s="13" customFormat="1" ht="7.15" customHeight="1">
      <c r="A60"/>
      <c r="B60" s="438"/>
      <c r="C60" s="438"/>
      <c r="D60" s="438"/>
      <c r="E60" s="438"/>
      <c r="F60" s="438"/>
      <c r="G60" s="438"/>
      <c r="H60" s="438"/>
      <c r="I60" s="438"/>
      <c r="J60" s="438"/>
      <c r="K60" s="438"/>
      <c r="L60" s="438"/>
      <c r="M60" s="438"/>
      <c r="N60" s="438"/>
      <c r="O60"/>
      <c r="P60"/>
    </row>
    <row r="61" spans="1:16" s="13" customFormat="1" ht="31.15" customHeight="1">
      <c r="A61"/>
      <c r="B61" s="438"/>
      <c r="C61" s="438"/>
      <c r="D61" s="438"/>
      <c r="E61" s="438"/>
      <c r="F61" s="438"/>
      <c r="G61" s="438"/>
      <c r="H61" s="438"/>
      <c r="I61" s="438"/>
      <c r="J61" s="438"/>
      <c r="K61" s="438"/>
      <c r="L61" s="438"/>
      <c r="M61" s="438"/>
      <c r="N61" s="438"/>
      <c r="O61"/>
      <c r="P61"/>
    </row>
    <row r="62" spans="1:16" s="13" customFormat="1" ht="6.6" customHeight="1">
      <c r="A62"/>
      <c r="B62" s="438"/>
      <c r="C62" s="438"/>
      <c r="D62" s="438"/>
      <c r="E62" s="438"/>
      <c r="F62" s="438"/>
      <c r="G62" s="438"/>
      <c r="H62" s="438"/>
      <c r="I62" s="438"/>
      <c r="J62" s="438"/>
      <c r="K62" s="438"/>
      <c r="L62" s="438"/>
      <c r="M62" s="438"/>
      <c r="N62" s="438"/>
      <c r="O62"/>
      <c r="P62"/>
    </row>
    <row r="63" spans="1:16" s="13" customFormat="1" ht="42.6" customHeight="1">
      <c r="A63"/>
      <c r="B63" s="437"/>
      <c r="C63" s="438"/>
      <c r="D63" s="438"/>
      <c r="E63" s="438"/>
      <c r="F63" s="438"/>
      <c r="G63" s="438"/>
      <c r="H63" s="438"/>
      <c r="I63" s="438"/>
      <c r="J63" s="438"/>
      <c r="K63" s="438"/>
      <c r="L63" s="438"/>
      <c r="M63" s="438"/>
      <c r="N63" s="438"/>
      <c r="O63"/>
      <c r="P63"/>
    </row>
    <row r="64" spans="1:16" s="13" customFormat="1" ht="4.1500000000000004" customHeight="1">
      <c r="A64"/>
      <c r="B64" s="438"/>
      <c r="C64" s="438"/>
      <c r="D64" s="438"/>
      <c r="E64" s="438"/>
      <c r="F64" s="438"/>
      <c r="G64" s="438"/>
      <c r="H64" s="438"/>
      <c r="I64" s="438"/>
      <c r="J64" s="438"/>
      <c r="K64" s="438"/>
      <c r="L64" s="438"/>
      <c r="M64" s="438"/>
      <c r="N64" s="438"/>
      <c r="O64"/>
      <c r="P64"/>
    </row>
    <row r="65" spans="1:17" s="13" customFormat="1" ht="29.65" customHeight="1">
      <c r="A65"/>
      <c r="B65" s="438"/>
      <c r="C65" s="438"/>
      <c r="D65" s="438"/>
      <c r="E65" s="438"/>
      <c r="F65" s="438"/>
      <c r="G65" s="438"/>
      <c r="H65" s="438"/>
      <c r="I65" s="438"/>
      <c r="J65" s="438"/>
      <c r="K65" s="438"/>
      <c r="L65" s="438"/>
      <c r="M65" s="438"/>
      <c r="N65" s="438"/>
      <c r="O65"/>
      <c r="P65"/>
    </row>
    <row r="66" spans="1:17" ht="7.9" customHeight="1">
      <c r="B66" s="438"/>
      <c r="C66" s="438"/>
      <c r="D66" s="438"/>
      <c r="E66" s="438"/>
      <c r="F66" s="438"/>
      <c r="G66" s="438"/>
      <c r="H66" s="438"/>
      <c r="I66" s="438"/>
      <c r="J66" s="438"/>
      <c r="K66" s="438"/>
      <c r="L66" s="438"/>
      <c r="M66" s="438"/>
      <c r="N66" s="438"/>
    </row>
    <row r="67" spans="1:17">
      <c r="B67" s="438"/>
      <c r="C67" s="438"/>
      <c r="D67" s="438"/>
      <c r="E67" s="438"/>
      <c r="F67" s="438"/>
      <c r="G67" s="438"/>
      <c r="H67" s="438"/>
      <c r="I67" s="438"/>
      <c r="J67" s="438"/>
      <c r="K67" s="438"/>
      <c r="L67" s="438"/>
      <c r="M67" s="438"/>
      <c r="N67" s="438"/>
    </row>
    <row r="68" spans="1:17" ht="9" customHeight="1">
      <c r="B68" s="438"/>
      <c r="C68" s="438"/>
      <c r="D68" s="438"/>
      <c r="E68" s="438"/>
      <c r="F68" s="438"/>
      <c r="G68" s="438"/>
      <c r="H68" s="438"/>
      <c r="I68" s="438"/>
      <c r="J68" s="438"/>
      <c r="K68" s="438"/>
      <c r="L68" s="438"/>
      <c r="M68" s="438"/>
      <c r="N68" s="438"/>
    </row>
    <row r="69" spans="1:17" ht="21.75" customHeight="1">
      <c r="B69" s="439"/>
      <c r="C69" s="439"/>
      <c r="D69" s="439"/>
      <c r="E69" s="439"/>
      <c r="F69" s="439"/>
      <c r="G69" s="439"/>
      <c r="H69" s="439"/>
      <c r="I69" s="439"/>
      <c r="J69" s="439"/>
      <c r="K69" s="439"/>
      <c r="L69" s="402"/>
      <c r="M69" s="402"/>
      <c r="N69" s="209"/>
      <c r="Q69" s="142"/>
    </row>
    <row r="70" spans="1:17" ht="9" customHeight="1">
      <c r="B70" s="438"/>
      <c r="C70" s="438"/>
      <c r="D70" s="438"/>
      <c r="E70" s="438"/>
      <c r="F70" s="438"/>
      <c r="G70" s="438"/>
      <c r="H70" s="438"/>
      <c r="I70" s="438"/>
      <c r="J70" s="438"/>
      <c r="K70" s="438"/>
      <c r="L70" s="438"/>
      <c r="M70" s="438"/>
      <c r="N70" s="438"/>
      <c r="Q70" s="142"/>
    </row>
    <row r="71" spans="1:17" ht="26.25" customHeight="1">
      <c r="B71" s="438"/>
      <c r="C71" s="438"/>
      <c r="D71" s="438"/>
      <c r="E71" s="438"/>
      <c r="F71" s="438"/>
      <c r="G71" s="438"/>
      <c r="H71" s="438"/>
      <c r="I71" s="438"/>
      <c r="J71" s="438"/>
      <c r="K71" s="438"/>
      <c r="L71" s="438"/>
      <c r="M71" s="438"/>
      <c r="N71" s="438"/>
    </row>
    <row r="72" spans="1:17" ht="9" customHeight="1">
      <c r="B72" s="438"/>
      <c r="C72" s="438"/>
      <c r="D72" s="438"/>
      <c r="E72" s="438"/>
      <c r="F72" s="438"/>
      <c r="G72" s="438"/>
      <c r="H72" s="438"/>
      <c r="I72" s="438"/>
      <c r="J72" s="438"/>
      <c r="K72" s="438"/>
      <c r="L72" s="438"/>
      <c r="M72" s="438"/>
      <c r="N72" s="438"/>
      <c r="Q72" s="142"/>
    </row>
    <row r="73" spans="1:17" ht="37.5" customHeight="1">
      <c r="B73" s="439"/>
      <c r="C73" s="439"/>
      <c r="D73" s="439"/>
      <c r="E73" s="439"/>
      <c r="F73" s="439"/>
      <c r="G73" s="439"/>
      <c r="H73" s="439"/>
      <c r="I73" s="439"/>
      <c r="J73" s="439"/>
      <c r="K73" s="439"/>
      <c r="L73" s="439"/>
      <c r="M73" s="439"/>
      <c r="N73" s="210"/>
    </row>
    <row r="74" spans="1:17" ht="9" customHeight="1">
      <c r="B74" s="438"/>
      <c r="C74" s="438"/>
      <c r="D74" s="438"/>
      <c r="E74" s="438"/>
      <c r="F74" s="438"/>
      <c r="G74" s="438"/>
      <c r="H74" s="438"/>
      <c r="I74" s="438"/>
      <c r="J74" s="438"/>
      <c r="K74" s="438"/>
      <c r="L74" s="438"/>
      <c r="M74" s="438"/>
      <c r="N74" s="438"/>
    </row>
    <row r="75" spans="1:17" ht="40.15" customHeight="1">
      <c r="B75" s="438"/>
      <c r="C75" s="438"/>
      <c r="D75" s="438"/>
      <c r="E75" s="438"/>
      <c r="F75" s="438"/>
      <c r="G75" s="438"/>
      <c r="H75" s="438"/>
      <c r="I75" s="438"/>
      <c r="J75" s="438"/>
      <c r="K75" s="438"/>
      <c r="L75" s="438"/>
      <c r="M75" s="438"/>
      <c r="N75" s="438"/>
    </row>
    <row r="76" spans="1:17" ht="7.5" customHeight="1">
      <c r="B76" s="209"/>
      <c r="C76" s="209"/>
      <c r="D76" s="209"/>
      <c r="E76" s="209"/>
      <c r="F76" s="209"/>
      <c r="G76" s="209"/>
      <c r="H76" s="209"/>
      <c r="I76" s="209"/>
      <c r="J76" s="209"/>
      <c r="K76" s="209"/>
      <c r="L76" s="209"/>
      <c r="M76" s="209"/>
      <c r="N76" s="209"/>
    </row>
    <row r="77" spans="1:17" ht="42.75" customHeight="1">
      <c r="A77" s="211"/>
      <c r="B77" s="440"/>
      <c r="C77" s="440"/>
      <c r="D77" s="440"/>
      <c r="E77" s="440"/>
      <c r="F77" s="440"/>
      <c r="G77" s="440"/>
      <c r="H77" s="440"/>
      <c r="I77" s="440"/>
      <c r="J77" s="440"/>
      <c r="K77" s="440"/>
      <c r="L77" s="440"/>
      <c r="M77" s="440"/>
      <c r="N77" s="440"/>
    </row>
    <row r="78" spans="1:17" ht="10.5" customHeight="1">
      <c r="B78" s="438"/>
      <c r="C78" s="438"/>
      <c r="D78" s="438"/>
      <c r="E78" s="438"/>
      <c r="F78" s="438"/>
      <c r="G78" s="438"/>
      <c r="H78" s="438"/>
      <c r="I78" s="438"/>
      <c r="J78" s="438"/>
      <c r="K78" s="438"/>
      <c r="L78" s="438"/>
      <c r="M78" s="438"/>
      <c r="N78" s="438"/>
    </row>
    <row r="79" spans="1:17" ht="16.899999999999999" customHeight="1">
      <c r="B79" s="442"/>
      <c r="C79" s="442"/>
      <c r="D79" s="442"/>
      <c r="E79" s="442"/>
      <c r="F79" s="442"/>
      <c r="G79" s="442"/>
      <c r="H79" s="442"/>
      <c r="I79" s="442"/>
      <c r="J79" s="442"/>
      <c r="K79" s="442"/>
      <c r="L79" s="442"/>
      <c r="M79" s="209"/>
      <c r="N79" s="209"/>
    </row>
    <row r="80" spans="1:17" ht="19.899999999999999" customHeight="1">
      <c r="B80" s="209"/>
      <c r="C80" s="441"/>
      <c r="D80" s="443"/>
      <c r="E80" s="443"/>
      <c r="F80" s="443"/>
      <c r="G80" s="443"/>
      <c r="H80" s="443"/>
      <c r="I80" s="443"/>
      <c r="J80" s="443"/>
      <c r="K80" s="443"/>
      <c r="L80" s="443"/>
      <c r="M80" s="209"/>
      <c r="N80" s="209"/>
    </row>
    <row r="81" spans="1:16" ht="30.6" customHeight="1">
      <c r="B81" s="209"/>
      <c r="C81" s="441"/>
      <c r="D81" s="443"/>
      <c r="E81" s="443"/>
      <c r="F81" s="443"/>
      <c r="G81" s="443"/>
      <c r="H81" s="443"/>
      <c r="I81" s="443"/>
      <c r="J81" s="443"/>
      <c r="K81" s="443"/>
      <c r="L81" s="443"/>
      <c r="M81" s="209"/>
      <c r="N81" s="209"/>
    </row>
    <row r="82" spans="1:16" s="13" customFormat="1" ht="10.5" customHeight="1">
      <c r="A82"/>
      <c r="B82" s="442"/>
      <c r="C82" s="442"/>
      <c r="D82" s="442"/>
      <c r="E82" s="442"/>
      <c r="F82" s="442"/>
      <c r="G82" s="442"/>
      <c r="H82" s="209"/>
      <c r="I82" s="209"/>
      <c r="J82" s="209"/>
      <c r="K82" s="209"/>
      <c r="L82" s="209"/>
      <c r="M82" s="209"/>
      <c r="N82" s="209"/>
      <c r="O82"/>
      <c r="P82"/>
    </row>
    <row r="83" spans="1:16" s="13" customFormat="1" ht="10.5" customHeight="1">
      <c r="A83"/>
      <c r="B83" s="209"/>
      <c r="C83" s="209"/>
      <c r="D83" s="209"/>
      <c r="E83" s="209"/>
      <c r="F83" s="209"/>
      <c r="G83" s="209"/>
      <c r="H83" s="209"/>
      <c r="I83" s="209"/>
      <c r="J83" s="209"/>
      <c r="K83" s="209"/>
      <c r="L83" s="209"/>
      <c r="M83" s="209"/>
      <c r="N83" s="209"/>
      <c r="O83"/>
      <c r="P83"/>
    </row>
    <row r="84" spans="1:16" s="13" customFormat="1">
      <c r="A84"/>
      <c r="B84" s="438"/>
      <c r="C84" s="438"/>
      <c r="D84" s="438"/>
      <c r="E84" s="438"/>
      <c r="F84" s="438"/>
      <c r="G84" s="438"/>
      <c r="H84" s="438"/>
      <c r="I84" s="438"/>
      <c r="J84" s="438"/>
      <c r="K84" s="438"/>
      <c r="L84" s="438"/>
      <c r="M84" s="438"/>
      <c r="N84" s="438"/>
      <c r="O84"/>
      <c r="P84"/>
    </row>
    <row r="85" spans="1:16" s="13" customFormat="1" ht="4.1500000000000004" customHeight="1">
      <c r="A85"/>
      <c r="B85" s="438"/>
      <c r="C85" s="438"/>
      <c r="D85" s="438"/>
      <c r="E85" s="438"/>
      <c r="F85" s="438"/>
      <c r="G85" s="438"/>
      <c r="H85" s="438"/>
      <c r="I85" s="438"/>
      <c r="J85" s="438"/>
      <c r="K85" s="438"/>
      <c r="L85" s="438"/>
      <c r="M85" s="438"/>
      <c r="N85" s="438"/>
      <c r="O85"/>
      <c r="P85"/>
    </row>
    <row r="86" spans="1:16" s="13" customFormat="1">
      <c r="A86"/>
      <c r="B86"/>
      <c r="C86" s="441"/>
      <c r="D86" s="439"/>
      <c r="E86" s="439"/>
      <c r="F86" s="439"/>
      <c r="G86" s="439"/>
      <c r="H86" s="439"/>
      <c r="I86" s="439"/>
      <c r="J86" s="439"/>
      <c r="K86" s="439"/>
      <c r="L86" s="439"/>
      <c r="M86" s="439"/>
      <c r="N86" s="439"/>
      <c r="O86"/>
      <c r="P86"/>
    </row>
    <row r="87" spans="1:16" s="13" customFormat="1" ht="4.1500000000000004" customHeight="1">
      <c r="A87"/>
      <c r="B87" s="438"/>
      <c r="C87" s="438"/>
      <c r="D87" s="438"/>
      <c r="E87" s="438"/>
      <c r="F87" s="438"/>
      <c r="G87" s="438"/>
      <c r="H87" s="438"/>
      <c r="I87" s="438"/>
      <c r="J87" s="438"/>
      <c r="K87" s="438"/>
      <c r="L87" s="438"/>
      <c r="M87" s="438"/>
      <c r="N87" s="438"/>
      <c r="O87"/>
      <c r="P87"/>
    </row>
    <row r="88" spans="1:16" s="13" customFormat="1">
      <c r="A88"/>
      <c r="B88"/>
      <c r="C88" s="441"/>
      <c r="D88" s="439"/>
      <c r="E88" s="439"/>
      <c r="F88" s="439"/>
      <c r="G88" s="439"/>
      <c r="H88" s="439"/>
      <c r="I88" s="439"/>
      <c r="J88" s="439"/>
      <c r="K88" s="439"/>
      <c r="L88" s="439"/>
      <c r="M88" s="439"/>
      <c r="N88" s="439"/>
      <c r="O88"/>
      <c r="P88"/>
    </row>
    <row r="89" spans="1:16" s="13" customFormat="1" ht="4.1500000000000004" customHeight="1">
      <c r="A89"/>
      <c r="B89" s="438"/>
      <c r="C89" s="438"/>
      <c r="D89" s="438"/>
      <c r="E89" s="438"/>
      <c r="F89" s="438"/>
      <c r="G89" s="438"/>
      <c r="H89" s="438"/>
      <c r="I89" s="438"/>
      <c r="J89" s="438"/>
      <c r="K89" s="438"/>
      <c r="L89" s="438"/>
      <c r="M89" s="438"/>
      <c r="N89" s="438"/>
      <c r="O89"/>
      <c r="P89"/>
    </row>
    <row r="90" spans="1:16" s="13" customFormat="1">
      <c r="A90"/>
      <c r="B90"/>
      <c r="C90" s="441"/>
      <c r="D90" s="439"/>
      <c r="E90" s="439"/>
      <c r="F90" s="439"/>
      <c r="G90" s="439"/>
      <c r="H90" s="439"/>
      <c r="I90" s="439"/>
      <c r="J90" s="439"/>
      <c r="K90" s="439"/>
      <c r="L90" s="439"/>
      <c r="M90" s="439"/>
      <c r="N90" s="439"/>
      <c r="O90"/>
      <c r="P90"/>
    </row>
    <row r="91" spans="1:16" s="13" customFormat="1" ht="4.1500000000000004" customHeight="1">
      <c r="A91"/>
      <c r="B91" s="438"/>
      <c r="C91" s="438"/>
      <c r="D91" s="438"/>
      <c r="E91" s="438"/>
      <c r="F91" s="438"/>
      <c r="G91" s="438"/>
      <c r="H91" s="438"/>
      <c r="I91" s="438"/>
      <c r="J91" s="438"/>
      <c r="K91" s="438"/>
      <c r="L91" s="438"/>
      <c r="M91" s="438"/>
      <c r="N91" s="438"/>
      <c r="O91"/>
      <c r="P91"/>
    </row>
    <row r="92" spans="1:16" s="13" customFormat="1" ht="13.15" customHeight="1">
      <c r="A92"/>
      <c r="B92" s="439"/>
      <c r="C92" s="439"/>
      <c r="D92" s="439"/>
      <c r="E92" s="439"/>
      <c r="F92" s="439"/>
      <c r="G92" s="439"/>
      <c r="H92" s="439"/>
      <c r="I92" s="209"/>
      <c r="J92" s="209"/>
      <c r="K92" s="209"/>
      <c r="L92" s="209"/>
      <c r="M92" s="209"/>
      <c r="N92" s="209"/>
      <c r="O92"/>
      <c r="P92"/>
    </row>
    <row r="93" spans="1:16" s="13" customFormat="1" ht="10.9" customHeight="1">
      <c r="A93"/>
      <c r="B93" s="438"/>
      <c r="C93" s="438"/>
      <c r="D93" s="438"/>
      <c r="E93" s="438"/>
      <c r="F93" s="438"/>
      <c r="G93" s="438"/>
      <c r="H93" s="438"/>
      <c r="I93" s="438"/>
      <c r="J93" s="438"/>
      <c r="K93" s="438"/>
      <c r="L93" s="438"/>
      <c r="M93" s="438"/>
      <c r="N93" s="438"/>
      <c r="O93"/>
      <c r="P93"/>
    </row>
    <row r="94" spans="1:16" s="13" customFormat="1" ht="27" customHeight="1">
      <c r="A94"/>
      <c r="B94" s="438"/>
      <c r="C94" s="438"/>
      <c r="D94" s="438"/>
      <c r="E94" s="438"/>
      <c r="F94" s="438"/>
      <c r="G94" s="438"/>
      <c r="H94" s="438"/>
      <c r="I94" s="438"/>
      <c r="J94" s="438"/>
      <c r="K94" s="438"/>
      <c r="L94" s="438"/>
      <c r="M94" s="438"/>
      <c r="N94" s="438"/>
      <c r="O94"/>
      <c r="P94"/>
    </row>
    <row r="95" spans="1:16" s="13" customFormat="1" ht="3" customHeight="1">
      <c r="A95"/>
      <c r="B95" s="438"/>
      <c r="C95" s="438"/>
      <c r="D95" s="438"/>
      <c r="E95" s="438"/>
      <c r="F95" s="438"/>
      <c r="G95" s="438"/>
      <c r="H95" s="438"/>
      <c r="I95" s="438"/>
      <c r="J95" s="438"/>
      <c r="K95" s="438"/>
      <c r="L95" s="438"/>
      <c r="M95" s="438"/>
      <c r="N95" s="438"/>
      <c r="O95"/>
      <c r="P95"/>
    </row>
    <row r="96" spans="1:16" s="13" customFormat="1" ht="24" customHeight="1">
      <c r="A96"/>
      <c r="B96"/>
      <c r="C96" s="441"/>
      <c r="D96" s="439"/>
      <c r="E96" s="439"/>
      <c r="F96" s="439"/>
      <c r="G96" s="439"/>
      <c r="H96" s="439"/>
      <c r="I96" s="439"/>
      <c r="J96" s="439"/>
      <c r="K96" s="439"/>
      <c r="L96" s="439"/>
      <c r="M96" s="439"/>
      <c r="N96" s="439"/>
      <c r="O96"/>
      <c r="P96"/>
    </row>
    <row r="97" spans="1:16" s="13" customFormat="1" ht="4.9000000000000004" customHeight="1">
      <c r="A97"/>
      <c r="B97" s="438"/>
      <c r="C97" s="438"/>
      <c r="D97" s="438"/>
      <c r="E97" s="438"/>
      <c r="F97" s="438"/>
      <c r="G97" s="438"/>
      <c r="H97" s="438"/>
      <c r="I97" s="438"/>
      <c r="J97" s="438"/>
      <c r="K97" s="438"/>
      <c r="L97" s="438"/>
      <c r="M97" s="438"/>
      <c r="N97" s="438"/>
      <c r="O97"/>
      <c r="P97"/>
    </row>
    <row r="98" spans="1:16" s="13" customFormat="1" ht="26.65" customHeight="1">
      <c r="A98"/>
      <c r="B98"/>
      <c r="C98" s="441"/>
      <c r="D98" s="439"/>
      <c r="E98" s="439"/>
      <c r="F98" s="439"/>
      <c r="G98" s="439"/>
      <c r="H98" s="439"/>
      <c r="I98" s="439"/>
      <c r="J98" s="439"/>
      <c r="K98" s="439"/>
      <c r="L98" s="439"/>
      <c r="M98" s="439"/>
      <c r="N98" s="439"/>
      <c r="O98"/>
      <c r="P98"/>
    </row>
    <row r="99" spans="1:16" s="13" customFormat="1" ht="4.9000000000000004" customHeight="1">
      <c r="A99"/>
      <c r="B99" s="438"/>
      <c r="C99" s="438"/>
      <c r="D99" s="438"/>
      <c r="E99" s="438"/>
      <c r="F99" s="438"/>
      <c r="G99" s="438"/>
      <c r="H99" s="438"/>
      <c r="I99" s="438"/>
      <c r="J99" s="438"/>
      <c r="K99" s="438"/>
      <c r="L99" s="438"/>
      <c r="M99" s="438"/>
      <c r="N99" s="438"/>
      <c r="O99"/>
      <c r="P99"/>
    </row>
    <row r="100" spans="1:16" s="13" customFormat="1">
      <c r="A100"/>
      <c r="B100"/>
      <c r="C100" s="441"/>
      <c r="D100" s="439"/>
      <c r="E100" s="439"/>
      <c r="F100" s="439"/>
      <c r="G100" s="439"/>
      <c r="H100" s="439"/>
      <c r="I100" s="439"/>
      <c r="J100" s="439"/>
      <c r="K100" s="439"/>
      <c r="L100" s="439"/>
      <c r="M100" s="439"/>
      <c r="N100" s="439"/>
      <c r="O100"/>
      <c r="P100"/>
    </row>
    <row r="101" spans="1:16" s="13" customFormat="1" ht="4.9000000000000004" customHeight="1">
      <c r="A101"/>
      <c r="B101" s="438"/>
      <c r="C101" s="438"/>
      <c r="D101" s="438"/>
      <c r="E101" s="438"/>
      <c r="F101" s="438"/>
      <c r="G101" s="438"/>
      <c r="H101" s="438"/>
      <c r="I101" s="438"/>
      <c r="J101" s="438"/>
      <c r="K101" s="438"/>
      <c r="L101" s="438"/>
      <c r="M101" s="438"/>
      <c r="N101" s="438"/>
      <c r="O101"/>
      <c r="P101"/>
    </row>
    <row r="102" spans="1:16" s="13" customFormat="1" ht="31.9" customHeight="1">
      <c r="A102"/>
      <c r="B102"/>
      <c r="C102" s="441"/>
      <c r="D102" s="439"/>
      <c r="E102" s="439"/>
      <c r="F102" s="439"/>
      <c r="G102" s="439"/>
      <c r="H102" s="439"/>
      <c r="I102" s="439"/>
      <c r="J102" s="439"/>
      <c r="K102" s="439"/>
      <c r="L102" s="439"/>
      <c r="M102" s="439"/>
      <c r="N102" s="439"/>
      <c r="O102"/>
      <c r="P102"/>
    </row>
    <row r="103" spans="1:16" s="13" customFormat="1" ht="4.9000000000000004" customHeight="1">
      <c r="A103"/>
      <c r="B103" s="438"/>
      <c r="C103" s="438"/>
      <c r="D103" s="438"/>
      <c r="E103" s="438"/>
      <c r="F103" s="438"/>
      <c r="G103" s="438"/>
      <c r="H103" s="438"/>
      <c r="I103" s="438"/>
      <c r="J103" s="438"/>
      <c r="K103" s="438"/>
      <c r="L103" s="438"/>
      <c r="M103" s="438"/>
      <c r="N103" s="438"/>
      <c r="O103"/>
      <c r="P103"/>
    </row>
    <row r="104" spans="1:16" s="13" customFormat="1" ht="25.9" customHeight="1">
      <c r="A104"/>
      <c r="B104"/>
      <c r="C104" s="441"/>
      <c r="D104" s="439"/>
      <c r="E104" s="439"/>
      <c r="F104" s="439"/>
      <c r="G104" s="439"/>
      <c r="H104" s="439"/>
      <c r="I104" s="439"/>
      <c r="J104" s="439"/>
      <c r="K104" s="439"/>
      <c r="L104" s="439"/>
      <c r="M104" s="439"/>
      <c r="N104" s="439"/>
      <c r="O104"/>
      <c r="P104"/>
    </row>
    <row r="105" spans="1:16" s="13" customFormat="1" ht="4.9000000000000004" customHeight="1">
      <c r="A105"/>
      <c r="B105" s="438"/>
      <c r="C105" s="438"/>
      <c r="D105" s="438"/>
      <c r="E105" s="438"/>
      <c r="F105" s="438"/>
      <c r="G105" s="438"/>
      <c r="H105" s="438"/>
      <c r="I105" s="438"/>
      <c r="J105" s="438"/>
      <c r="K105" s="438"/>
      <c r="L105" s="438"/>
      <c r="M105" s="438"/>
      <c r="N105" s="438"/>
      <c r="O105"/>
      <c r="P105"/>
    </row>
    <row r="106" spans="1:16" s="13" customFormat="1" ht="26.65" customHeight="1">
      <c r="A106"/>
      <c r="B106"/>
      <c r="C106" s="441"/>
      <c r="D106" s="439"/>
      <c r="E106" s="439"/>
      <c r="F106" s="439"/>
      <c r="G106" s="439"/>
      <c r="H106" s="439"/>
      <c r="I106" s="439"/>
      <c r="J106" s="439"/>
      <c r="K106" s="439"/>
      <c r="L106" s="439"/>
      <c r="M106" s="439"/>
      <c r="N106" s="439"/>
      <c r="O106"/>
      <c r="P106"/>
    </row>
    <row r="107" spans="1:16" s="13" customFormat="1" ht="4.9000000000000004" customHeight="1">
      <c r="A107"/>
      <c r="B107" s="438"/>
      <c r="C107" s="438"/>
      <c r="D107" s="438"/>
      <c r="E107" s="438"/>
      <c r="F107" s="438"/>
      <c r="G107" s="438"/>
      <c r="H107" s="438"/>
      <c r="I107" s="438"/>
      <c r="J107" s="438"/>
      <c r="K107" s="438"/>
      <c r="L107" s="438"/>
      <c r="M107" s="438"/>
      <c r="N107" s="438"/>
      <c r="O107"/>
      <c r="P107"/>
    </row>
    <row r="108" spans="1:16" s="13" customFormat="1" ht="28.5" customHeight="1">
      <c r="A108"/>
      <c r="B108"/>
      <c r="C108" s="441"/>
      <c r="D108" s="439"/>
      <c r="E108" s="439"/>
      <c r="F108" s="439"/>
      <c r="G108" s="439"/>
      <c r="H108" s="439"/>
      <c r="I108" s="439"/>
      <c r="J108" s="439"/>
      <c r="K108" s="439"/>
      <c r="L108" s="439"/>
      <c r="M108" s="439"/>
      <c r="N108" s="439"/>
      <c r="O108"/>
      <c r="P108"/>
    </row>
    <row r="109" spans="1:16" s="13" customFormat="1" ht="9" customHeight="1">
      <c r="A109"/>
      <c r="B109" s="438"/>
      <c r="C109" s="438"/>
      <c r="D109" s="438"/>
      <c r="E109" s="438"/>
      <c r="F109" s="438"/>
      <c r="G109" s="438"/>
      <c r="H109" s="438"/>
      <c r="I109" s="438"/>
      <c r="J109" s="438"/>
      <c r="K109" s="438"/>
      <c r="L109" s="438"/>
      <c r="M109" s="438"/>
      <c r="N109" s="438"/>
      <c r="O109"/>
      <c r="P109"/>
    </row>
    <row r="110" spans="1:16" s="13" customFormat="1" ht="27.75" customHeight="1">
      <c r="A110"/>
      <c r="B110" s="438"/>
      <c r="C110" s="402"/>
      <c r="D110" s="402"/>
      <c r="E110" s="402"/>
      <c r="F110" s="402"/>
      <c r="G110" s="402"/>
      <c r="H110" s="402"/>
      <c r="I110" s="402"/>
      <c r="J110" s="402"/>
      <c r="K110" s="402"/>
      <c r="L110" s="402"/>
      <c r="M110" s="402"/>
      <c r="N110" s="209"/>
      <c r="O110"/>
      <c r="P110"/>
    </row>
    <row r="111" spans="1:16" s="13" customFormat="1" ht="12" customHeight="1">
      <c r="A111"/>
      <c r="B111" s="209"/>
      <c r="C111" s="209"/>
      <c r="D111" s="209"/>
      <c r="E111" s="209"/>
      <c r="F111" s="209"/>
      <c r="G111" s="209"/>
      <c r="H111" s="209"/>
      <c r="I111" s="209"/>
      <c r="J111" s="209"/>
      <c r="K111" s="209"/>
      <c r="L111" s="209"/>
      <c r="M111" s="209"/>
      <c r="N111" s="209"/>
      <c r="O111"/>
      <c r="P111"/>
    </row>
    <row r="112" spans="1:16" s="13" customFormat="1" ht="18" customHeight="1">
      <c r="A112"/>
      <c r="B112" s="439"/>
      <c r="C112" s="439"/>
      <c r="D112" s="439"/>
      <c r="E112" s="439"/>
      <c r="F112" s="439"/>
      <c r="G112" s="439"/>
      <c r="H112" s="439"/>
      <c r="I112" s="439"/>
      <c r="J112" s="439"/>
      <c r="K112" s="209"/>
      <c r="L112" s="209"/>
      <c r="M112" s="209"/>
      <c r="N112"/>
      <c r="O112"/>
      <c r="P112"/>
    </row>
    <row r="113" spans="1:17" s="13" customFormat="1" ht="5.25" customHeight="1">
      <c r="A113"/>
      <c r="B113" s="210"/>
      <c r="C113" s="210"/>
      <c r="D113" s="210"/>
      <c r="E113" s="210"/>
      <c r="F113" s="210"/>
      <c r="G113" s="210"/>
      <c r="H113" s="210"/>
      <c r="I113" s="210"/>
      <c r="J113" s="210"/>
      <c r="K113" s="210"/>
      <c r="L113" s="209"/>
      <c r="M113" s="209"/>
      <c r="N113"/>
      <c r="O113"/>
      <c r="P113"/>
    </row>
    <row r="114" spans="1:17" ht="18.75" customHeight="1">
      <c r="B114" s="439"/>
      <c r="C114" s="439"/>
      <c r="D114" s="439"/>
      <c r="E114" s="439"/>
      <c r="F114" s="439"/>
      <c r="G114" s="439"/>
      <c r="H114" s="439"/>
      <c r="I114" s="439"/>
      <c r="J114" s="439"/>
      <c r="K114" s="439"/>
      <c r="L114" s="439"/>
      <c r="M114" s="439"/>
    </row>
    <row r="115" spans="1:17" ht="8.25" customHeight="1">
      <c r="B115" s="210"/>
      <c r="C115" s="210"/>
      <c r="D115" s="210"/>
      <c r="E115" s="210"/>
      <c r="F115" s="210"/>
      <c r="G115" s="210"/>
      <c r="H115" s="210"/>
      <c r="I115" s="210"/>
      <c r="J115" s="210"/>
      <c r="K115" s="210"/>
      <c r="L115" s="210"/>
      <c r="M115" s="209"/>
      <c r="N115" s="209"/>
    </row>
    <row r="116" spans="1:17">
      <c r="B116" s="438"/>
      <c r="C116" s="438"/>
      <c r="D116" s="438"/>
      <c r="E116" s="438"/>
      <c r="F116" s="438"/>
      <c r="G116" s="438"/>
      <c r="H116" s="438"/>
      <c r="I116" s="438"/>
      <c r="J116" s="438"/>
      <c r="K116" s="438"/>
      <c r="L116" s="438"/>
      <c r="M116" s="438"/>
      <c r="N116" s="438"/>
      <c r="Q116" s="142"/>
    </row>
    <row r="117" spans="1:17">
      <c r="B117" s="209"/>
      <c r="C117" s="209"/>
      <c r="D117" s="209"/>
      <c r="E117" s="209"/>
      <c r="F117" s="209"/>
      <c r="G117" s="209"/>
      <c r="H117" s="209"/>
      <c r="I117" s="209"/>
      <c r="J117" s="209"/>
      <c r="K117" s="209"/>
      <c r="L117" s="209"/>
      <c r="M117" s="209"/>
      <c r="N117" s="209"/>
      <c r="Q117" s="142"/>
    </row>
    <row r="118" spans="1:17" ht="45.75" customHeight="1">
      <c r="A118" s="211"/>
      <c r="B118" s="444"/>
      <c r="C118" s="445"/>
      <c r="D118" s="445"/>
      <c r="E118" s="445"/>
      <c r="F118" s="445"/>
      <c r="G118" s="445"/>
      <c r="H118" s="445"/>
      <c r="I118" s="445"/>
      <c r="J118" s="445"/>
      <c r="K118" s="445"/>
      <c r="L118" s="445"/>
      <c r="M118" s="445"/>
      <c r="N118" s="445"/>
    </row>
    <row r="119" spans="1:17">
      <c r="B119" s="438"/>
      <c r="C119" s="438"/>
      <c r="D119" s="438"/>
      <c r="E119" s="438"/>
      <c r="F119" s="438"/>
      <c r="G119" s="438"/>
      <c r="H119" s="438"/>
      <c r="I119" s="438"/>
      <c r="J119" s="438"/>
      <c r="K119" s="438"/>
      <c r="L119" s="438"/>
      <c r="M119" s="438"/>
      <c r="N119" s="438"/>
    </row>
    <row r="120" spans="1:17">
      <c r="B120" s="438"/>
      <c r="C120" s="438"/>
      <c r="D120" s="438"/>
      <c r="E120" s="438"/>
      <c r="F120" s="438"/>
      <c r="G120" s="438"/>
      <c r="H120" s="438"/>
      <c r="I120" s="438"/>
      <c r="J120" s="438"/>
      <c r="K120" s="438"/>
      <c r="L120" s="438"/>
      <c r="M120" s="438"/>
      <c r="N120" s="438"/>
    </row>
  </sheetData>
  <mergeCells count="107">
    <mergeCell ref="B118:N118"/>
    <mergeCell ref="B119:N119"/>
    <mergeCell ref="B120:N120"/>
    <mergeCell ref="B5:N5"/>
    <mergeCell ref="B13:N13"/>
    <mergeCell ref="B19:N19"/>
    <mergeCell ref="B24:I24"/>
    <mergeCell ref="B25:I25"/>
    <mergeCell ref="B26:I26"/>
    <mergeCell ref="B27:I27"/>
    <mergeCell ref="C108:N108"/>
    <mergeCell ref="B109:N109"/>
    <mergeCell ref="B110:M110"/>
    <mergeCell ref="B112:J112"/>
    <mergeCell ref="B114:M114"/>
    <mergeCell ref="B116:N116"/>
    <mergeCell ref="C102:N102"/>
    <mergeCell ref="B103:N103"/>
    <mergeCell ref="C104:N104"/>
    <mergeCell ref="B105:N105"/>
    <mergeCell ref="C106:N106"/>
    <mergeCell ref="B107:N107"/>
    <mergeCell ref="C96:N96"/>
    <mergeCell ref="B97:N97"/>
    <mergeCell ref="C98:N98"/>
    <mergeCell ref="B99:N99"/>
    <mergeCell ref="C100:N100"/>
    <mergeCell ref="B101:N101"/>
    <mergeCell ref="B91:N91"/>
    <mergeCell ref="B92:H92"/>
    <mergeCell ref="B93:N93"/>
    <mergeCell ref="B94:N94"/>
    <mergeCell ref="B95:N95"/>
    <mergeCell ref="B85:N85"/>
    <mergeCell ref="C86:N86"/>
    <mergeCell ref="B87:N87"/>
    <mergeCell ref="C88:N88"/>
    <mergeCell ref="B89:N89"/>
    <mergeCell ref="C90:N90"/>
    <mergeCell ref="B78:N78"/>
    <mergeCell ref="B79:L79"/>
    <mergeCell ref="C80:L80"/>
    <mergeCell ref="C81:L81"/>
    <mergeCell ref="B82:G82"/>
    <mergeCell ref="B84:N84"/>
    <mergeCell ref="B71:N71"/>
    <mergeCell ref="B72:N72"/>
    <mergeCell ref="B73:M73"/>
    <mergeCell ref="B74:N74"/>
    <mergeCell ref="B75:N75"/>
    <mergeCell ref="B77:N77"/>
    <mergeCell ref="B65:N65"/>
    <mergeCell ref="B66:N66"/>
    <mergeCell ref="B67:N67"/>
    <mergeCell ref="B68:N68"/>
    <mergeCell ref="B69:M69"/>
    <mergeCell ref="B70:N70"/>
    <mergeCell ref="B59:N59"/>
    <mergeCell ref="B60:N60"/>
    <mergeCell ref="B61:N61"/>
    <mergeCell ref="B62:N62"/>
    <mergeCell ref="B63:N63"/>
    <mergeCell ref="B64:N64"/>
    <mergeCell ref="B52:N52"/>
    <mergeCell ref="B53:N53"/>
    <mergeCell ref="B54:N54"/>
    <mergeCell ref="B56:N56"/>
    <mergeCell ref="B57:N57"/>
    <mergeCell ref="B58:N58"/>
    <mergeCell ref="B46:N46"/>
    <mergeCell ref="B47:N47"/>
    <mergeCell ref="B51:N51"/>
    <mergeCell ref="C48:N48"/>
    <mergeCell ref="C49:N49"/>
    <mergeCell ref="C50:N50"/>
    <mergeCell ref="C41:N41"/>
    <mergeCell ref="B42:N42"/>
    <mergeCell ref="B43:N43"/>
    <mergeCell ref="B44:N44"/>
    <mergeCell ref="B45:N45"/>
    <mergeCell ref="B40:N40"/>
    <mergeCell ref="C38:N38"/>
    <mergeCell ref="B39:N39"/>
    <mergeCell ref="B34:I34"/>
    <mergeCell ref="B35:I35"/>
    <mergeCell ref="B36:I36"/>
    <mergeCell ref="B37:I37"/>
    <mergeCell ref="B29:N29"/>
    <mergeCell ref="B28:I28"/>
    <mergeCell ref="B31:I31"/>
    <mergeCell ref="B32:I32"/>
    <mergeCell ref="B33:I33"/>
    <mergeCell ref="C22:N22"/>
    <mergeCell ref="B23:N23"/>
    <mergeCell ref="B15:N15"/>
    <mergeCell ref="B16:N16"/>
    <mergeCell ref="B17:N17"/>
    <mergeCell ref="B18:N18"/>
    <mergeCell ref="B20:N20"/>
    <mergeCell ref="B21:N21"/>
    <mergeCell ref="B6:N6"/>
    <mergeCell ref="B8:N8"/>
    <mergeCell ref="B9:N9"/>
    <mergeCell ref="B10:N10"/>
    <mergeCell ref="B11:N11"/>
    <mergeCell ref="B12:G12"/>
    <mergeCell ref="H12:M12"/>
  </mergeCell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4" tint="0.59999389629810485"/>
  </sheetPr>
  <dimension ref="A1:O88"/>
  <sheetViews>
    <sheetView showGridLines="0" zoomScaleNormal="100" workbookViewId="0">
      <selection activeCell="P30" sqref="P30"/>
    </sheetView>
  </sheetViews>
  <sheetFormatPr defaultColWidth="8.7109375" defaultRowHeight="12.75"/>
  <cols>
    <col min="1" max="1" width="8.5703125" customWidth="1"/>
    <col min="2" max="2" width="8.7109375" customWidth="1"/>
    <col min="5" max="5" width="8.7109375" customWidth="1"/>
  </cols>
  <sheetData>
    <row r="1" spans="1:15">
      <c r="A1" s="54"/>
      <c r="B1" s="54"/>
      <c r="C1" s="54"/>
      <c r="D1" s="54"/>
      <c r="E1" s="54"/>
      <c r="F1" s="54"/>
      <c r="G1" s="54"/>
      <c r="H1" s="54"/>
      <c r="I1" s="54"/>
      <c r="J1" s="54"/>
      <c r="K1" s="54"/>
      <c r="L1" s="54"/>
      <c r="M1" s="54"/>
      <c r="N1" s="54"/>
      <c r="O1" s="54"/>
    </row>
    <row r="2" spans="1:15">
      <c r="A2" s="54"/>
      <c r="B2" s="54"/>
      <c r="C2" s="54"/>
      <c r="D2" s="54"/>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54"/>
      <c r="B4" s="54"/>
      <c r="C4" s="54"/>
      <c r="D4" s="54"/>
      <c r="E4" s="54"/>
      <c r="F4" s="54"/>
      <c r="G4" s="54"/>
      <c r="H4" s="54"/>
      <c r="I4" s="54"/>
      <c r="J4" s="54"/>
      <c r="K4" s="54"/>
      <c r="L4" s="54"/>
      <c r="M4" s="54"/>
      <c r="N4" s="54"/>
      <c r="O4" s="54"/>
    </row>
    <row r="5" spans="1:15" ht="33.75" customHeight="1">
      <c r="A5" s="54"/>
      <c r="B5" s="410" t="s">
        <v>312</v>
      </c>
      <c r="C5" s="411"/>
      <c r="D5" s="411"/>
      <c r="E5" s="411"/>
      <c r="F5" s="411"/>
      <c r="G5" s="411"/>
      <c r="H5" s="411"/>
      <c r="I5" s="411"/>
      <c r="J5" s="411"/>
      <c r="K5" s="411"/>
      <c r="L5" s="411"/>
      <c r="M5" s="411"/>
      <c r="N5" s="411"/>
      <c r="O5" s="54"/>
    </row>
    <row r="6" spans="1:15" ht="13.5" customHeight="1">
      <c r="A6" s="54"/>
      <c r="B6" s="54"/>
      <c r="C6" s="54"/>
      <c r="D6" s="54"/>
      <c r="E6" s="54"/>
      <c r="F6" s="54"/>
      <c r="G6" s="54"/>
      <c r="H6" s="54"/>
      <c r="I6" s="54"/>
      <c r="J6" s="54"/>
      <c r="K6" s="54"/>
      <c r="L6" s="54"/>
      <c r="M6" s="54"/>
      <c r="N6" s="54"/>
      <c r="O6" s="54"/>
    </row>
    <row r="7" spans="1:15">
      <c r="A7" s="54"/>
      <c r="B7" s="449"/>
      <c r="C7" s="449"/>
      <c r="D7" s="449"/>
      <c r="E7" s="449"/>
      <c r="F7" s="449"/>
      <c r="G7" s="449"/>
      <c r="H7" s="449"/>
      <c r="I7" s="449"/>
      <c r="J7" s="449"/>
      <c r="K7" s="449"/>
      <c r="L7" s="449"/>
      <c r="M7" s="449"/>
      <c r="N7" s="449"/>
      <c r="O7" s="54"/>
    </row>
    <row r="8" spans="1:15" ht="13.15" customHeight="1">
      <c r="A8" s="54"/>
      <c r="B8" s="468" t="s">
        <v>313</v>
      </c>
      <c r="C8" s="468"/>
      <c r="D8" s="468"/>
      <c r="E8" s="468"/>
      <c r="F8" s="468"/>
      <c r="G8" s="468"/>
      <c r="H8" s="468"/>
      <c r="I8" s="468"/>
      <c r="J8" s="468"/>
      <c r="K8" s="468"/>
      <c r="L8" s="468"/>
      <c r="M8" s="468"/>
      <c r="N8" s="468"/>
      <c r="O8" s="54"/>
    </row>
    <row r="9" spans="1:15" ht="13.15" customHeight="1">
      <c r="A9" s="54"/>
      <c r="B9" s="125"/>
      <c r="C9" s="128"/>
      <c r="D9" s="128"/>
      <c r="E9" s="128"/>
      <c r="F9" s="128"/>
      <c r="G9" s="128"/>
      <c r="H9" s="109"/>
      <c r="I9" s="129"/>
      <c r="J9" s="129"/>
      <c r="K9" s="129"/>
      <c r="L9" s="129"/>
      <c r="M9" s="129"/>
      <c r="N9" s="127"/>
      <c r="O9" s="54"/>
    </row>
    <row r="10" spans="1:15" ht="13.15" customHeight="1">
      <c r="A10" s="54"/>
      <c r="B10" s="469" t="s">
        <v>314</v>
      </c>
      <c r="C10" s="469"/>
      <c r="D10" s="469"/>
      <c r="E10" s="469"/>
      <c r="F10" s="469"/>
      <c r="G10" s="469"/>
      <c r="H10" s="469"/>
      <c r="I10" s="469"/>
      <c r="J10" s="469"/>
      <c r="K10" s="469"/>
      <c r="L10" s="469"/>
      <c r="M10" s="469"/>
      <c r="N10" s="469"/>
      <c r="O10" s="54"/>
    </row>
    <row r="11" spans="1:15" ht="13.15" customHeight="1">
      <c r="A11" s="54"/>
      <c r="B11" s="125"/>
      <c r="C11" s="128"/>
      <c r="D11" s="128"/>
      <c r="E11" s="128"/>
      <c r="F11" s="128"/>
      <c r="G11" s="128"/>
      <c r="H11" s="109"/>
      <c r="I11" s="129"/>
      <c r="J11" s="129"/>
      <c r="K11" s="129"/>
      <c r="L11" s="129"/>
      <c r="M11" s="129"/>
      <c r="N11" s="127"/>
      <c r="O11" s="54"/>
    </row>
    <row r="12" spans="1:15" ht="13.15" customHeight="1">
      <c r="A12" s="54"/>
      <c r="B12" s="469" t="s">
        <v>315</v>
      </c>
      <c r="C12" s="469"/>
      <c r="D12" s="469"/>
      <c r="E12" s="469"/>
      <c r="F12" s="469"/>
      <c r="G12" s="469"/>
      <c r="H12" s="469"/>
      <c r="I12" s="469"/>
      <c r="J12" s="469"/>
      <c r="K12" s="469"/>
      <c r="L12" s="469"/>
      <c r="M12" s="469"/>
      <c r="N12" s="469"/>
      <c r="O12" s="54"/>
    </row>
    <row r="13" spans="1:15" ht="6.6" customHeight="1">
      <c r="A13" s="54"/>
      <c r="B13" s="469"/>
      <c r="C13" s="469"/>
      <c r="D13" s="469"/>
      <c r="E13" s="469"/>
      <c r="F13" s="469"/>
      <c r="G13" s="469"/>
      <c r="H13" s="469"/>
      <c r="I13" s="469"/>
      <c r="J13" s="469"/>
      <c r="K13" s="469"/>
      <c r="L13" s="469"/>
      <c r="M13" s="469"/>
      <c r="N13" s="469"/>
      <c r="O13" s="54"/>
    </row>
    <row r="14" spans="1:15" ht="13.15" customHeight="1">
      <c r="A14" s="54"/>
      <c r="B14" s="469" t="s">
        <v>316</v>
      </c>
      <c r="C14" s="469"/>
      <c r="D14" s="469"/>
      <c r="E14" s="469"/>
      <c r="F14" s="469"/>
      <c r="G14" s="469"/>
      <c r="H14" s="469"/>
      <c r="I14" s="469"/>
      <c r="J14" s="469"/>
      <c r="K14" s="469"/>
      <c r="L14" s="469"/>
      <c r="M14" s="469"/>
      <c r="N14" s="469"/>
      <c r="O14" s="54"/>
    </row>
    <row r="15" spans="1:15" ht="13.15" customHeight="1">
      <c r="A15" s="54"/>
      <c r="B15" s="132"/>
      <c r="C15" s="132"/>
      <c r="D15" s="132"/>
      <c r="E15" s="132"/>
      <c r="F15" s="132"/>
      <c r="G15" s="132"/>
      <c r="H15" s="132"/>
      <c r="I15" s="132"/>
      <c r="J15" s="132"/>
      <c r="K15" s="132"/>
      <c r="L15" s="132"/>
      <c r="M15" s="132"/>
      <c r="N15" s="132"/>
      <c r="O15" s="54"/>
    </row>
    <row r="16" spans="1:15" ht="30" customHeight="1">
      <c r="A16" s="54"/>
      <c r="B16" s="452" t="s">
        <v>317</v>
      </c>
      <c r="C16" s="452"/>
      <c r="D16" s="452"/>
      <c r="E16" s="452"/>
      <c r="F16" s="452"/>
      <c r="G16" s="452"/>
      <c r="H16" s="452"/>
      <c r="I16" s="452"/>
      <c r="J16" s="452"/>
      <c r="K16" s="452"/>
      <c r="L16" s="452"/>
      <c r="M16" s="452"/>
      <c r="N16" s="452"/>
      <c r="O16" s="54"/>
    </row>
    <row r="17" spans="1:15" ht="12.6" customHeight="1">
      <c r="A17" s="54"/>
      <c r="B17" s="417" t="s">
        <v>318</v>
      </c>
      <c r="C17" s="417"/>
      <c r="D17" s="417"/>
      <c r="E17" s="417"/>
      <c r="F17" s="417"/>
      <c r="G17" s="417"/>
      <c r="H17" s="417"/>
      <c r="I17" s="417"/>
      <c r="J17" s="417"/>
      <c r="K17" s="417"/>
      <c r="L17" s="417"/>
      <c r="M17" s="417"/>
      <c r="N17" s="417"/>
      <c r="O17" s="54"/>
    </row>
    <row r="18" spans="1:15" ht="25.9" customHeight="1">
      <c r="A18" s="54"/>
      <c r="B18" s="417"/>
      <c r="C18" s="417"/>
      <c r="D18" s="417"/>
      <c r="E18" s="417"/>
      <c r="F18" s="417"/>
      <c r="G18" s="417"/>
      <c r="H18" s="417"/>
      <c r="I18" s="417"/>
      <c r="J18" s="417"/>
      <c r="K18" s="417"/>
      <c r="L18" s="417"/>
      <c r="M18" s="417"/>
      <c r="N18" s="417"/>
      <c r="O18" s="54"/>
    </row>
    <row r="19" spans="1:15" ht="22.15" customHeight="1">
      <c r="A19" s="126"/>
      <c r="B19" s="54"/>
      <c r="C19" s="417"/>
      <c r="D19" s="417"/>
      <c r="E19" s="417"/>
      <c r="F19" s="417"/>
      <c r="G19" s="417"/>
      <c r="H19" s="417"/>
      <c r="I19" s="417"/>
      <c r="J19" s="417"/>
      <c r="K19" s="417"/>
      <c r="L19" s="417"/>
      <c r="M19" s="417"/>
      <c r="N19" s="417"/>
      <c r="O19" s="54"/>
    </row>
    <row r="20" spans="1:15" ht="13.9" customHeight="1">
      <c r="A20" s="54"/>
      <c r="B20" s="454" t="s">
        <v>319</v>
      </c>
      <c r="C20" s="454"/>
      <c r="D20" s="454"/>
      <c r="E20" s="454"/>
      <c r="F20" s="454"/>
      <c r="G20" s="454"/>
      <c r="H20" s="454"/>
      <c r="I20" s="454"/>
      <c r="J20" s="454"/>
      <c r="K20" s="454"/>
      <c r="L20" s="454"/>
      <c r="M20" s="454"/>
      <c r="N20" s="454"/>
      <c r="O20" s="54"/>
    </row>
    <row r="21" spans="1:15" ht="20.65" customHeight="1">
      <c r="A21" s="54"/>
      <c r="B21" s="54"/>
      <c r="C21" s="417"/>
      <c r="D21" s="417"/>
      <c r="E21" s="417"/>
      <c r="F21" s="417"/>
      <c r="G21" s="417"/>
      <c r="H21" s="417"/>
      <c r="I21" s="417"/>
      <c r="J21" s="417"/>
      <c r="K21" s="417"/>
      <c r="L21" s="417"/>
      <c r="M21" s="417"/>
      <c r="N21" s="417"/>
      <c r="O21" s="54"/>
    </row>
    <row r="22" spans="1:15" ht="20.65" customHeight="1">
      <c r="A22" s="54"/>
      <c r="B22" s="448" t="s">
        <v>320</v>
      </c>
      <c r="C22" s="453"/>
      <c r="D22" s="453"/>
      <c r="E22" s="453"/>
      <c r="F22" s="453"/>
      <c r="G22" s="453"/>
      <c r="H22" s="453"/>
      <c r="I22" s="453"/>
      <c r="J22" s="453"/>
      <c r="K22" s="453"/>
      <c r="L22" s="453"/>
      <c r="M22" s="453"/>
      <c r="N22" s="453"/>
      <c r="O22" s="54"/>
    </row>
    <row r="23" spans="1:15" ht="20.65" customHeight="1">
      <c r="A23" s="54"/>
      <c r="B23" s="453" t="s">
        <v>321</v>
      </c>
      <c r="C23" s="453"/>
      <c r="D23" s="453"/>
      <c r="E23" s="453"/>
      <c r="F23" s="453"/>
      <c r="G23" s="453"/>
      <c r="H23" s="453"/>
      <c r="I23" s="453"/>
      <c r="J23" s="453"/>
      <c r="K23" s="453"/>
      <c r="L23" s="453"/>
      <c r="M23" s="453"/>
      <c r="N23" s="453"/>
      <c r="O23" s="54"/>
    </row>
    <row r="24" spans="1:15" ht="4.1500000000000004" customHeight="1">
      <c r="A24" s="54"/>
      <c r="B24" s="452"/>
      <c r="C24" s="452"/>
      <c r="D24" s="452"/>
      <c r="E24" s="452"/>
      <c r="F24" s="452"/>
      <c r="G24" s="452"/>
      <c r="H24" s="452"/>
      <c r="I24" s="452"/>
      <c r="J24" s="452"/>
      <c r="K24" s="452"/>
      <c r="L24" s="452"/>
      <c r="M24" s="452"/>
      <c r="N24" s="452"/>
      <c r="O24" s="54"/>
    </row>
    <row r="25" spans="1:15">
      <c r="A25" s="54"/>
      <c r="B25" s="54"/>
      <c r="C25" s="417"/>
      <c r="D25" s="417"/>
      <c r="E25" s="417"/>
      <c r="F25" s="417"/>
      <c r="G25" s="417"/>
      <c r="H25" s="417"/>
      <c r="I25" s="417"/>
      <c r="J25" s="417"/>
      <c r="K25" s="417"/>
      <c r="L25" s="417"/>
      <c r="M25" s="417"/>
      <c r="N25" s="417"/>
      <c r="O25" s="54"/>
    </row>
    <row r="26" spans="1:15" ht="4.1500000000000004" customHeight="1">
      <c r="A26" s="54"/>
      <c r="B26" s="452"/>
      <c r="C26" s="452"/>
      <c r="D26" s="452"/>
      <c r="E26" s="452"/>
      <c r="F26" s="452"/>
      <c r="G26" s="452"/>
      <c r="H26" s="452"/>
      <c r="I26" s="452"/>
      <c r="J26" s="452"/>
      <c r="K26" s="452"/>
      <c r="L26" s="452"/>
      <c r="M26" s="452"/>
      <c r="N26" s="452"/>
      <c r="O26" s="54"/>
    </row>
    <row r="27" spans="1:15" ht="25.9" customHeight="1">
      <c r="A27" s="54"/>
      <c r="B27" s="286" t="s">
        <v>322</v>
      </c>
      <c r="C27" s="461" t="s">
        <v>323</v>
      </c>
      <c r="D27" s="461"/>
      <c r="E27" s="461"/>
      <c r="F27" s="461" t="s">
        <v>324</v>
      </c>
      <c r="G27" s="461"/>
      <c r="H27" s="461"/>
      <c r="I27" s="461"/>
      <c r="J27" s="461"/>
      <c r="K27" s="461"/>
      <c r="L27" s="461"/>
      <c r="M27" s="461"/>
      <c r="N27" s="54"/>
      <c r="O27" s="54"/>
    </row>
    <row r="28" spans="1:15" ht="76.900000000000006" customHeight="1">
      <c r="A28" s="54"/>
      <c r="B28" s="287" t="s">
        <v>325</v>
      </c>
      <c r="C28" s="462" t="s">
        <v>326</v>
      </c>
      <c r="D28" s="462"/>
      <c r="E28" s="462"/>
      <c r="F28" s="462" t="s">
        <v>327</v>
      </c>
      <c r="G28" s="462"/>
      <c r="H28" s="462"/>
      <c r="I28" s="462"/>
      <c r="J28" s="462"/>
      <c r="K28" s="462"/>
      <c r="L28" s="462"/>
      <c r="M28" s="462"/>
      <c r="N28" s="54"/>
      <c r="O28" s="54"/>
    </row>
    <row r="29" spans="1:15" ht="51.6" customHeight="1">
      <c r="A29" s="54"/>
      <c r="B29" s="287" t="s">
        <v>328</v>
      </c>
      <c r="C29" s="455" t="s">
        <v>329</v>
      </c>
      <c r="D29" s="456"/>
      <c r="E29" s="457"/>
      <c r="F29" s="455" t="s">
        <v>330</v>
      </c>
      <c r="G29" s="456"/>
      <c r="H29" s="456"/>
      <c r="I29" s="456"/>
      <c r="J29" s="456"/>
      <c r="K29" s="456"/>
      <c r="L29" s="456"/>
      <c r="M29" s="457"/>
      <c r="N29" s="54"/>
      <c r="O29" s="54"/>
    </row>
    <row r="30" spans="1:15" ht="62.65" customHeight="1">
      <c r="A30" s="54"/>
      <c r="B30" s="287" t="s">
        <v>331</v>
      </c>
      <c r="C30" s="455" t="s">
        <v>332</v>
      </c>
      <c r="D30" s="456"/>
      <c r="E30" s="457"/>
      <c r="F30" s="455" t="s">
        <v>333</v>
      </c>
      <c r="G30" s="456"/>
      <c r="H30" s="456"/>
      <c r="I30" s="456"/>
      <c r="J30" s="456"/>
      <c r="K30" s="456"/>
      <c r="L30" s="456"/>
      <c r="M30" s="457"/>
      <c r="N30" s="54"/>
      <c r="O30" s="54"/>
    </row>
    <row r="31" spans="1:15" ht="45" customHeight="1">
      <c r="A31" s="54"/>
      <c r="B31" s="287" t="s">
        <v>334</v>
      </c>
      <c r="C31" s="455" t="s">
        <v>335</v>
      </c>
      <c r="D31" s="456"/>
      <c r="E31" s="457"/>
      <c r="F31" s="455" t="s">
        <v>336</v>
      </c>
      <c r="G31" s="456"/>
      <c r="H31" s="456"/>
      <c r="I31" s="456"/>
      <c r="J31" s="456"/>
      <c r="K31" s="456"/>
      <c r="L31" s="456"/>
      <c r="M31" s="457"/>
      <c r="N31" s="54"/>
      <c r="O31" s="54"/>
    </row>
    <row r="32" spans="1:15" ht="83.45" customHeight="1">
      <c r="A32" s="54"/>
      <c r="B32" s="287" t="s">
        <v>337</v>
      </c>
      <c r="C32" s="455" t="s">
        <v>338</v>
      </c>
      <c r="D32" s="456"/>
      <c r="E32" s="457"/>
      <c r="F32" s="455" t="s">
        <v>339</v>
      </c>
      <c r="G32" s="456"/>
      <c r="H32" s="456"/>
      <c r="I32" s="456"/>
      <c r="J32" s="456"/>
      <c r="K32" s="456"/>
      <c r="L32" s="456"/>
      <c r="M32" s="457"/>
      <c r="N32" s="54"/>
      <c r="O32" s="54"/>
    </row>
    <row r="33" spans="1:15" ht="25.9" customHeight="1">
      <c r="A33" s="54"/>
      <c r="B33" s="54"/>
      <c r="C33" s="54"/>
      <c r="D33" s="54"/>
      <c r="E33" s="54"/>
      <c r="F33" s="54"/>
      <c r="G33" s="54"/>
      <c r="H33" s="54"/>
      <c r="I33" s="54"/>
      <c r="J33" s="54"/>
      <c r="K33" s="54"/>
      <c r="L33" s="54"/>
      <c r="M33" s="54"/>
      <c r="N33" s="54"/>
      <c r="O33" s="54"/>
    </row>
    <row r="34" spans="1:15" ht="25.9" customHeight="1">
      <c r="A34" s="54"/>
      <c r="B34" s="425" t="s">
        <v>340</v>
      </c>
      <c r="C34" s="425"/>
      <c r="D34" s="425"/>
      <c r="E34" s="425"/>
      <c r="F34" s="425"/>
      <c r="G34" s="425"/>
      <c r="H34" s="425"/>
      <c r="I34" s="425"/>
      <c r="J34" s="425"/>
      <c r="K34" s="425"/>
      <c r="L34" s="425"/>
      <c r="M34" s="425"/>
      <c r="N34" s="425"/>
      <c r="O34" s="54"/>
    </row>
    <row r="35" spans="1:15" ht="25.9" customHeight="1">
      <c r="A35" s="54"/>
      <c r="B35" s="464" t="s">
        <v>341</v>
      </c>
      <c r="C35" s="464"/>
      <c r="D35" s="464"/>
      <c r="E35" s="464"/>
      <c r="F35" s="465" t="s">
        <v>342</v>
      </c>
      <c r="G35" s="465"/>
      <c r="H35" s="465"/>
      <c r="I35" s="465"/>
      <c r="J35" s="54"/>
      <c r="K35" s="54"/>
      <c r="L35" s="54"/>
      <c r="M35" s="54"/>
      <c r="N35" s="54"/>
      <c r="O35" s="54"/>
    </row>
    <row r="36" spans="1:15" ht="25.9" customHeight="1">
      <c r="A36" s="54"/>
      <c r="B36" s="458" t="s">
        <v>343</v>
      </c>
      <c r="C36" s="458"/>
      <c r="D36" s="458"/>
      <c r="E36" s="458"/>
      <c r="F36" s="459" t="s">
        <v>344</v>
      </c>
      <c r="G36" s="460"/>
      <c r="H36" s="460"/>
      <c r="I36" s="460"/>
      <c r="J36" s="54"/>
      <c r="K36" s="54"/>
      <c r="L36" s="54"/>
      <c r="M36" s="54"/>
      <c r="N36" s="54"/>
      <c r="O36" s="54"/>
    </row>
    <row r="37" spans="1:15" ht="25.9" customHeight="1">
      <c r="A37" s="54"/>
      <c r="B37" s="458" t="s">
        <v>345</v>
      </c>
      <c r="C37" s="458"/>
      <c r="D37" s="458"/>
      <c r="E37" s="458"/>
      <c r="F37" s="459" t="s">
        <v>346</v>
      </c>
      <c r="G37" s="460"/>
      <c r="H37" s="460"/>
      <c r="I37" s="460"/>
      <c r="J37" s="54"/>
      <c r="K37" s="54"/>
      <c r="L37" s="54"/>
      <c r="M37" s="54"/>
      <c r="N37" s="54"/>
      <c r="O37" s="54"/>
    </row>
    <row r="38" spans="1:15" ht="25.9" customHeight="1">
      <c r="A38" s="54"/>
      <c r="B38" s="458" t="s">
        <v>347</v>
      </c>
      <c r="C38" s="458"/>
      <c r="D38" s="458"/>
      <c r="E38" s="458"/>
      <c r="F38" s="459" t="s">
        <v>348</v>
      </c>
      <c r="G38" s="460"/>
      <c r="H38" s="460"/>
      <c r="I38" s="460"/>
      <c r="J38" s="54"/>
      <c r="K38" s="54"/>
      <c r="L38" s="54"/>
      <c r="M38" s="54"/>
      <c r="N38" s="54"/>
      <c r="O38" s="54"/>
    </row>
    <row r="39" spans="1:15" ht="25.9" customHeight="1">
      <c r="A39" s="54"/>
      <c r="B39" s="458" t="s">
        <v>349</v>
      </c>
      <c r="C39" s="458"/>
      <c r="D39" s="458"/>
      <c r="E39" s="458"/>
      <c r="F39" s="459" t="s">
        <v>350</v>
      </c>
      <c r="G39" s="460"/>
      <c r="H39" s="460"/>
      <c r="I39" s="460"/>
      <c r="J39" s="54"/>
      <c r="K39" s="54"/>
      <c r="L39" s="54"/>
      <c r="M39" s="54"/>
      <c r="N39" s="54"/>
      <c r="O39" s="54"/>
    </row>
    <row r="40" spans="1:15" ht="25.9" customHeight="1">
      <c r="A40" s="54"/>
      <c r="B40" s="458" t="s">
        <v>351</v>
      </c>
      <c r="C40" s="458"/>
      <c r="D40" s="458"/>
      <c r="E40" s="458"/>
      <c r="F40" s="459" t="s">
        <v>352</v>
      </c>
      <c r="G40" s="460"/>
      <c r="H40" s="460"/>
      <c r="I40" s="460"/>
      <c r="J40" s="54"/>
      <c r="K40" s="54"/>
      <c r="L40" s="54"/>
      <c r="M40" s="54"/>
      <c r="N40" s="54"/>
      <c r="O40" s="54"/>
    </row>
    <row r="41" spans="1:15" ht="25.9" customHeight="1">
      <c r="A41" s="54"/>
      <c r="B41" s="458" t="s">
        <v>353</v>
      </c>
      <c r="C41" s="458"/>
      <c r="D41" s="458"/>
      <c r="E41" s="458"/>
      <c r="F41" s="459" t="s">
        <v>354</v>
      </c>
      <c r="G41" s="460"/>
      <c r="H41" s="460"/>
      <c r="I41" s="460"/>
      <c r="J41" s="54"/>
      <c r="K41" s="54"/>
      <c r="L41" s="54"/>
      <c r="M41" s="54"/>
      <c r="N41" s="54"/>
      <c r="O41" s="54"/>
    </row>
    <row r="42" spans="1:15" ht="16.899999999999999" customHeight="1">
      <c r="A42" s="54"/>
      <c r="B42" s="214"/>
      <c r="C42" s="214"/>
      <c r="D42" s="214"/>
      <c r="E42" s="214"/>
      <c r="F42" s="214"/>
      <c r="G42" s="214"/>
      <c r="H42" s="214"/>
      <c r="I42" s="214"/>
      <c r="J42" s="54"/>
      <c r="K42" s="54"/>
      <c r="L42" s="54"/>
      <c r="M42" s="54"/>
      <c r="N42" s="54"/>
      <c r="O42" s="54"/>
    </row>
    <row r="43" spans="1:15" ht="19.149999999999999" customHeight="1">
      <c r="A43" s="54"/>
      <c r="B43" s="450" t="s">
        <v>355</v>
      </c>
      <c r="C43" s="425"/>
      <c r="D43" s="425"/>
      <c r="E43" s="425"/>
      <c r="F43" s="425"/>
      <c r="G43" s="425"/>
      <c r="H43" s="425"/>
      <c r="I43" s="425"/>
      <c r="J43" s="425"/>
      <c r="K43" s="425"/>
      <c r="L43" s="425"/>
      <c r="M43" s="425"/>
      <c r="N43" s="425"/>
      <c r="O43" s="54"/>
    </row>
    <row r="44" spans="1:15">
      <c r="A44" s="54"/>
      <c r="B44" s="451"/>
      <c r="C44" s="451"/>
      <c r="D44" s="451"/>
      <c r="E44" s="451"/>
      <c r="F44" s="451"/>
      <c r="G44" s="451"/>
      <c r="H44" s="451"/>
      <c r="I44" s="451"/>
      <c r="J44" s="451"/>
      <c r="K44" s="451"/>
      <c r="L44" s="451"/>
      <c r="M44" s="451"/>
      <c r="N44" s="451"/>
      <c r="O44" s="54"/>
    </row>
    <row r="45" spans="1:15" ht="22.9" customHeight="1">
      <c r="A45" s="54"/>
      <c r="B45" s="453" t="s">
        <v>356</v>
      </c>
      <c r="C45" s="453"/>
      <c r="D45" s="453"/>
      <c r="E45" s="453"/>
      <c r="F45" s="453"/>
      <c r="G45" s="453"/>
      <c r="H45" s="453"/>
      <c r="I45" s="453"/>
      <c r="J45" s="453"/>
      <c r="K45" s="453"/>
      <c r="L45" s="453"/>
      <c r="M45" s="453"/>
      <c r="N45" s="453"/>
      <c r="O45" s="54"/>
    </row>
    <row r="46" spans="1:15" ht="18" customHeight="1">
      <c r="A46" s="54"/>
      <c r="B46" s="453" t="s">
        <v>357</v>
      </c>
      <c r="C46" s="453"/>
      <c r="D46" s="453"/>
      <c r="E46" s="453"/>
      <c r="F46" s="453"/>
      <c r="G46" s="453"/>
      <c r="H46" s="453"/>
      <c r="I46" s="453"/>
      <c r="J46" s="453"/>
      <c r="K46" s="453"/>
      <c r="L46" s="453"/>
      <c r="M46" s="453"/>
      <c r="N46" s="453"/>
      <c r="O46" s="54"/>
    </row>
    <row r="47" spans="1:15" ht="19.149999999999999" customHeight="1">
      <c r="A47" s="54"/>
      <c r="B47" s="453" t="s">
        <v>358</v>
      </c>
      <c r="C47" s="453"/>
      <c r="D47" s="453"/>
      <c r="E47" s="453"/>
      <c r="F47" s="453"/>
      <c r="G47" s="453"/>
      <c r="H47" s="453"/>
      <c r="I47" s="453"/>
      <c r="J47" s="453"/>
      <c r="K47" s="453"/>
      <c r="L47" s="453"/>
      <c r="M47" s="453"/>
      <c r="N47" s="453"/>
      <c r="O47" s="54"/>
    </row>
    <row r="48" spans="1:15" ht="18.600000000000001" customHeight="1">
      <c r="A48" s="54"/>
      <c r="B48" s="409" t="s">
        <v>359</v>
      </c>
      <c r="C48" s="409"/>
      <c r="D48" s="409"/>
      <c r="E48" s="409"/>
      <c r="F48" s="409"/>
      <c r="G48" s="409"/>
      <c r="H48" s="409"/>
      <c r="I48" s="409"/>
      <c r="J48" s="409"/>
      <c r="K48" s="409"/>
      <c r="L48" s="409"/>
      <c r="M48" s="409"/>
      <c r="N48" s="409"/>
      <c r="O48" s="54"/>
    </row>
    <row r="49" spans="1:15" ht="18.75" customHeight="1">
      <c r="A49" s="54"/>
      <c r="B49" s="54"/>
      <c r="C49" s="54"/>
      <c r="D49" s="54"/>
      <c r="E49" s="54"/>
      <c r="F49" s="54"/>
      <c r="G49" s="54"/>
      <c r="H49" s="54"/>
      <c r="I49" s="54"/>
      <c r="J49" s="54"/>
      <c r="K49" s="54"/>
      <c r="L49" s="54"/>
      <c r="M49" s="54"/>
      <c r="N49" s="54"/>
      <c r="O49" s="54"/>
    </row>
    <row r="50" spans="1:15" ht="15.6" customHeight="1">
      <c r="A50" s="54"/>
      <c r="B50" s="407" t="s">
        <v>360</v>
      </c>
      <c r="C50" s="407"/>
      <c r="D50" s="407"/>
      <c r="E50" s="407"/>
      <c r="F50" s="407"/>
      <c r="G50" s="407"/>
      <c r="H50" s="407"/>
      <c r="I50" s="407"/>
      <c r="J50" s="407"/>
      <c r="K50" s="407"/>
      <c r="L50" s="407"/>
      <c r="M50" s="407"/>
      <c r="N50" s="407"/>
      <c r="O50" s="54"/>
    </row>
    <row r="51" spans="1:15" ht="7.9" customHeight="1">
      <c r="A51" s="54"/>
      <c r="B51" s="54"/>
      <c r="C51" s="54"/>
      <c r="D51" s="54"/>
      <c r="E51" s="54"/>
      <c r="F51" s="54"/>
      <c r="G51" s="54"/>
      <c r="H51" s="54"/>
      <c r="I51" s="54"/>
      <c r="J51" s="54"/>
      <c r="K51" s="54"/>
      <c r="L51" s="54"/>
      <c r="M51" s="54"/>
      <c r="N51" s="54"/>
      <c r="O51" s="54"/>
    </row>
    <row r="52" spans="1:15" ht="33.6" customHeight="1">
      <c r="A52" s="54"/>
      <c r="B52" s="417" t="s">
        <v>361</v>
      </c>
      <c r="C52" s="417"/>
      <c r="D52" s="417"/>
      <c r="E52" s="417"/>
      <c r="F52" s="417"/>
      <c r="G52" s="417"/>
      <c r="H52" s="417"/>
      <c r="I52" s="417"/>
      <c r="J52" s="417"/>
      <c r="K52" s="417"/>
      <c r="L52" s="417"/>
      <c r="M52" s="417"/>
      <c r="N52" s="417"/>
      <c r="O52" s="54"/>
    </row>
    <row r="53" spans="1:15">
      <c r="A53" s="54"/>
      <c r="B53" s="453" t="s">
        <v>362</v>
      </c>
      <c r="C53" s="453"/>
      <c r="D53" s="453"/>
      <c r="E53" s="453"/>
      <c r="F53" s="453"/>
      <c r="G53" s="453"/>
      <c r="H53" s="453"/>
      <c r="I53" s="453"/>
      <c r="J53" s="453"/>
      <c r="K53" s="453"/>
      <c r="L53" s="453"/>
      <c r="M53" s="453"/>
      <c r="N53" s="453"/>
      <c r="O53" s="54"/>
    </row>
    <row r="54" spans="1:15" ht="9" customHeight="1">
      <c r="A54" s="54"/>
      <c r="B54" s="130"/>
      <c r="C54" s="463"/>
      <c r="D54" s="463"/>
      <c r="E54" s="463"/>
      <c r="F54" s="463"/>
      <c r="G54" s="463"/>
      <c r="H54" s="463"/>
      <c r="I54" s="463"/>
      <c r="J54" s="463"/>
      <c r="K54" s="463"/>
      <c r="L54" s="463"/>
      <c r="M54" s="463"/>
      <c r="N54" s="463"/>
      <c r="O54" s="54"/>
    </row>
    <row r="55" spans="1:15" ht="31.15" customHeight="1">
      <c r="A55" s="54"/>
      <c r="B55" s="463" t="s">
        <v>363</v>
      </c>
      <c r="C55" s="463"/>
      <c r="D55" s="463"/>
      <c r="E55" s="463"/>
      <c r="F55" s="463"/>
      <c r="G55" s="463"/>
      <c r="H55" s="463"/>
      <c r="I55" s="463"/>
      <c r="J55" s="463"/>
      <c r="K55" s="463"/>
      <c r="L55" s="463"/>
      <c r="M55" s="463"/>
      <c r="N55" s="463"/>
      <c r="O55" s="54"/>
    </row>
    <row r="56" spans="1:15" ht="15" customHeight="1">
      <c r="A56" s="54"/>
      <c r="B56" s="130"/>
      <c r="C56" s="463"/>
      <c r="D56" s="463"/>
      <c r="E56" s="463"/>
      <c r="F56" s="463"/>
      <c r="G56" s="463"/>
      <c r="H56" s="463"/>
      <c r="I56" s="463"/>
      <c r="J56" s="463"/>
      <c r="K56" s="463"/>
      <c r="L56" s="463"/>
      <c r="M56" s="463"/>
      <c r="N56" s="463"/>
      <c r="O56" s="54"/>
    </row>
    <row r="57" spans="1:15" ht="41.65" customHeight="1">
      <c r="A57" s="54"/>
      <c r="B57" s="417" t="s">
        <v>364</v>
      </c>
      <c r="C57" s="417"/>
      <c r="D57" s="417"/>
      <c r="E57" s="417"/>
      <c r="F57" s="417"/>
      <c r="G57" s="417"/>
      <c r="H57" s="417"/>
      <c r="I57" s="417"/>
      <c r="J57" s="417"/>
      <c r="K57" s="417"/>
      <c r="L57" s="417"/>
      <c r="M57" s="417"/>
      <c r="N57" s="417"/>
      <c r="O57" s="54"/>
    </row>
    <row r="58" spans="1:15" ht="15" customHeight="1">
      <c r="A58" s="54"/>
      <c r="B58" s="131"/>
      <c r="C58" s="466"/>
      <c r="D58" s="466"/>
      <c r="E58" s="466"/>
      <c r="F58" s="466"/>
      <c r="G58" s="466"/>
      <c r="H58" s="466"/>
      <c r="I58" s="466"/>
      <c r="J58" s="466"/>
      <c r="K58" s="466"/>
      <c r="L58" s="466"/>
      <c r="M58" s="466"/>
      <c r="N58" s="466"/>
      <c r="O58" s="54"/>
    </row>
    <row r="59" spans="1:15" ht="32.65" customHeight="1">
      <c r="A59" s="54"/>
      <c r="B59" s="417" t="s">
        <v>365</v>
      </c>
      <c r="C59" s="417"/>
      <c r="D59" s="417"/>
      <c r="E59" s="417"/>
      <c r="F59" s="417"/>
      <c r="G59" s="417"/>
      <c r="H59" s="417"/>
      <c r="I59" s="417"/>
      <c r="J59" s="417"/>
      <c r="K59" s="417"/>
      <c r="L59" s="417"/>
      <c r="M59" s="417"/>
      <c r="N59" s="417"/>
      <c r="O59" s="54"/>
    </row>
    <row r="60" spans="1:15">
      <c r="A60" s="54"/>
      <c r="B60" s="463"/>
      <c r="C60" s="463"/>
      <c r="D60" s="463"/>
      <c r="E60" s="463"/>
      <c r="F60" s="463"/>
      <c r="G60" s="463"/>
      <c r="H60" s="463"/>
      <c r="I60" s="463"/>
      <c r="J60" s="463"/>
      <c r="K60" s="463"/>
      <c r="L60" s="463"/>
      <c r="M60" s="463"/>
      <c r="N60" s="463"/>
      <c r="O60" s="54"/>
    </row>
    <row r="61" spans="1:15" ht="19.149999999999999" customHeight="1">
      <c r="A61" s="54"/>
      <c r="B61" s="452" t="s">
        <v>366</v>
      </c>
      <c r="C61" s="452"/>
      <c r="D61" s="452"/>
      <c r="E61" s="452"/>
      <c r="F61" s="452"/>
      <c r="G61" s="452"/>
      <c r="H61" s="452"/>
      <c r="I61" s="452"/>
      <c r="J61" s="452"/>
      <c r="K61" s="452"/>
      <c r="L61" s="452"/>
      <c r="M61" s="452"/>
      <c r="N61" s="452"/>
      <c r="O61" s="54"/>
    </row>
    <row r="62" spans="1:15" ht="13.15" customHeight="1">
      <c r="A62" s="54"/>
      <c r="B62" s="54"/>
      <c r="C62" s="417"/>
      <c r="D62" s="417"/>
      <c r="E62" s="417"/>
      <c r="F62" s="417"/>
      <c r="G62" s="417"/>
      <c r="H62" s="417"/>
      <c r="I62" s="417"/>
      <c r="J62" s="417"/>
      <c r="K62" s="417"/>
      <c r="L62" s="417"/>
      <c r="M62" s="417"/>
      <c r="N62" s="417"/>
      <c r="O62" s="54"/>
    </row>
    <row r="63" spans="1:15" ht="25.9" customHeight="1">
      <c r="A63" s="54"/>
      <c r="B63" s="286" t="s">
        <v>367</v>
      </c>
      <c r="C63" s="461" t="s">
        <v>368</v>
      </c>
      <c r="D63" s="461"/>
      <c r="E63" s="461"/>
      <c r="F63" s="461" t="s">
        <v>369</v>
      </c>
      <c r="G63" s="461"/>
      <c r="H63" s="461"/>
      <c r="I63" s="461"/>
      <c r="J63" s="461"/>
      <c r="K63" s="461"/>
      <c r="L63" s="461"/>
      <c r="M63" s="461"/>
      <c r="N63" s="127"/>
      <c r="O63" s="54"/>
    </row>
    <row r="64" spans="1:15" ht="44.65" customHeight="1">
      <c r="A64" s="54"/>
      <c r="B64" s="288" t="s">
        <v>370</v>
      </c>
      <c r="C64" s="467" t="s">
        <v>371</v>
      </c>
      <c r="D64" s="460"/>
      <c r="E64" s="460"/>
      <c r="F64" s="460" t="s">
        <v>372</v>
      </c>
      <c r="G64" s="460"/>
      <c r="H64" s="460"/>
      <c r="I64" s="460"/>
      <c r="J64" s="460"/>
      <c r="K64" s="460"/>
      <c r="L64" s="460"/>
      <c r="M64" s="460"/>
      <c r="N64" s="127"/>
      <c r="O64" s="54"/>
    </row>
    <row r="65" spans="1:15" ht="56.65" customHeight="1">
      <c r="A65" s="54"/>
      <c r="B65" s="288" t="s">
        <v>373</v>
      </c>
      <c r="C65" s="460" t="s">
        <v>374</v>
      </c>
      <c r="D65" s="460"/>
      <c r="E65" s="460"/>
      <c r="F65" s="460" t="s">
        <v>375</v>
      </c>
      <c r="G65" s="460"/>
      <c r="H65" s="460"/>
      <c r="I65" s="460"/>
      <c r="J65" s="460"/>
      <c r="K65" s="460"/>
      <c r="L65" s="460"/>
      <c r="M65" s="460"/>
      <c r="N65" s="127"/>
      <c r="O65" s="54"/>
    </row>
    <row r="66" spans="1:15" ht="33.6" customHeight="1">
      <c r="A66" s="54"/>
      <c r="B66" s="255" t="s">
        <v>376</v>
      </c>
      <c r="C66" s="460" t="s">
        <v>377</v>
      </c>
      <c r="D66" s="460"/>
      <c r="E66" s="460"/>
      <c r="F66" s="460" t="s">
        <v>378</v>
      </c>
      <c r="G66" s="460"/>
      <c r="H66" s="460"/>
      <c r="I66" s="460"/>
      <c r="J66" s="460"/>
      <c r="K66" s="460"/>
      <c r="L66" s="460"/>
      <c r="M66" s="460"/>
      <c r="N66" s="127"/>
      <c r="O66" s="54"/>
    </row>
    <row r="67" spans="1:15" ht="26.65" customHeight="1">
      <c r="A67" s="54"/>
      <c r="B67" s="54"/>
      <c r="C67" s="417"/>
      <c r="D67" s="417"/>
      <c r="E67" s="417"/>
      <c r="F67" s="417"/>
      <c r="G67" s="417"/>
      <c r="H67" s="417"/>
      <c r="I67" s="417"/>
      <c r="J67" s="417"/>
      <c r="K67" s="417"/>
      <c r="L67" s="417"/>
      <c r="M67" s="417"/>
      <c r="N67" s="417"/>
      <c r="O67" s="54"/>
    </row>
    <row r="68" spans="1:15" ht="18" customHeight="1">
      <c r="A68" s="54"/>
      <c r="B68" s="407" t="s">
        <v>379</v>
      </c>
      <c r="C68" s="407"/>
      <c r="D68" s="407"/>
      <c r="E68" s="407"/>
      <c r="F68" s="407"/>
      <c r="G68" s="407"/>
      <c r="H68" s="407"/>
      <c r="I68" s="407"/>
      <c r="J68" s="407"/>
      <c r="K68" s="407"/>
      <c r="L68" s="407"/>
      <c r="M68" s="407"/>
      <c r="N68" s="407"/>
      <c r="O68" s="54"/>
    </row>
    <row r="69" spans="1:15" ht="19.149999999999999" customHeight="1">
      <c r="A69" s="54"/>
      <c r="B69" s="54"/>
      <c r="C69" s="417"/>
      <c r="D69" s="417"/>
      <c r="E69" s="417"/>
      <c r="F69" s="417"/>
      <c r="G69" s="417"/>
      <c r="H69" s="417"/>
      <c r="I69" s="417"/>
      <c r="J69" s="417"/>
      <c r="K69" s="417"/>
      <c r="L69" s="417"/>
      <c r="M69" s="417"/>
      <c r="N69" s="417"/>
      <c r="O69" s="54"/>
    </row>
    <row r="70" spans="1:15">
      <c r="A70" s="54"/>
      <c r="B70" s="470" t="s">
        <v>380</v>
      </c>
      <c r="C70" s="470"/>
      <c r="D70" s="470" t="s">
        <v>381</v>
      </c>
      <c r="E70" s="470"/>
      <c r="F70" s="470"/>
      <c r="G70" s="470"/>
      <c r="H70" s="470"/>
      <c r="I70" s="470"/>
      <c r="J70" s="470"/>
      <c r="K70" s="470"/>
      <c r="L70" s="470"/>
      <c r="M70" s="470"/>
      <c r="N70" s="127"/>
      <c r="O70" s="54"/>
    </row>
    <row r="71" spans="1:15">
      <c r="A71" s="54"/>
      <c r="B71" s="289" t="s">
        <v>382</v>
      </c>
      <c r="C71" s="289" t="s">
        <v>383</v>
      </c>
      <c r="D71" s="470" t="s">
        <v>384</v>
      </c>
      <c r="E71" s="470"/>
      <c r="F71" s="470"/>
      <c r="G71" s="470" t="s">
        <v>385</v>
      </c>
      <c r="H71" s="470"/>
      <c r="I71" s="470"/>
      <c r="J71" s="470" t="s">
        <v>386</v>
      </c>
      <c r="K71" s="470"/>
      <c r="L71" s="470"/>
      <c r="M71" s="470"/>
      <c r="N71" s="127"/>
      <c r="O71" s="54"/>
    </row>
    <row r="72" spans="1:15" ht="31.9" customHeight="1">
      <c r="A72" s="54"/>
      <c r="B72" s="290">
        <v>1</v>
      </c>
      <c r="C72" s="291" t="s">
        <v>387</v>
      </c>
      <c r="D72" s="467" t="s">
        <v>388</v>
      </c>
      <c r="E72" s="460"/>
      <c r="F72" s="460"/>
      <c r="G72" s="460" t="s">
        <v>389</v>
      </c>
      <c r="H72" s="460"/>
      <c r="I72" s="460"/>
      <c r="J72" s="460" t="s">
        <v>390</v>
      </c>
      <c r="K72" s="460"/>
      <c r="L72" s="460"/>
      <c r="M72" s="460"/>
      <c r="N72" s="127"/>
      <c r="O72" s="54"/>
    </row>
    <row r="73" spans="1:15" ht="46.9" customHeight="1">
      <c r="A73" s="54"/>
      <c r="B73" s="290">
        <v>2</v>
      </c>
      <c r="C73" s="291" t="s">
        <v>391</v>
      </c>
      <c r="D73" s="467" t="s">
        <v>388</v>
      </c>
      <c r="E73" s="460"/>
      <c r="F73" s="460"/>
      <c r="G73" s="467" t="s">
        <v>392</v>
      </c>
      <c r="H73" s="460"/>
      <c r="I73" s="460"/>
      <c r="J73" s="460" t="s">
        <v>390</v>
      </c>
      <c r="K73" s="460"/>
      <c r="L73" s="460"/>
      <c r="M73" s="460"/>
      <c r="N73" s="127"/>
      <c r="O73" s="54"/>
    </row>
    <row r="74" spans="1:15" ht="34.15" customHeight="1">
      <c r="A74" s="54"/>
      <c r="B74" s="290">
        <v>3</v>
      </c>
      <c r="C74" s="291" t="s">
        <v>393</v>
      </c>
      <c r="D74" s="467" t="s">
        <v>394</v>
      </c>
      <c r="E74" s="460"/>
      <c r="F74" s="460"/>
      <c r="G74" s="467" t="s">
        <v>395</v>
      </c>
      <c r="H74" s="460"/>
      <c r="I74" s="460"/>
      <c r="J74" s="460" t="s">
        <v>396</v>
      </c>
      <c r="K74" s="460"/>
      <c r="L74" s="460"/>
      <c r="M74" s="460"/>
      <c r="N74" s="127"/>
      <c r="O74" s="54"/>
    </row>
    <row r="75" spans="1:15" ht="28.9" customHeight="1">
      <c r="A75" s="54"/>
      <c r="B75" s="290">
        <v>4</v>
      </c>
      <c r="C75" s="291" t="s">
        <v>397</v>
      </c>
      <c r="D75" s="467" t="s">
        <v>394</v>
      </c>
      <c r="E75" s="460"/>
      <c r="F75" s="460"/>
      <c r="G75" s="467" t="s">
        <v>398</v>
      </c>
      <c r="H75" s="460"/>
      <c r="I75" s="460"/>
      <c r="J75" s="460" t="s">
        <v>399</v>
      </c>
      <c r="K75" s="460"/>
      <c r="L75" s="460"/>
      <c r="M75" s="460"/>
      <c r="N75" s="127"/>
      <c r="O75" s="54"/>
    </row>
    <row r="76" spans="1:15" ht="27" customHeight="1">
      <c r="A76" s="54"/>
      <c r="B76" s="290">
        <v>5</v>
      </c>
      <c r="C76" s="291" t="s">
        <v>400</v>
      </c>
      <c r="D76" s="467" t="s">
        <v>394</v>
      </c>
      <c r="E76" s="460"/>
      <c r="F76" s="460"/>
      <c r="G76" s="460" t="s">
        <v>390</v>
      </c>
      <c r="H76" s="460"/>
      <c r="I76" s="460"/>
      <c r="J76" s="460" t="s">
        <v>401</v>
      </c>
      <c r="K76" s="460"/>
      <c r="L76" s="460"/>
      <c r="M76" s="460"/>
      <c r="N76" s="127"/>
      <c r="O76" s="54"/>
    </row>
    <row r="77" spans="1:15">
      <c r="A77" s="54"/>
      <c r="B77" s="290">
        <v>6</v>
      </c>
      <c r="C77" s="291" t="s">
        <v>345</v>
      </c>
      <c r="D77" s="460" t="s">
        <v>390</v>
      </c>
      <c r="E77" s="460"/>
      <c r="F77" s="460"/>
      <c r="G77" s="460" t="s">
        <v>390</v>
      </c>
      <c r="H77" s="460"/>
      <c r="I77" s="460"/>
      <c r="J77" s="460" t="s">
        <v>399</v>
      </c>
      <c r="K77" s="460"/>
      <c r="L77" s="460"/>
      <c r="M77" s="460"/>
      <c r="N77" s="127"/>
      <c r="O77" s="54"/>
    </row>
    <row r="78" spans="1:15">
      <c r="A78" s="54"/>
      <c r="B78" s="290">
        <v>7</v>
      </c>
      <c r="C78" s="292" t="s">
        <v>402</v>
      </c>
      <c r="D78" s="460" t="s">
        <v>390</v>
      </c>
      <c r="E78" s="460"/>
      <c r="F78" s="460"/>
      <c r="G78" s="467" t="s">
        <v>398</v>
      </c>
      <c r="H78" s="460"/>
      <c r="I78" s="460"/>
      <c r="J78" s="460" t="s">
        <v>396</v>
      </c>
      <c r="K78" s="460"/>
      <c r="L78" s="460"/>
      <c r="M78" s="460"/>
      <c r="N78" s="127"/>
      <c r="O78" s="54"/>
    </row>
    <row r="79" spans="1:15">
      <c r="A79" s="54"/>
      <c r="B79" s="290">
        <v>8</v>
      </c>
      <c r="C79" s="292" t="s">
        <v>403</v>
      </c>
      <c r="D79" s="460" t="s">
        <v>390</v>
      </c>
      <c r="E79" s="460"/>
      <c r="F79" s="460"/>
      <c r="G79" s="467" t="s">
        <v>392</v>
      </c>
      <c r="H79" s="460"/>
      <c r="I79" s="460"/>
      <c r="J79" s="460" t="s">
        <v>399</v>
      </c>
      <c r="K79" s="460"/>
      <c r="L79" s="460"/>
      <c r="M79" s="460"/>
      <c r="N79" s="127"/>
      <c r="O79" s="54"/>
    </row>
    <row r="80" spans="1:15" ht="18" customHeight="1">
      <c r="A80" s="54"/>
      <c r="B80" s="290">
        <v>9</v>
      </c>
      <c r="C80" s="292" t="s">
        <v>404</v>
      </c>
      <c r="D80" s="460" t="s">
        <v>390</v>
      </c>
      <c r="E80" s="460"/>
      <c r="F80" s="460"/>
      <c r="G80" s="467" t="s">
        <v>392</v>
      </c>
      <c r="H80" s="460"/>
      <c r="I80" s="460"/>
      <c r="J80" s="460" t="s">
        <v>390</v>
      </c>
      <c r="K80" s="460"/>
      <c r="L80" s="460"/>
      <c r="M80" s="460"/>
      <c r="N80" s="127"/>
      <c r="O80" s="54"/>
    </row>
    <row r="81" spans="1:15" ht="18" customHeight="1">
      <c r="A81" s="54"/>
      <c r="B81" s="290">
        <v>10</v>
      </c>
      <c r="C81" s="292" t="s">
        <v>405</v>
      </c>
      <c r="D81" s="460" t="s">
        <v>390</v>
      </c>
      <c r="E81" s="460"/>
      <c r="F81" s="460"/>
      <c r="G81" s="460" t="s">
        <v>390</v>
      </c>
      <c r="H81" s="460"/>
      <c r="I81" s="460"/>
      <c r="J81" s="460" t="s">
        <v>401</v>
      </c>
      <c r="K81" s="460"/>
      <c r="L81" s="460"/>
      <c r="M81" s="460"/>
      <c r="N81" s="131"/>
      <c r="O81" s="54"/>
    </row>
    <row r="82" spans="1:15" ht="15.6" customHeight="1">
      <c r="A82" s="54"/>
      <c r="B82" s="290">
        <v>11</v>
      </c>
      <c r="C82" s="292" t="s">
        <v>345</v>
      </c>
      <c r="D82" s="460" t="s">
        <v>390</v>
      </c>
      <c r="E82" s="460"/>
      <c r="F82" s="460"/>
      <c r="G82" s="460" t="s">
        <v>390</v>
      </c>
      <c r="H82" s="460"/>
      <c r="I82" s="460"/>
      <c r="J82" s="460" t="s">
        <v>399</v>
      </c>
      <c r="K82" s="460"/>
      <c r="L82" s="460"/>
      <c r="M82" s="460"/>
      <c r="N82" s="127"/>
      <c r="O82" s="54"/>
    </row>
    <row r="83" spans="1:15" ht="25.15" customHeight="1">
      <c r="A83" s="54"/>
      <c r="B83" s="127"/>
      <c r="C83" s="127"/>
      <c r="D83" s="127"/>
      <c r="E83" s="127"/>
      <c r="F83" s="127"/>
      <c r="G83" s="127"/>
      <c r="H83" s="127"/>
      <c r="I83" s="127"/>
      <c r="J83" s="127"/>
      <c r="K83" s="127"/>
      <c r="L83" s="127"/>
      <c r="M83" s="127"/>
      <c r="N83" s="127"/>
      <c r="O83" s="54"/>
    </row>
    <row r="84" spans="1:15" ht="4.9000000000000004" customHeight="1">
      <c r="A84" s="54"/>
      <c r="B84" s="127"/>
      <c r="C84" s="127"/>
      <c r="D84" s="127"/>
      <c r="E84" s="127"/>
      <c r="F84" s="127"/>
      <c r="G84" s="127"/>
      <c r="H84" s="127"/>
      <c r="I84" s="127"/>
      <c r="J84" s="127"/>
      <c r="K84" s="127"/>
      <c r="L84" s="127"/>
      <c r="M84" s="127"/>
      <c r="N84" s="127"/>
      <c r="O84" s="54"/>
    </row>
    <row r="85" spans="1:15" ht="31.15" customHeight="1">
      <c r="A85" s="54"/>
      <c r="B85" s="127"/>
      <c r="C85" s="127"/>
      <c r="D85" s="127"/>
      <c r="E85" s="127"/>
      <c r="F85" s="127"/>
      <c r="G85" s="127"/>
      <c r="H85" s="127"/>
      <c r="I85" s="127"/>
      <c r="J85" s="127"/>
      <c r="K85" s="127"/>
      <c r="L85" s="127"/>
      <c r="M85" s="127"/>
      <c r="N85" s="127"/>
      <c r="O85" s="54"/>
    </row>
    <row r="86" spans="1:15">
      <c r="A86" s="54"/>
      <c r="B86" s="127"/>
      <c r="C86" s="127"/>
      <c r="D86" s="127"/>
      <c r="E86" s="127"/>
      <c r="F86" s="127"/>
      <c r="G86" s="127"/>
      <c r="H86" s="127"/>
      <c r="I86" s="127"/>
      <c r="J86" s="127"/>
      <c r="K86" s="127"/>
      <c r="L86" s="127"/>
      <c r="M86" s="127"/>
      <c r="N86" s="127"/>
      <c r="O86" s="54"/>
    </row>
    <row r="87" spans="1:15">
      <c r="A87" s="54"/>
      <c r="B87" s="407"/>
      <c r="C87" s="407"/>
      <c r="D87" s="407"/>
      <c r="E87" s="407"/>
      <c r="F87" s="407"/>
      <c r="G87" s="407"/>
      <c r="H87" s="407"/>
      <c r="I87" s="407"/>
      <c r="J87" s="407"/>
      <c r="K87" s="407"/>
      <c r="L87" s="407"/>
      <c r="M87" s="407"/>
      <c r="N87" s="407"/>
      <c r="O87" s="54"/>
    </row>
    <row r="88" spans="1:15" ht="7.15" customHeight="1">
      <c r="A88" s="54"/>
      <c r="B88" s="452"/>
      <c r="C88" s="452"/>
      <c r="D88" s="452"/>
      <c r="E88" s="452"/>
      <c r="F88" s="452"/>
      <c r="G88" s="452"/>
      <c r="H88" s="452"/>
      <c r="I88" s="452"/>
      <c r="J88" s="452"/>
      <c r="K88" s="452"/>
      <c r="L88" s="452"/>
      <c r="M88" s="452"/>
      <c r="N88" s="452"/>
      <c r="O88" s="54"/>
    </row>
  </sheetData>
  <mergeCells count="113">
    <mergeCell ref="D82:F82"/>
    <mergeCell ref="G82:I82"/>
    <mergeCell ref="G77:I77"/>
    <mergeCell ref="C67:N67"/>
    <mergeCell ref="B68:N68"/>
    <mergeCell ref="C69:N69"/>
    <mergeCell ref="B70:C70"/>
    <mergeCell ref="D70:M70"/>
    <mergeCell ref="D71:F71"/>
    <mergeCell ref="G71:I71"/>
    <mergeCell ref="J71:M71"/>
    <mergeCell ref="J82:M82"/>
    <mergeCell ref="D74:F74"/>
    <mergeCell ref="G74:I74"/>
    <mergeCell ref="J74:M74"/>
    <mergeCell ref="D75:F75"/>
    <mergeCell ref="G75:I75"/>
    <mergeCell ref="J75:M75"/>
    <mergeCell ref="D72:F72"/>
    <mergeCell ref="G72:I72"/>
    <mergeCell ref="J72:M72"/>
    <mergeCell ref="D73:F73"/>
    <mergeCell ref="G73:I73"/>
    <mergeCell ref="J73:M73"/>
    <mergeCell ref="B87:N87"/>
    <mergeCell ref="B88:N88"/>
    <mergeCell ref="B8:N8"/>
    <mergeCell ref="B10:N10"/>
    <mergeCell ref="B12:N12"/>
    <mergeCell ref="B13:N13"/>
    <mergeCell ref="B14:N14"/>
    <mergeCell ref="D80:F80"/>
    <mergeCell ref="G80:I80"/>
    <mergeCell ref="J80:M80"/>
    <mergeCell ref="D81:F81"/>
    <mergeCell ref="G81:I81"/>
    <mergeCell ref="J81:M81"/>
    <mergeCell ref="D78:F78"/>
    <mergeCell ref="G78:I78"/>
    <mergeCell ref="J78:M78"/>
    <mergeCell ref="D79:F79"/>
    <mergeCell ref="G79:I79"/>
    <mergeCell ref="J79:M79"/>
    <mergeCell ref="D76:F76"/>
    <mergeCell ref="G76:I76"/>
    <mergeCell ref="J76:M76"/>
    <mergeCell ref="D77:F77"/>
    <mergeCell ref="J77:M77"/>
    <mergeCell ref="B61:N61"/>
    <mergeCell ref="C62:N62"/>
    <mergeCell ref="C63:E63"/>
    <mergeCell ref="F63:M63"/>
    <mergeCell ref="C64:E64"/>
    <mergeCell ref="F64:M64"/>
    <mergeCell ref="C65:E65"/>
    <mergeCell ref="F65:M65"/>
    <mergeCell ref="C66:E66"/>
    <mergeCell ref="F66:M66"/>
    <mergeCell ref="C56:N56"/>
    <mergeCell ref="C58:N58"/>
    <mergeCell ref="B60:N60"/>
    <mergeCell ref="B50:N50"/>
    <mergeCell ref="B52:N52"/>
    <mergeCell ref="B45:N45"/>
    <mergeCell ref="B46:N46"/>
    <mergeCell ref="B47:N47"/>
    <mergeCell ref="B48:N48"/>
    <mergeCell ref="B53:N53"/>
    <mergeCell ref="B57:N57"/>
    <mergeCell ref="B59:N59"/>
    <mergeCell ref="B26:N26"/>
    <mergeCell ref="C27:E27"/>
    <mergeCell ref="F27:M27"/>
    <mergeCell ref="C28:E28"/>
    <mergeCell ref="F28:M28"/>
    <mergeCell ref="C29:E29"/>
    <mergeCell ref="F29:M29"/>
    <mergeCell ref="C54:N54"/>
    <mergeCell ref="B55:N55"/>
    <mergeCell ref="B34:N34"/>
    <mergeCell ref="B35:E35"/>
    <mergeCell ref="F35:I35"/>
    <mergeCell ref="B36:E36"/>
    <mergeCell ref="F36:I36"/>
    <mergeCell ref="B37:E37"/>
    <mergeCell ref="F37:I37"/>
    <mergeCell ref="B38:E38"/>
    <mergeCell ref="F40:I40"/>
    <mergeCell ref="F41:I41"/>
    <mergeCell ref="B5:N5"/>
    <mergeCell ref="B7:N7"/>
    <mergeCell ref="B43:N43"/>
    <mergeCell ref="B44:N44"/>
    <mergeCell ref="B24:N24"/>
    <mergeCell ref="C25:N25"/>
    <mergeCell ref="C21:N21"/>
    <mergeCell ref="B22:N22"/>
    <mergeCell ref="B23:N23"/>
    <mergeCell ref="B16:N16"/>
    <mergeCell ref="C19:N19"/>
    <mergeCell ref="B20:N20"/>
    <mergeCell ref="B17:N18"/>
    <mergeCell ref="C30:E30"/>
    <mergeCell ref="F30:M30"/>
    <mergeCell ref="C31:E31"/>
    <mergeCell ref="F31:M31"/>
    <mergeCell ref="C32:E32"/>
    <mergeCell ref="F32:M32"/>
    <mergeCell ref="B39:E39"/>
    <mergeCell ref="B40:E40"/>
    <mergeCell ref="B41:E41"/>
    <mergeCell ref="F38:I38"/>
    <mergeCell ref="F39:I39"/>
  </mergeCell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OTNOTE">
    <tabColor rgb="FFFFFF99"/>
  </sheetPr>
  <dimension ref="A1:AP147"/>
  <sheetViews>
    <sheetView showGridLines="0" zoomScale="70" zoomScaleNormal="70" workbookViewId="0">
      <pane ySplit="9" topLeftCell="A49" activePane="bottomLeft" state="frozen"/>
      <selection pane="bottomLeft" activeCell="K62" sqref="K62"/>
    </sheetView>
  </sheetViews>
  <sheetFormatPr defaultColWidth="11.42578125" defaultRowHeight="20.25" customHeight="1"/>
  <cols>
    <col min="1" max="1" width="2.7109375" style="110" customWidth="1"/>
    <col min="2" max="2" width="17.28515625" style="110" customWidth="1"/>
    <col min="3" max="3" width="17.28515625" style="111" customWidth="1"/>
    <col min="4" max="4" width="104.28515625" style="111" customWidth="1"/>
    <col min="5" max="5" width="2.7109375" style="111" hidden="1" customWidth="1"/>
    <col min="6" max="7" width="13.42578125" style="111" hidden="1" customWidth="1"/>
    <col min="8" max="9" width="3.7109375" style="111" customWidth="1"/>
    <col min="10" max="11" width="11.42578125" style="110"/>
    <col min="12" max="12" width="14" style="110" customWidth="1"/>
    <col min="13" max="16384" width="11.42578125" style="110"/>
  </cols>
  <sheetData>
    <row r="1" spans="1:42" ht="5.25" customHeight="1" thickBot="1">
      <c r="A1" s="115"/>
      <c r="B1" s="115"/>
      <c r="C1" s="116"/>
      <c r="D1" s="116" t="str">
        <f>intro!F7</f>
        <v>NO</v>
      </c>
      <c r="E1" s="115"/>
      <c r="F1" s="138"/>
      <c r="G1" s="138"/>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row>
    <row r="2" spans="1:42" s="112" customFormat="1" ht="18" customHeight="1" thickBot="1">
      <c r="A2" s="117"/>
      <c r="B2" s="478" t="s">
        <v>406</v>
      </c>
      <c r="C2" s="479"/>
      <c r="D2" s="135" t="str">
        <f>intro!F7</f>
        <v>NO</v>
      </c>
      <c r="E2" s="115"/>
      <c r="F2" s="474" t="s">
        <v>407</v>
      </c>
      <c r="G2" s="475"/>
      <c r="H2" s="115"/>
      <c r="I2" s="115"/>
      <c r="J2" s="117"/>
      <c r="K2" s="118"/>
      <c r="L2" s="118"/>
      <c r="M2" s="118"/>
      <c r="N2" s="118"/>
      <c r="O2" s="118"/>
      <c r="P2" s="119"/>
      <c r="Q2" s="119"/>
      <c r="R2" s="119"/>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row>
    <row r="3" spans="1:42" s="112" customFormat="1" ht="18" customHeight="1" thickBot="1">
      <c r="A3" s="117"/>
      <c r="B3" s="120" t="s">
        <v>408</v>
      </c>
      <c r="C3" s="121"/>
      <c r="D3" s="136" t="s">
        <v>263</v>
      </c>
      <c r="E3" s="117"/>
      <c r="F3" s="476" t="str">
        <f>Parameters!C21</f>
        <v>SDMX Flags</v>
      </c>
      <c r="G3" s="477"/>
      <c r="H3" s="115"/>
      <c r="I3" s="115"/>
      <c r="J3" s="117"/>
      <c r="K3" s="118"/>
      <c r="L3" s="118"/>
      <c r="M3" s="118"/>
      <c r="N3" s="118"/>
      <c r="O3" s="118"/>
      <c r="P3" s="119"/>
      <c r="Q3" s="119"/>
      <c r="R3" s="119"/>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row>
    <row r="4" spans="1:42" s="112" customFormat="1" ht="18" customHeight="1">
      <c r="A4" s="117"/>
      <c r="B4" s="471" t="s">
        <v>409</v>
      </c>
      <c r="C4" s="472"/>
      <c r="D4" s="137" t="s">
        <v>410</v>
      </c>
      <c r="E4" s="117"/>
      <c r="F4" s="139"/>
      <c r="G4" s="138"/>
      <c r="H4" s="115"/>
      <c r="I4" s="115"/>
      <c r="J4" s="117"/>
      <c r="K4" s="118"/>
      <c r="L4" s="118"/>
      <c r="M4" s="118"/>
      <c r="N4" s="118"/>
      <c r="O4" s="118"/>
      <c r="P4" s="119"/>
      <c r="Q4" s="119"/>
      <c r="R4" s="119"/>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row>
    <row r="5" spans="1:42" s="112" customFormat="1" ht="18" customHeight="1">
      <c r="A5" s="117"/>
      <c r="B5" s="117"/>
      <c r="C5" s="117"/>
      <c r="D5" s="117"/>
      <c r="E5" s="115"/>
      <c r="F5" s="138"/>
      <c r="G5" s="138"/>
      <c r="H5" s="115"/>
      <c r="I5" s="115"/>
      <c r="J5" s="117"/>
      <c r="K5" s="118"/>
      <c r="L5" s="118"/>
      <c r="M5" s="118"/>
      <c r="N5" s="118"/>
      <c r="O5" s="118"/>
      <c r="P5" s="119"/>
      <c r="Q5" s="119"/>
      <c r="R5" s="119"/>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row>
    <row r="6" spans="1:42" ht="20.25" customHeight="1">
      <c r="A6" s="115"/>
      <c r="B6" s="115"/>
      <c r="C6" s="116"/>
      <c r="D6" s="116"/>
      <c r="E6" s="115"/>
      <c r="F6" s="138"/>
      <c r="G6" s="138"/>
      <c r="H6" s="115"/>
      <c r="I6" s="115"/>
      <c r="J6" s="115"/>
      <c r="K6" s="115"/>
      <c r="L6" s="115"/>
      <c r="M6" s="115"/>
      <c r="N6" s="115"/>
      <c r="O6" s="115"/>
      <c r="P6" s="115"/>
      <c r="Q6" s="115"/>
      <c r="R6" s="115"/>
      <c r="S6" s="115"/>
      <c r="T6" s="115"/>
      <c r="U6" s="115"/>
      <c r="V6" s="115"/>
      <c r="W6" s="115"/>
      <c r="X6" s="115"/>
      <c r="Y6" s="115"/>
      <c r="Z6" s="115"/>
      <c r="AA6" s="115"/>
      <c r="AB6" s="115"/>
      <c r="AC6" s="115"/>
      <c r="AD6" s="115"/>
      <c r="AE6" s="115"/>
      <c r="AF6" s="115"/>
      <c r="AG6" s="115"/>
      <c r="AH6" s="115"/>
      <c r="AI6" s="115"/>
      <c r="AJ6" s="115"/>
      <c r="AK6" s="115"/>
      <c r="AL6" s="115"/>
      <c r="AM6" s="115"/>
      <c r="AN6" s="115"/>
      <c r="AO6" s="115"/>
      <c r="AP6" s="115"/>
    </row>
    <row r="7" spans="1:42" s="113" customFormat="1" ht="20.25" customHeight="1">
      <c r="A7" s="122"/>
      <c r="B7" s="122"/>
      <c r="C7" s="473" t="s">
        <v>39</v>
      </c>
      <c r="D7" s="473"/>
      <c r="E7" s="115"/>
      <c r="F7" s="140"/>
      <c r="G7" s="140"/>
      <c r="H7" s="115"/>
      <c r="I7" s="115"/>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row>
    <row r="8" spans="1:42" ht="6" customHeight="1">
      <c r="A8" s="115"/>
      <c r="B8" s="115"/>
      <c r="C8" s="116"/>
      <c r="D8" s="116"/>
      <c r="E8" s="115"/>
      <c r="F8" s="141"/>
      <c r="G8" s="141"/>
      <c r="H8" s="115"/>
      <c r="I8" s="115"/>
      <c r="J8" s="115"/>
      <c r="K8" s="115"/>
      <c r="L8" s="115"/>
      <c r="M8" s="115"/>
      <c r="N8" s="115"/>
      <c r="O8" s="115"/>
      <c r="P8" s="115"/>
      <c r="Q8" s="115"/>
      <c r="R8" s="115"/>
      <c r="S8" s="115"/>
      <c r="T8" s="115"/>
      <c r="U8" s="115"/>
      <c r="V8" s="115"/>
      <c r="W8" s="115"/>
      <c r="X8" s="115"/>
      <c r="Y8" s="115"/>
      <c r="Z8" s="115"/>
      <c r="AA8" s="115"/>
      <c r="AB8" s="115"/>
      <c r="AC8" s="115"/>
      <c r="AD8" s="115"/>
      <c r="AE8" s="115"/>
      <c r="AF8" s="115"/>
      <c r="AG8" s="115"/>
      <c r="AH8" s="115"/>
      <c r="AI8" s="115"/>
      <c r="AJ8" s="115"/>
      <c r="AK8" s="115"/>
      <c r="AL8" s="115"/>
      <c r="AM8" s="115"/>
      <c r="AN8" s="115"/>
      <c r="AO8" s="115"/>
      <c r="AP8" s="115"/>
    </row>
    <row r="9" spans="1:42" s="114" customFormat="1" ht="38.25" customHeight="1">
      <c r="A9" s="123"/>
      <c r="B9" s="123"/>
      <c r="C9" s="293" t="s">
        <v>411</v>
      </c>
      <c r="D9" s="294" t="s">
        <v>412</v>
      </c>
      <c r="E9" s="115"/>
      <c r="F9" s="138"/>
      <c r="G9" s="138"/>
      <c r="H9" s="115"/>
      <c r="I9" s="115"/>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row>
    <row r="10" spans="1:42" ht="27.75" customHeight="1">
      <c r="A10" s="115"/>
      <c r="B10" s="115"/>
      <c r="C10" s="295" t="s">
        <v>325</v>
      </c>
      <c r="D10" s="296" t="s">
        <v>401</v>
      </c>
      <c r="E10" s="115"/>
      <c r="F10" s="138"/>
      <c r="G10" s="138"/>
      <c r="H10" s="115"/>
      <c r="I10" s="115"/>
      <c r="J10" s="115"/>
      <c r="K10" s="115"/>
      <c r="L10" s="115"/>
      <c r="M10" s="115"/>
      <c r="N10" s="115"/>
      <c r="O10" s="115"/>
      <c r="P10" s="115"/>
      <c r="Q10" s="115"/>
      <c r="R10" s="115"/>
      <c r="S10" s="115"/>
      <c r="T10" s="115"/>
      <c r="U10" s="115"/>
      <c r="V10" s="115"/>
      <c r="W10" s="115"/>
      <c r="X10" s="115"/>
      <c r="Y10" s="115"/>
      <c r="Z10" s="115"/>
      <c r="AA10" s="115"/>
      <c r="AB10" s="115"/>
      <c r="AC10" s="115"/>
      <c r="AD10" s="115"/>
      <c r="AE10" s="115"/>
      <c r="AF10" s="115"/>
      <c r="AG10" s="115"/>
      <c r="AH10" s="115"/>
      <c r="AI10" s="115"/>
      <c r="AJ10" s="115"/>
      <c r="AK10" s="115"/>
      <c r="AL10" s="115"/>
      <c r="AM10" s="115"/>
      <c r="AN10" s="115"/>
      <c r="AO10" s="115"/>
      <c r="AP10" s="115"/>
    </row>
    <row r="11" spans="1:42" ht="27.75" customHeight="1">
      <c r="A11" s="115"/>
      <c r="B11" s="115"/>
      <c r="C11" s="295" t="s">
        <v>328</v>
      </c>
      <c r="D11" s="296" t="s">
        <v>329</v>
      </c>
      <c r="E11" s="115"/>
      <c r="F11" s="138"/>
      <c r="G11" s="138"/>
      <c r="H11" s="115"/>
      <c r="I11" s="115"/>
      <c r="J11" s="115"/>
      <c r="K11" s="115"/>
      <c r="L11" s="115"/>
      <c r="M11" s="115"/>
      <c r="N11" s="115"/>
      <c r="O11" s="115"/>
      <c r="P11" s="115"/>
      <c r="Q11" s="115"/>
      <c r="R11" s="115"/>
      <c r="S11" s="115"/>
      <c r="T11" s="115"/>
      <c r="U11" s="115"/>
      <c r="V11" s="115"/>
      <c r="W11" s="115"/>
      <c r="X11" s="115"/>
      <c r="Y11" s="115"/>
      <c r="Z11" s="115"/>
      <c r="AA11" s="115"/>
      <c r="AB11" s="115"/>
      <c r="AC11" s="115"/>
      <c r="AD11" s="115"/>
      <c r="AE11" s="115"/>
      <c r="AF11" s="115"/>
      <c r="AG11" s="115"/>
      <c r="AH11" s="115"/>
      <c r="AI11" s="115"/>
      <c r="AJ11" s="115"/>
      <c r="AK11" s="115"/>
      <c r="AL11" s="115"/>
      <c r="AM11" s="115"/>
      <c r="AN11" s="115"/>
      <c r="AO11" s="115"/>
      <c r="AP11" s="115"/>
    </row>
    <row r="12" spans="1:42" ht="27.75" customHeight="1">
      <c r="A12" s="115"/>
      <c r="B12" s="115"/>
      <c r="C12" s="295" t="s">
        <v>331</v>
      </c>
      <c r="D12" s="296" t="s">
        <v>332</v>
      </c>
      <c r="E12" s="115"/>
      <c r="F12" s="138"/>
      <c r="G12" s="138"/>
      <c r="H12" s="115"/>
      <c r="I12" s="115"/>
      <c r="J12" s="115"/>
      <c r="K12" s="115"/>
      <c r="L12" s="115"/>
      <c r="M12" s="115"/>
      <c r="N12" s="115"/>
      <c r="O12" s="115"/>
      <c r="P12" s="115"/>
      <c r="Q12" s="115"/>
      <c r="R12" s="115"/>
      <c r="S12" s="115"/>
      <c r="T12" s="115"/>
      <c r="U12" s="115"/>
      <c r="V12" s="115"/>
      <c r="W12" s="115"/>
      <c r="X12" s="115"/>
      <c r="Y12" s="115"/>
      <c r="Z12" s="115"/>
      <c r="AA12" s="115"/>
      <c r="AB12" s="115"/>
      <c r="AC12" s="115"/>
      <c r="AD12" s="115"/>
      <c r="AE12" s="115"/>
      <c r="AF12" s="115"/>
      <c r="AG12" s="115"/>
      <c r="AH12" s="115"/>
      <c r="AI12" s="115"/>
      <c r="AJ12" s="115"/>
      <c r="AK12" s="115"/>
      <c r="AL12" s="115"/>
      <c r="AM12" s="115"/>
      <c r="AN12" s="115"/>
      <c r="AO12" s="115"/>
      <c r="AP12" s="115"/>
    </row>
    <row r="13" spans="1:42" ht="27.75" customHeight="1">
      <c r="A13" s="115"/>
      <c r="B13" s="115"/>
      <c r="C13" s="295" t="s">
        <v>334</v>
      </c>
      <c r="D13" s="296" t="s">
        <v>335</v>
      </c>
      <c r="E13" s="115"/>
      <c r="F13" s="138"/>
      <c r="G13" s="138"/>
      <c r="H13" s="115"/>
      <c r="I13" s="115"/>
      <c r="J13" s="115"/>
      <c r="K13" s="115"/>
      <c r="L13" s="115"/>
      <c r="M13" s="115"/>
      <c r="N13" s="115"/>
      <c r="O13" s="115"/>
      <c r="P13" s="115"/>
      <c r="Q13" s="115"/>
      <c r="R13" s="115"/>
      <c r="S13" s="115"/>
      <c r="T13" s="115"/>
      <c r="U13" s="115"/>
      <c r="V13" s="115"/>
      <c r="W13" s="115"/>
      <c r="X13" s="115"/>
      <c r="Y13" s="115"/>
      <c r="Z13" s="115"/>
      <c r="AA13" s="115"/>
      <c r="AB13" s="115"/>
      <c r="AC13" s="115"/>
      <c r="AD13" s="115"/>
      <c r="AE13" s="115"/>
      <c r="AF13" s="115"/>
      <c r="AG13" s="115"/>
      <c r="AH13" s="115"/>
      <c r="AI13" s="115"/>
      <c r="AJ13" s="115"/>
      <c r="AK13" s="115"/>
      <c r="AL13" s="115"/>
      <c r="AM13" s="115"/>
      <c r="AN13" s="115"/>
      <c r="AO13" s="115"/>
      <c r="AP13" s="115"/>
    </row>
    <row r="14" spans="1:42" ht="27.75" customHeight="1">
      <c r="A14" s="115"/>
      <c r="B14" s="115"/>
      <c r="C14" s="295" t="s">
        <v>413</v>
      </c>
      <c r="D14" s="134" t="s">
        <v>414</v>
      </c>
      <c r="E14" s="115"/>
      <c r="F14" s="138"/>
      <c r="G14" s="138"/>
      <c r="H14" s="115"/>
      <c r="I14" s="115"/>
      <c r="J14" s="115"/>
      <c r="K14" s="115"/>
      <c r="L14" s="115"/>
      <c r="M14" s="115"/>
      <c r="N14" s="115"/>
      <c r="O14" s="115"/>
      <c r="P14" s="115"/>
      <c r="Q14" s="115"/>
      <c r="R14" s="115"/>
      <c r="S14" s="115"/>
      <c r="T14" s="115"/>
      <c r="U14" s="115"/>
      <c r="V14" s="115"/>
      <c r="W14" s="115"/>
      <c r="X14" s="115"/>
      <c r="Y14" s="115"/>
      <c r="Z14" s="115"/>
      <c r="AA14" s="115"/>
      <c r="AB14" s="115"/>
      <c r="AC14" s="115"/>
      <c r="AD14" s="115"/>
      <c r="AE14" s="115"/>
      <c r="AF14" s="115"/>
      <c r="AG14" s="115"/>
      <c r="AH14" s="115"/>
      <c r="AI14" s="115"/>
      <c r="AJ14" s="115"/>
      <c r="AK14" s="115"/>
      <c r="AL14" s="115"/>
      <c r="AM14" s="115"/>
      <c r="AN14" s="115"/>
      <c r="AO14" s="115"/>
      <c r="AP14" s="115"/>
    </row>
    <row r="15" spans="1:42" ht="27.75" customHeight="1">
      <c r="A15" s="115"/>
      <c r="B15" s="115"/>
      <c r="C15" s="295" t="s">
        <v>337</v>
      </c>
      <c r="D15" s="296" t="s">
        <v>338</v>
      </c>
      <c r="E15" s="115"/>
      <c r="F15" s="138"/>
      <c r="G15" s="138"/>
      <c r="H15" s="115"/>
      <c r="I15" s="115"/>
      <c r="J15" s="115"/>
      <c r="K15" s="115"/>
      <c r="L15" s="115"/>
      <c r="M15" s="115"/>
      <c r="N15" s="115"/>
      <c r="O15" s="115"/>
      <c r="P15" s="115"/>
      <c r="Q15" s="115"/>
      <c r="R15" s="115"/>
      <c r="S15" s="115"/>
      <c r="T15" s="115"/>
      <c r="U15" s="115"/>
      <c r="V15" s="115"/>
      <c r="W15" s="115"/>
      <c r="X15" s="115"/>
      <c r="Y15" s="115"/>
      <c r="Z15" s="115"/>
      <c r="AA15" s="115"/>
      <c r="AB15" s="115"/>
      <c r="AC15" s="115"/>
      <c r="AD15" s="115"/>
      <c r="AE15" s="115"/>
      <c r="AF15" s="115"/>
      <c r="AG15" s="115"/>
      <c r="AH15" s="115"/>
      <c r="AI15" s="115"/>
      <c r="AJ15" s="115"/>
      <c r="AK15" s="115"/>
      <c r="AL15" s="115"/>
      <c r="AM15" s="115"/>
      <c r="AN15" s="115"/>
      <c r="AO15" s="115"/>
      <c r="AP15" s="115"/>
    </row>
    <row r="16" spans="1:42" ht="27.75" customHeight="1">
      <c r="A16" s="115"/>
      <c r="B16" s="115"/>
      <c r="C16" s="295" t="s">
        <v>415</v>
      </c>
      <c r="D16" s="296" t="s">
        <v>416</v>
      </c>
      <c r="E16" s="115"/>
      <c r="F16" s="138"/>
      <c r="G16" s="138"/>
      <c r="H16" s="115"/>
      <c r="I16" s="115"/>
      <c r="J16" s="115"/>
      <c r="K16" s="115"/>
      <c r="L16" s="115"/>
      <c r="M16" s="115"/>
      <c r="N16" s="115"/>
      <c r="O16" s="115"/>
      <c r="P16" s="115"/>
      <c r="Q16" s="115"/>
      <c r="R16" s="115"/>
      <c r="S16" s="115"/>
      <c r="T16" s="115"/>
      <c r="U16" s="115"/>
      <c r="V16" s="115"/>
      <c r="W16" s="115"/>
      <c r="X16" s="115"/>
      <c r="Y16" s="115"/>
      <c r="Z16" s="115"/>
      <c r="AA16" s="115"/>
      <c r="AB16" s="115"/>
      <c r="AC16" s="115"/>
      <c r="AD16" s="115"/>
      <c r="AE16" s="115"/>
      <c r="AF16" s="115"/>
      <c r="AG16" s="115"/>
      <c r="AH16" s="115"/>
      <c r="AI16" s="115"/>
      <c r="AJ16" s="115"/>
      <c r="AK16" s="115"/>
      <c r="AL16" s="115"/>
      <c r="AM16" s="115"/>
      <c r="AN16" s="115"/>
      <c r="AO16" s="115"/>
      <c r="AP16" s="115"/>
    </row>
    <row r="17" spans="1:42" ht="27.75" customHeight="1">
      <c r="A17" s="115"/>
      <c r="B17" s="115"/>
      <c r="C17" s="295" t="s">
        <v>387</v>
      </c>
      <c r="D17" s="245" t="s">
        <v>417</v>
      </c>
      <c r="E17" s="115"/>
      <c r="F17" s="138"/>
      <c r="G17" s="138"/>
      <c r="H17" s="115"/>
      <c r="I17" s="115"/>
      <c r="J17" s="115"/>
      <c r="K17" s="115"/>
      <c r="L17" s="115"/>
      <c r="M17" s="115"/>
      <c r="N17" s="115"/>
      <c r="O17" s="115"/>
      <c r="P17" s="115"/>
      <c r="Q17" s="115"/>
      <c r="R17" s="115"/>
      <c r="S17" s="115"/>
      <c r="T17" s="115"/>
      <c r="U17" s="115"/>
      <c r="V17" s="115"/>
      <c r="W17" s="115"/>
      <c r="X17" s="115"/>
      <c r="Y17" s="115"/>
      <c r="Z17" s="115"/>
      <c r="AA17" s="115"/>
      <c r="AB17" s="115"/>
      <c r="AC17" s="115"/>
      <c r="AD17" s="115"/>
      <c r="AE17" s="115"/>
      <c r="AF17" s="115"/>
      <c r="AG17" s="115"/>
      <c r="AH17" s="115"/>
      <c r="AI17" s="115"/>
      <c r="AJ17" s="115"/>
      <c r="AK17" s="115"/>
      <c r="AL17" s="115"/>
      <c r="AM17" s="115"/>
      <c r="AN17" s="115"/>
      <c r="AO17" s="115"/>
      <c r="AP17" s="115"/>
    </row>
    <row r="18" spans="1:42" ht="27.75" customHeight="1">
      <c r="A18" s="115"/>
      <c r="B18" s="115"/>
      <c r="C18" s="295" t="s">
        <v>418</v>
      </c>
      <c r="D18" s="245" t="s">
        <v>419</v>
      </c>
      <c r="E18" s="115"/>
      <c r="F18" s="138"/>
      <c r="G18" s="138"/>
      <c r="H18" s="115"/>
      <c r="I18" s="115"/>
      <c r="J18" s="115"/>
      <c r="K18" s="115"/>
      <c r="L18" s="115"/>
      <c r="M18" s="115"/>
      <c r="N18" s="115"/>
      <c r="O18" s="115"/>
      <c r="P18" s="115"/>
      <c r="Q18" s="115"/>
      <c r="R18" s="115"/>
      <c r="S18" s="115"/>
      <c r="T18" s="115"/>
      <c r="U18" s="115"/>
      <c r="V18" s="115"/>
      <c r="W18" s="115"/>
      <c r="X18" s="115"/>
      <c r="Y18" s="115"/>
      <c r="Z18" s="115"/>
      <c r="AA18" s="115"/>
      <c r="AB18" s="115"/>
      <c r="AC18" s="115"/>
      <c r="AD18" s="115"/>
      <c r="AE18" s="115"/>
      <c r="AF18" s="115"/>
      <c r="AG18" s="115"/>
      <c r="AH18" s="115"/>
      <c r="AI18" s="115"/>
      <c r="AJ18" s="115"/>
      <c r="AK18" s="115"/>
      <c r="AL18" s="115"/>
      <c r="AM18" s="115"/>
      <c r="AN18" s="115"/>
      <c r="AO18" s="115"/>
      <c r="AP18" s="115"/>
    </row>
    <row r="19" spans="1:42" ht="27.75" customHeight="1">
      <c r="A19" s="115"/>
      <c r="B19" s="115"/>
      <c r="C19" s="295" t="s">
        <v>420</v>
      </c>
      <c r="D19" s="245" t="s">
        <v>421</v>
      </c>
      <c r="E19" s="115"/>
      <c r="F19" s="138"/>
      <c r="G19" s="138"/>
      <c r="H19" s="115"/>
      <c r="I19" s="115"/>
      <c r="J19" s="115"/>
      <c r="K19" s="115"/>
      <c r="L19" s="115"/>
      <c r="M19" s="115"/>
      <c r="N19" s="115"/>
      <c r="O19" s="115"/>
      <c r="P19" s="115"/>
      <c r="Q19" s="115"/>
      <c r="R19" s="115"/>
      <c r="S19" s="115"/>
      <c r="T19" s="115"/>
      <c r="U19" s="115"/>
      <c r="V19" s="115"/>
      <c r="W19" s="115"/>
      <c r="X19" s="115"/>
      <c r="Y19" s="115"/>
      <c r="Z19" s="115"/>
      <c r="AA19" s="115"/>
      <c r="AB19" s="115"/>
      <c r="AC19" s="115"/>
      <c r="AD19" s="115"/>
      <c r="AE19" s="115"/>
      <c r="AF19" s="115"/>
      <c r="AG19" s="115"/>
      <c r="AH19" s="115"/>
      <c r="AI19" s="115"/>
      <c r="AJ19" s="115"/>
      <c r="AK19" s="115"/>
      <c r="AL19" s="115"/>
      <c r="AM19" s="115"/>
      <c r="AN19" s="115"/>
      <c r="AO19" s="115"/>
      <c r="AP19" s="115"/>
    </row>
    <row r="20" spans="1:42" ht="27.75" customHeight="1">
      <c r="A20" s="115"/>
      <c r="B20" s="115"/>
      <c r="C20" s="295" t="s">
        <v>422</v>
      </c>
      <c r="D20" s="245" t="s">
        <v>423</v>
      </c>
      <c r="E20" s="115"/>
      <c r="F20" s="138"/>
      <c r="G20" s="138"/>
      <c r="H20" s="115"/>
      <c r="I20" s="115"/>
      <c r="J20" s="115"/>
      <c r="K20" s="115"/>
      <c r="L20" s="115"/>
      <c r="M20" s="115"/>
      <c r="N20" s="115"/>
      <c r="O20" s="115"/>
      <c r="P20" s="115"/>
      <c r="Q20" s="115"/>
      <c r="R20" s="115"/>
      <c r="S20" s="115"/>
      <c r="T20" s="115"/>
      <c r="U20" s="115"/>
      <c r="V20" s="115"/>
      <c r="W20" s="115"/>
      <c r="X20" s="115"/>
      <c r="Y20" s="115"/>
      <c r="Z20" s="115"/>
      <c r="AA20" s="115"/>
      <c r="AB20" s="115"/>
      <c r="AC20" s="115"/>
      <c r="AD20" s="115"/>
      <c r="AE20" s="115"/>
      <c r="AF20" s="115"/>
      <c r="AG20" s="115"/>
      <c r="AH20" s="115"/>
      <c r="AI20" s="115"/>
      <c r="AJ20" s="115"/>
      <c r="AK20" s="115"/>
      <c r="AL20" s="115"/>
      <c r="AM20" s="115"/>
      <c r="AN20" s="115"/>
      <c r="AO20" s="115"/>
      <c r="AP20" s="115"/>
    </row>
    <row r="21" spans="1:42" ht="27.75" customHeight="1">
      <c r="A21" s="115"/>
      <c r="B21" s="115"/>
      <c r="C21" s="295" t="s">
        <v>424</v>
      </c>
      <c r="D21" s="245" t="s">
        <v>425</v>
      </c>
      <c r="E21" s="115"/>
      <c r="F21" s="138"/>
      <c r="G21" s="138"/>
      <c r="H21" s="115"/>
      <c r="I21" s="115"/>
      <c r="J21" s="115"/>
      <c r="K21" s="115"/>
      <c r="L21" s="115"/>
      <c r="M21" s="115"/>
      <c r="N21" s="115"/>
      <c r="O21" s="115"/>
      <c r="P21" s="115"/>
      <c r="Q21" s="115"/>
      <c r="R21" s="115"/>
      <c r="S21" s="115"/>
      <c r="T21" s="115"/>
      <c r="U21" s="115"/>
      <c r="V21" s="115"/>
      <c r="W21" s="115"/>
      <c r="X21" s="115"/>
      <c r="Y21" s="115"/>
      <c r="Z21" s="115"/>
      <c r="AA21" s="115"/>
      <c r="AB21" s="115"/>
      <c r="AC21" s="115"/>
      <c r="AD21" s="115"/>
      <c r="AE21" s="115"/>
      <c r="AF21" s="115"/>
      <c r="AG21" s="115"/>
      <c r="AH21" s="115"/>
      <c r="AI21" s="115"/>
      <c r="AJ21" s="115"/>
      <c r="AK21" s="115"/>
      <c r="AL21" s="115"/>
      <c r="AM21" s="115"/>
      <c r="AN21" s="115"/>
      <c r="AO21" s="115"/>
      <c r="AP21" s="115"/>
    </row>
    <row r="22" spans="1:42" ht="27.75" customHeight="1">
      <c r="A22" s="115"/>
      <c r="B22" s="115"/>
      <c r="C22" s="295" t="s">
        <v>426</v>
      </c>
      <c r="D22" s="245" t="s">
        <v>427</v>
      </c>
      <c r="E22" s="115"/>
      <c r="F22" s="138"/>
      <c r="G22" s="138"/>
      <c r="H22" s="115"/>
      <c r="I22" s="115"/>
      <c r="J22" s="115"/>
      <c r="K22" s="115"/>
      <c r="L22" s="115"/>
      <c r="M22" s="115"/>
      <c r="N22" s="115"/>
      <c r="O22" s="115"/>
      <c r="P22" s="115"/>
      <c r="Q22" s="115"/>
      <c r="R22" s="115"/>
      <c r="S22" s="115"/>
      <c r="T22" s="115"/>
      <c r="U22" s="115"/>
      <c r="V22" s="115"/>
      <c r="W22" s="115"/>
      <c r="X22" s="115"/>
      <c r="Y22" s="115"/>
      <c r="Z22" s="115"/>
      <c r="AA22" s="115"/>
      <c r="AB22" s="115"/>
      <c r="AC22" s="115"/>
      <c r="AD22" s="115"/>
      <c r="AE22" s="115"/>
      <c r="AF22" s="115"/>
      <c r="AG22" s="115"/>
      <c r="AH22" s="115"/>
      <c r="AI22" s="115"/>
      <c r="AJ22" s="115"/>
      <c r="AK22" s="115"/>
      <c r="AL22" s="115"/>
      <c r="AM22" s="115"/>
      <c r="AN22" s="115"/>
      <c r="AO22" s="115"/>
      <c r="AP22" s="115"/>
    </row>
    <row r="23" spans="1:42" ht="27.75" customHeight="1">
      <c r="A23" s="115"/>
      <c r="B23" s="115"/>
      <c r="C23" s="295" t="s">
        <v>428</v>
      </c>
      <c r="D23" s="245" t="s">
        <v>429</v>
      </c>
      <c r="E23" s="115"/>
      <c r="F23" s="138"/>
      <c r="G23" s="138"/>
      <c r="H23" s="115"/>
      <c r="I23" s="115"/>
      <c r="J23" s="115"/>
      <c r="K23" s="115"/>
      <c r="L23" s="115"/>
      <c r="M23" s="115"/>
      <c r="N23" s="115"/>
      <c r="O23" s="115"/>
      <c r="P23" s="115"/>
      <c r="Q23" s="115"/>
      <c r="R23" s="115"/>
      <c r="S23" s="115"/>
      <c r="T23" s="115"/>
      <c r="U23" s="115"/>
      <c r="V23" s="115"/>
      <c r="W23" s="115"/>
      <c r="X23" s="115"/>
      <c r="Y23" s="115"/>
      <c r="Z23" s="115"/>
      <c r="AA23" s="115"/>
      <c r="AB23" s="115"/>
      <c r="AC23" s="115"/>
      <c r="AD23" s="115"/>
      <c r="AE23" s="115"/>
      <c r="AF23" s="115"/>
      <c r="AG23" s="115"/>
      <c r="AH23" s="115"/>
      <c r="AI23" s="115"/>
      <c r="AJ23" s="115"/>
      <c r="AK23" s="115"/>
      <c r="AL23" s="115"/>
      <c r="AM23" s="115"/>
      <c r="AN23" s="115"/>
      <c r="AO23" s="115"/>
      <c r="AP23" s="115"/>
    </row>
    <row r="24" spans="1:42" ht="27.75" customHeight="1">
      <c r="A24" s="115"/>
      <c r="B24" s="115"/>
      <c r="C24" s="295" t="s">
        <v>430</v>
      </c>
      <c r="D24" s="245" t="s">
        <v>431</v>
      </c>
      <c r="E24" s="115"/>
      <c r="F24" s="138"/>
      <c r="G24" s="138"/>
      <c r="H24" s="115"/>
      <c r="I24" s="115"/>
      <c r="J24" s="115"/>
      <c r="K24" s="115"/>
      <c r="L24" s="115"/>
      <c r="M24" s="115"/>
      <c r="N24" s="115"/>
      <c r="O24" s="115"/>
      <c r="P24" s="115"/>
      <c r="Q24" s="115"/>
      <c r="R24" s="115"/>
      <c r="S24" s="115"/>
      <c r="T24" s="115"/>
      <c r="U24" s="115"/>
      <c r="V24" s="115"/>
      <c r="W24" s="115"/>
      <c r="X24" s="115"/>
      <c r="Y24" s="115"/>
      <c r="Z24" s="115"/>
      <c r="AA24" s="115"/>
      <c r="AB24" s="115"/>
      <c r="AC24" s="115"/>
      <c r="AD24" s="115"/>
      <c r="AE24" s="115"/>
      <c r="AF24" s="115"/>
      <c r="AG24" s="115"/>
      <c r="AH24" s="115"/>
      <c r="AI24" s="115"/>
      <c r="AJ24" s="115"/>
      <c r="AK24" s="115"/>
      <c r="AL24" s="115"/>
      <c r="AM24" s="115"/>
      <c r="AN24" s="115"/>
      <c r="AO24" s="115"/>
      <c r="AP24" s="115"/>
    </row>
    <row r="25" spans="1:42" ht="27.75" customHeight="1">
      <c r="A25" s="115"/>
      <c r="B25" s="115"/>
      <c r="C25" s="295" t="s">
        <v>432</v>
      </c>
      <c r="D25" s="245" t="s">
        <v>433</v>
      </c>
      <c r="E25" s="115"/>
      <c r="F25" s="138"/>
      <c r="G25" s="138"/>
      <c r="H25" s="115"/>
      <c r="I25" s="115"/>
      <c r="J25" s="115"/>
      <c r="K25" s="115"/>
      <c r="L25" s="115"/>
      <c r="M25" s="115"/>
      <c r="N25" s="115"/>
      <c r="O25" s="115"/>
      <c r="P25" s="115"/>
      <c r="Q25" s="115"/>
      <c r="R25" s="115"/>
      <c r="S25" s="115"/>
      <c r="T25" s="115"/>
      <c r="U25" s="115"/>
      <c r="V25" s="115"/>
      <c r="W25" s="115"/>
      <c r="X25" s="115"/>
      <c r="Y25" s="115"/>
      <c r="Z25" s="115"/>
      <c r="AA25" s="115"/>
      <c r="AB25" s="115"/>
      <c r="AC25" s="115"/>
      <c r="AD25" s="115"/>
      <c r="AE25" s="115"/>
      <c r="AF25" s="115"/>
      <c r="AG25" s="115"/>
      <c r="AH25" s="115"/>
      <c r="AI25" s="115"/>
      <c r="AJ25" s="115"/>
      <c r="AK25" s="115"/>
      <c r="AL25" s="115"/>
      <c r="AM25" s="115"/>
      <c r="AN25" s="115"/>
      <c r="AO25" s="115"/>
      <c r="AP25" s="115"/>
    </row>
    <row r="26" spans="1:42" ht="27.75" customHeight="1">
      <c r="A26" s="115"/>
      <c r="B26" s="115"/>
      <c r="C26" s="295" t="s">
        <v>434</v>
      </c>
      <c r="D26" s="245" t="s">
        <v>435</v>
      </c>
      <c r="E26" s="115"/>
      <c r="F26" s="138"/>
      <c r="G26" s="138"/>
      <c r="H26" s="115"/>
      <c r="I26" s="115"/>
      <c r="J26" s="115"/>
      <c r="K26" s="115"/>
      <c r="L26" s="115"/>
      <c r="M26" s="115"/>
      <c r="N26" s="115"/>
      <c r="O26" s="115"/>
      <c r="P26" s="115"/>
      <c r="Q26" s="115"/>
      <c r="R26" s="115"/>
      <c r="S26" s="115"/>
      <c r="T26" s="115"/>
      <c r="U26" s="115"/>
      <c r="V26" s="115"/>
      <c r="W26" s="115"/>
      <c r="X26" s="115"/>
      <c r="Y26" s="115"/>
      <c r="Z26" s="115"/>
      <c r="AA26" s="115"/>
      <c r="AB26" s="115"/>
      <c r="AC26" s="115"/>
      <c r="AD26" s="115"/>
      <c r="AE26" s="115"/>
      <c r="AF26" s="115"/>
      <c r="AG26" s="115"/>
      <c r="AH26" s="115"/>
      <c r="AI26" s="115"/>
      <c r="AJ26" s="115"/>
      <c r="AK26" s="115"/>
      <c r="AL26" s="115"/>
      <c r="AM26" s="115"/>
      <c r="AN26" s="115"/>
      <c r="AO26" s="115"/>
      <c r="AP26" s="115"/>
    </row>
    <row r="27" spans="1:42" ht="27.75" customHeight="1">
      <c r="A27" s="115"/>
      <c r="B27" s="115"/>
      <c r="C27" s="295" t="s">
        <v>436</v>
      </c>
      <c r="D27" s="245" t="s">
        <v>437</v>
      </c>
      <c r="E27" s="115"/>
      <c r="F27" s="138"/>
      <c r="G27" s="138"/>
      <c r="H27" s="115"/>
      <c r="I27" s="115"/>
      <c r="J27" s="115"/>
      <c r="K27" s="115"/>
      <c r="L27" s="115"/>
      <c r="M27" s="115"/>
      <c r="N27" s="115"/>
      <c r="O27" s="115"/>
      <c r="P27" s="115"/>
      <c r="Q27" s="115"/>
      <c r="R27" s="115"/>
      <c r="S27" s="115"/>
      <c r="T27" s="115"/>
      <c r="U27" s="115"/>
      <c r="V27" s="115"/>
      <c r="W27" s="115"/>
      <c r="X27" s="115"/>
      <c r="Y27" s="115"/>
      <c r="Z27" s="115"/>
      <c r="AA27" s="115"/>
      <c r="AB27" s="115"/>
      <c r="AC27" s="115"/>
      <c r="AD27" s="115"/>
      <c r="AE27" s="115"/>
      <c r="AF27" s="115"/>
      <c r="AG27" s="115"/>
      <c r="AH27" s="115"/>
      <c r="AI27" s="115"/>
      <c r="AJ27" s="115"/>
      <c r="AK27" s="115"/>
      <c r="AL27" s="115"/>
      <c r="AM27" s="115"/>
      <c r="AN27" s="115"/>
      <c r="AO27" s="115"/>
      <c r="AP27" s="115"/>
    </row>
    <row r="28" spans="1:42" ht="27.75" customHeight="1">
      <c r="A28" s="115"/>
      <c r="B28" s="115"/>
      <c r="C28" s="295" t="s">
        <v>438</v>
      </c>
      <c r="D28" s="245" t="s">
        <v>439</v>
      </c>
      <c r="E28" s="115"/>
      <c r="F28" s="138"/>
      <c r="G28" s="138"/>
      <c r="H28" s="115"/>
      <c r="I28" s="115"/>
      <c r="J28" s="115"/>
      <c r="K28" s="115"/>
      <c r="L28" s="115"/>
      <c r="M28" s="115"/>
      <c r="N28" s="115"/>
      <c r="O28" s="115"/>
      <c r="P28" s="115"/>
      <c r="Q28" s="115"/>
      <c r="R28" s="115"/>
      <c r="S28" s="115"/>
      <c r="T28" s="115"/>
      <c r="U28" s="115"/>
      <c r="V28" s="115"/>
      <c r="W28" s="115"/>
      <c r="X28" s="115"/>
      <c r="Y28" s="115"/>
      <c r="Z28" s="115"/>
      <c r="AA28" s="115"/>
      <c r="AB28" s="115"/>
      <c r="AC28" s="115"/>
      <c r="AD28" s="115"/>
      <c r="AE28" s="115"/>
      <c r="AF28" s="115"/>
      <c r="AG28" s="115"/>
      <c r="AH28" s="115"/>
      <c r="AI28" s="115"/>
      <c r="AJ28" s="115"/>
      <c r="AK28" s="115"/>
      <c r="AL28" s="115"/>
      <c r="AM28" s="115"/>
      <c r="AN28" s="115"/>
      <c r="AO28" s="115"/>
      <c r="AP28" s="115"/>
    </row>
    <row r="29" spans="1:42" ht="27.75" customHeight="1">
      <c r="A29" s="115"/>
      <c r="B29" s="115"/>
      <c r="C29" s="295" t="s">
        <v>440</v>
      </c>
      <c r="D29" s="245" t="s">
        <v>441</v>
      </c>
      <c r="E29" s="115"/>
      <c r="F29" s="138"/>
      <c r="G29" s="138"/>
      <c r="H29" s="115"/>
      <c r="I29" s="115"/>
      <c r="J29" s="115"/>
      <c r="K29" s="115"/>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5"/>
      <c r="AI29" s="115"/>
      <c r="AJ29" s="115"/>
      <c r="AK29" s="115"/>
      <c r="AL29" s="115"/>
      <c r="AM29" s="115"/>
      <c r="AN29" s="115"/>
      <c r="AO29" s="115"/>
      <c r="AP29" s="115"/>
    </row>
    <row r="30" spans="1:42" ht="27.75" customHeight="1">
      <c r="A30" s="115"/>
      <c r="B30" s="115"/>
      <c r="C30" s="295" t="s">
        <v>442</v>
      </c>
      <c r="D30" s="245" t="s">
        <v>443</v>
      </c>
      <c r="E30" s="115"/>
      <c r="F30" s="138"/>
      <c r="G30" s="138"/>
      <c r="H30" s="115"/>
      <c r="I30" s="115"/>
      <c r="J30" s="115"/>
      <c r="K30" s="115"/>
      <c r="L30" s="115"/>
      <c r="M30" s="115"/>
      <c r="N30" s="115"/>
      <c r="O30" s="115"/>
      <c r="P30" s="115"/>
      <c r="Q30" s="115"/>
      <c r="R30" s="115"/>
      <c r="S30" s="115"/>
      <c r="T30" s="115"/>
      <c r="U30" s="115"/>
      <c r="V30" s="115"/>
      <c r="W30" s="115"/>
      <c r="X30" s="115"/>
      <c r="Y30" s="115"/>
      <c r="Z30" s="115"/>
      <c r="AA30" s="115"/>
      <c r="AB30" s="115"/>
      <c r="AC30" s="115"/>
      <c r="AD30" s="115"/>
      <c r="AE30" s="115"/>
      <c r="AF30" s="115"/>
      <c r="AG30" s="115"/>
      <c r="AH30" s="115"/>
      <c r="AI30" s="115"/>
      <c r="AJ30" s="115"/>
      <c r="AK30" s="115"/>
      <c r="AL30" s="115"/>
      <c r="AM30" s="115"/>
      <c r="AN30" s="115"/>
      <c r="AO30" s="115"/>
      <c r="AP30" s="115"/>
    </row>
    <row r="31" spans="1:42" ht="27.75" customHeight="1">
      <c r="A31" s="115"/>
      <c r="B31" s="115"/>
      <c r="C31" s="295" t="s">
        <v>444</v>
      </c>
      <c r="D31" s="245" t="s">
        <v>445</v>
      </c>
      <c r="E31" s="115"/>
      <c r="F31" s="138"/>
      <c r="G31" s="138"/>
      <c r="H31" s="115"/>
      <c r="I31" s="115"/>
      <c r="J31" s="115"/>
      <c r="K31" s="115"/>
      <c r="L31" s="115"/>
      <c r="M31" s="115"/>
      <c r="N31" s="115"/>
      <c r="O31" s="115"/>
      <c r="P31" s="115"/>
      <c r="Q31" s="115"/>
      <c r="R31" s="115"/>
      <c r="S31" s="115"/>
      <c r="T31" s="115"/>
      <c r="U31" s="115"/>
      <c r="V31" s="115"/>
      <c r="W31" s="115"/>
      <c r="X31" s="115"/>
      <c r="Y31" s="115"/>
      <c r="Z31" s="115"/>
      <c r="AA31" s="115"/>
      <c r="AB31" s="115"/>
      <c r="AC31" s="115"/>
      <c r="AD31" s="115"/>
      <c r="AE31" s="115"/>
      <c r="AF31" s="115"/>
      <c r="AG31" s="115"/>
      <c r="AH31" s="115"/>
      <c r="AI31" s="115"/>
      <c r="AJ31" s="115"/>
      <c r="AK31" s="115"/>
      <c r="AL31" s="115"/>
      <c r="AM31" s="115"/>
      <c r="AN31" s="115"/>
      <c r="AO31" s="115"/>
      <c r="AP31" s="115"/>
    </row>
    <row r="32" spans="1:42" ht="27.75" customHeight="1">
      <c r="A32" s="115"/>
      <c r="B32" s="115"/>
      <c r="C32" s="295" t="s">
        <v>446</v>
      </c>
      <c r="D32" s="245" t="s">
        <v>447</v>
      </c>
      <c r="E32" s="115"/>
      <c r="F32" s="138"/>
      <c r="G32" s="138"/>
      <c r="H32" s="115"/>
      <c r="I32" s="115"/>
      <c r="J32" s="115"/>
      <c r="K32" s="115"/>
      <c r="L32" s="115"/>
      <c r="M32" s="115"/>
      <c r="N32" s="115"/>
      <c r="O32" s="115"/>
      <c r="P32" s="115"/>
      <c r="Q32" s="115"/>
      <c r="R32" s="115"/>
      <c r="S32" s="115"/>
      <c r="T32" s="115"/>
      <c r="U32" s="115"/>
      <c r="V32" s="115"/>
      <c r="W32" s="115"/>
      <c r="X32" s="115"/>
      <c r="Y32" s="115"/>
      <c r="Z32" s="115"/>
      <c r="AA32" s="115"/>
      <c r="AB32" s="115"/>
      <c r="AC32" s="115"/>
      <c r="AD32" s="115"/>
      <c r="AE32" s="115"/>
      <c r="AF32" s="115"/>
      <c r="AG32" s="115"/>
      <c r="AH32" s="115"/>
      <c r="AI32" s="115"/>
      <c r="AJ32" s="115"/>
      <c r="AK32" s="115"/>
      <c r="AL32" s="115"/>
      <c r="AM32" s="115"/>
      <c r="AN32" s="115"/>
      <c r="AO32" s="115"/>
      <c r="AP32" s="115"/>
    </row>
    <row r="33" spans="1:42" ht="27.75" customHeight="1">
      <c r="A33" s="115"/>
      <c r="B33" s="115"/>
      <c r="C33" s="295" t="s">
        <v>448</v>
      </c>
      <c r="D33" s="245" t="s">
        <v>449</v>
      </c>
      <c r="E33" s="115"/>
      <c r="F33" s="138"/>
      <c r="G33" s="138"/>
      <c r="H33" s="115"/>
      <c r="I33" s="115"/>
      <c r="J33" s="115"/>
      <c r="K33" s="115"/>
      <c r="L33" s="115"/>
      <c r="M33" s="115"/>
      <c r="N33" s="115"/>
      <c r="O33" s="115"/>
      <c r="P33" s="115"/>
      <c r="Q33" s="115"/>
      <c r="R33" s="115"/>
      <c r="S33" s="115"/>
      <c r="T33" s="115"/>
      <c r="U33" s="115"/>
      <c r="V33" s="115"/>
      <c r="W33" s="115"/>
      <c r="X33" s="115"/>
      <c r="Y33" s="115"/>
      <c r="Z33" s="115"/>
      <c r="AA33" s="115"/>
      <c r="AB33" s="115"/>
      <c r="AC33" s="115"/>
      <c r="AD33" s="115"/>
      <c r="AE33" s="115"/>
      <c r="AF33" s="115"/>
      <c r="AG33" s="115"/>
      <c r="AH33" s="115"/>
      <c r="AI33" s="115"/>
      <c r="AJ33" s="115"/>
      <c r="AK33" s="115"/>
      <c r="AL33" s="115"/>
      <c r="AM33" s="115"/>
      <c r="AN33" s="115"/>
      <c r="AO33" s="115"/>
      <c r="AP33" s="115"/>
    </row>
    <row r="34" spans="1:42" ht="27.75" customHeight="1">
      <c r="A34" s="115"/>
      <c r="B34" s="115"/>
      <c r="C34" s="295" t="s">
        <v>450</v>
      </c>
      <c r="D34" s="245" t="s">
        <v>451</v>
      </c>
      <c r="E34" s="115"/>
      <c r="F34" s="138"/>
      <c r="G34" s="138"/>
      <c r="H34" s="115"/>
      <c r="I34" s="115"/>
      <c r="J34" s="115"/>
      <c r="K34" s="115"/>
      <c r="L34" s="115"/>
      <c r="M34" s="115"/>
      <c r="N34" s="115"/>
      <c r="O34" s="115"/>
      <c r="P34" s="115"/>
      <c r="Q34" s="115"/>
      <c r="R34" s="115"/>
      <c r="S34" s="115"/>
      <c r="T34" s="115"/>
      <c r="U34" s="115"/>
      <c r="V34" s="115"/>
      <c r="W34" s="115"/>
      <c r="X34" s="115"/>
      <c r="Y34" s="115"/>
      <c r="Z34" s="115"/>
      <c r="AA34" s="115"/>
      <c r="AB34" s="115"/>
      <c r="AC34" s="115"/>
      <c r="AD34" s="115"/>
      <c r="AE34" s="115"/>
      <c r="AF34" s="115"/>
      <c r="AG34" s="115"/>
      <c r="AH34" s="115"/>
      <c r="AI34" s="115"/>
      <c r="AJ34" s="115"/>
      <c r="AK34" s="115"/>
      <c r="AL34" s="115"/>
      <c r="AM34" s="115"/>
      <c r="AN34" s="115"/>
      <c r="AO34" s="115"/>
      <c r="AP34" s="115"/>
    </row>
    <row r="35" spans="1:42" ht="27.75" customHeight="1">
      <c r="A35" s="115"/>
      <c r="B35" s="115"/>
      <c r="C35" s="295" t="s">
        <v>452</v>
      </c>
      <c r="D35" s="245" t="s">
        <v>453</v>
      </c>
      <c r="E35" s="115"/>
      <c r="F35" s="138"/>
      <c r="G35" s="138"/>
      <c r="H35" s="115"/>
      <c r="I35" s="115"/>
      <c r="J35" s="115"/>
      <c r="K35" s="115"/>
      <c r="L35" s="115"/>
      <c r="M35" s="115"/>
      <c r="N35" s="115"/>
      <c r="O35" s="115"/>
      <c r="P35" s="115"/>
      <c r="Q35" s="115"/>
      <c r="R35" s="115"/>
      <c r="S35" s="115"/>
      <c r="T35" s="115"/>
      <c r="U35" s="115"/>
      <c r="V35" s="115"/>
      <c r="W35" s="115"/>
      <c r="X35" s="115"/>
      <c r="Y35" s="115"/>
      <c r="Z35" s="115"/>
      <c r="AA35" s="115"/>
      <c r="AB35" s="115"/>
      <c r="AC35" s="115"/>
      <c r="AD35" s="115"/>
      <c r="AE35" s="115"/>
      <c r="AF35" s="115"/>
      <c r="AG35" s="115"/>
      <c r="AH35" s="115"/>
      <c r="AI35" s="115"/>
      <c r="AJ35" s="115"/>
      <c r="AK35" s="115"/>
      <c r="AL35" s="115"/>
      <c r="AM35" s="115"/>
      <c r="AN35" s="115"/>
      <c r="AO35" s="115"/>
      <c r="AP35" s="115"/>
    </row>
    <row r="36" spans="1:42" ht="27.75" customHeight="1">
      <c r="A36" s="115"/>
      <c r="B36" s="115"/>
      <c r="C36" s="295" t="s">
        <v>454</v>
      </c>
      <c r="D36" s="245" t="s">
        <v>455</v>
      </c>
      <c r="E36" s="115"/>
      <c r="F36" s="138"/>
      <c r="G36" s="138"/>
      <c r="H36" s="115"/>
      <c r="I36" s="115"/>
      <c r="J36" s="115"/>
      <c r="K36" s="115"/>
      <c r="L36" s="115"/>
      <c r="M36" s="115"/>
      <c r="N36" s="115"/>
      <c r="O36" s="115"/>
      <c r="P36" s="115"/>
      <c r="Q36" s="115"/>
      <c r="R36" s="115"/>
      <c r="S36" s="115"/>
      <c r="T36" s="115"/>
      <c r="U36" s="115"/>
      <c r="V36" s="115"/>
      <c r="W36" s="115"/>
      <c r="X36" s="115"/>
      <c r="Y36" s="115"/>
      <c r="Z36" s="115"/>
      <c r="AA36" s="115"/>
      <c r="AB36" s="115"/>
      <c r="AC36" s="115"/>
      <c r="AD36" s="115"/>
      <c r="AE36" s="115"/>
      <c r="AF36" s="115"/>
      <c r="AG36" s="115"/>
      <c r="AH36" s="115"/>
      <c r="AI36" s="115"/>
      <c r="AJ36" s="115"/>
      <c r="AK36" s="115"/>
      <c r="AL36" s="115"/>
      <c r="AM36" s="115"/>
      <c r="AN36" s="115"/>
      <c r="AO36" s="115"/>
      <c r="AP36" s="115"/>
    </row>
    <row r="37" spans="1:42" ht="27.75" customHeight="1">
      <c r="A37" s="115"/>
      <c r="B37" s="115"/>
      <c r="C37" s="295" t="s">
        <v>456</v>
      </c>
      <c r="D37" s="245" t="s">
        <v>457</v>
      </c>
      <c r="E37" s="115"/>
      <c r="F37" s="138"/>
      <c r="G37" s="138"/>
      <c r="H37" s="115"/>
      <c r="I37" s="115"/>
      <c r="J37" s="115"/>
      <c r="K37" s="115"/>
      <c r="L37" s="115"/>
      <c r="M37" s="115"/>
      <c r="N37" s="115"/>
      <c r="O37" s="115"/>
      <c r="P37" s="115"/>
      <c r="Q37" s="115"/>
      <c r="R37" s="115"/>
      <c r="S37" s="115"/>
      <c r="T37" s="115"/>
      <c r="U37" s="115"/>
      <c r="V37" s="115"/>
      <c r="W37" s="115"/>
      <c r="X37" s="115"/>
      <c r="Y37" s="115"/>
      <c r="Z37" s="115"/>
      <c r="AA37" s="115"/>
      <c r="AB37" s="115"/>
      <c r="AC37" s="115"/>
      <c r="AD37" s="115"/>
      <c r="AE37" s="115"/>
      <c r="AF37" s="115"/>
      <c r="AG37" s="115"/>
      <c r="AH37" s="115"/>
      <c r="AI37" s="115"/>
      <c r="AJ37" s="115"/>
      <c r="AK37" s="115"/>
      <c r="AL37" s="115"/>
      <c r="AM37" s="115"/>
      <c r="AN37" s="115"/>
      <c r="AO37" s="115"/>
      <c r="AP37" s="115"/>
    </row>
    <row r="38" spans="1:42" ht="27.75" customHeight="1">
      <c r="A38" s="115"/>
      <c r="B38" s="115"/>
      <c r="C38" s="295" t="s">
        <v>458</v>
      </c>
      <c r="D38" s="245" t="s">
        <v>459</v>
      </c>
      <c r="E38" s="115"/>
      <c r="F38" s="138"/>
      <c r="G38" s="138"/>
      <c r="H38" s="115"/>
      <c r="I38" s="115"/>
      <c r="J38" s="115"/>
      <c r="K38" s="115"/>
      <c r="L38" s="115"/>
      <c r="M38" s="115"/>
      <c r="N38" s="115"/>
      <c r="O38" s="115"/>
      <c r="P38" s="115"/>
      <c r="Q38" s="115"/>
      <c r="R38" s="115"/>
      <c r="S38" s="115"/>
      <c r="T38" s="115"/>
      <c r="U38" s="115"/>
      <c r="V38" s="115"/>
      <c r="W38" s="115"/>
      <c r="X38" s="115"/>
      <c r="Y38" s="115"/>
      <c r="Z38" s="115"/>
      <c r="AA38" s="115"/>
      <c r="AB38" s="115"/>
      <c r="AC38" s="115"/>
      <c r="AD38" s="115"/>
      <c r="AE38" s="115"/>
      <c r="AF38" s="115"/>
      <c r="AG38" s="115"/>
      <c r="AH38" s="115"/>
      <c r="AI38" s="115"/>
      <c r="AJ38" s="115"/>
      <c r="AK38" s="115"/>
      <c r="AL38" s="115"/>
      <c r="AM38" s="115"/>
      <c r="AN38" s="115"/>
      <c r="AO38" s="115"/>
      <c r="AP38" s="115"/>
    </row>
    <row r="39" spans="1:42" ht="27.75" customHeight="1">
      <c r="A39" s="115"/>
      <c r="B39" s="115"/>
      <c r="C39" s="295" t="s">
        <v>460</v>
      </c>
      <c r="D39" s="245" t="s">
        <v>461</v>
      </c>
      <c r="E39" s="115"/>
      <c r="F39" s="138"/>
      <c r="G39" s="138"/>
      <c r="H39" s="115"/>
      <c r="I39" s="115"/>
      <c r="J39" s="115"/>
      <c r="K39" s="115"/>
      <c r="L39" s="115"/>
      <c r="M39" s="115"/>
      <c r="N39" s="115"/>
      <c r="O39" s="115"/>
      <c r="P39" s="115"/>
      <c r="Q39" s="115"/>
      <c r="R39" s="115"/>
      <c r="S39" s="115"/>
      <c r="T39" s="115"/>
      <c r="U39" s="115"/>
      <c r="V39" s="115"/>
      <c r="W39" s="115"/>
      <c r="X39" s="115"/>
      <c r="Y39" s="115"/>
      <c r="Z39" s="115"/>
      <c r="AA39" s="115"/>
      <c r="AB39" s="115"/>
      <c r="AC39" s="115"/>
      <c r="AD39" s="115"/>
      <c r="AE39" s="115"/>
      <c r="AF39" s="115"/>
      <c r="AG39" s="115"/>
      <c r="AH39" s="115"/>
      <c r="AI39" s="115"/>
      <c r="AJ39" s="115"/>
      <c r="AK39" s="115"/>
      <c r="AL39" s="115"/>
      <c r="AM39" s="115"/>
      <c r="AN39" s="115"/>
      <c r="AO39" s="115"/>
      <c r="AP39" s="115"/>
    </row>
    <row r="40" spans="1:42" ht="27.75" customHeight="1">
      <c r="A40" s="115"/>
      <c r="B40" s="115"/>
      <c r="C40" s="295" t="s">
        <v>462</v>
      </c>
      <c r="D40" s="245" t="s">
        <v>463</v>
      </c>
      <c r="E40" s="115"/>
      <c r="F40" s="138"/>
      <c r="G40" s="138"/>
      <c r="H40" s="115"/>
      <c r="I40" s="115"/>
      <c r="J40" s="115"/>
      <c r="K40" s="115"/>
      <c r="L40" s="115"/>
      <c r="M40" s="115"/>
      <c r="N40" s="115"/>
      <c r="O40" s="115"/>
      <c r="P40" s="115"/>
      <c r="Q40" s="115"/>
      <c r="R40" s="115"/>
      <c r="S40" s="115"/>
      <c r="T40" s="115"/>
      <c r="U40" s="115"/>
      <c r="V40" s="115"/>
      <c r="W40" s="115"/>
      <c r="X40" s="115"/>
      <c r="Y40" s="115"/>
      <c r="Z40" s="115"/>
      <c r="AA40" s="115"/>
      <c r="AB40" s="115"/>
      <c r="AC40" s="115"/>
      <c r="AD40" s="115"/>
      <c r="AE40" s="115"/>
      <c r="AF40" s="115"/>
      <c r="AG40" s="115"/>
      <c r="AH40" s="115"/>
      <c r="AI40" s="115"/>
      <c r="AJ40" s="115"/>
      <c r="AK40" s="115"/>
      <c r="AL40" s="115"/>
      <c r="AM40" s="115"/>
      <c r="AN40" s="115"/>
      <c r="AO40" s="115"/>
      <c r="AP40" s="115"/>
    </row>
    <row r="41" spans="1:42" ht="27.75" customHeight="1">
      <c r="A41" s="115"/>
      <c r="B41" s="115"/>
      <c r="C41" s="295" t="s">
        <v>464</v>
      </c>
      <c r="D41" s="245" t="s">
        <v>465</v>
      </c>
      <c r="E41" s="115"/>
      <c r="F41" s="138"/>
      <c r="G41" s="138"/>
      <c r="H41" s="115"/>
      <c r="I41" s="115"/>
      <c r="J41" s="115"/>
      <c r="K41" s="115"/>
      <c r="L41" s="115"/>
      <c r="M41" s="115"/>
      <c r="N41" s="115"/>
      <c r="O41" s="115"/>
      <c r="P41" s="115"/>
      <c r="Q41" s="115"/>
      <c r="R41" s="115"/>
      <c r="S41" s="115"/>
      <c r="T41" s="115"/>
      <c r="U41" s="115"/>
      <c r="V41" s="115"/>
      <c r="W41" s="115"/>
      <c r="X41" s="115"/>
      <c r="Y41" s="115"/>
      <c r="Z41" s="115"/>
      <c r="AA41" s="115"/>
      <c r="AB41" s="115"/>
      <c r="AC41" s="115"/>
      <c r="AD41" s="115"/>
      <c r="AE41" s="115"/>
      <c r="AF41" s="115"/>
      <c r="AG41" s="115"/>
      <c r="AH41" s="115"/>
      <c r="AI41" s="115"/>
      <c r="AJ41" s="115"/>
      <c r="AK41" s="115"/>
      <c r="AL41" s="115"/>
      <c r="AM41" s="115"/>
      <c r="AN41" s="115"/>
      <c r="AO41" s="115"/>
      <c r="AP41" s="115"/>
    </row>
    <row r="42" spans="1:42" ht="27.75" customHeight="1">
      <c r="A42" s="115"/>
      <c r="B42" s="115"/>
      <c r="C42" s="295" t="s">
        <v>466</v>
      </c>
      <c r="D42" s="245" t="s">
        <v>467</v>
      </c>
      <c r="E42" s="115"/>
      <c r="F42" s="138"/>
      <c r="G42" s="138"/>
      <c r="H42" s="115"/>
      <c r="I42" s="115"/>
      <c r="J42" s="115"/>
      <c r="K42" s="115"/>
      <c r="L42" s="115"/>
      <c r="M42" s="115"/>
      <c r="N42" s="115"/>
      <c r="O42" s="115"/>
      <c r="P42" s="115"/>
      <c r="Q42" s="115"/>
      <c r="R42" s="115"/>
      <c r="S42" s="115"/>
      <c r="T42" s="115"/>
      <c r="U42" s="115"/>
      <c r="V42" s="115"/>
      <c r="W42" s="115"/>
      <c r="X42" s="115"/>
      <c r="Y42" s="115"/>
      <c r="Z42" s="115"/>
      <c r="AA42" s="115"/>
      <c r="AB42" s="115"/>
      <c r="AC42" s="115"/>
      <c r="AD42" s="115"/>
      <c r="AE42" s="115"/>
      <c r="AF42" s="115"/>
      <c r="AG42" s="115"/>
      <c r="AH42" s="115"/>
      <c r="AI42" s="115"/>
      <c r="AJ42" s="115"/>
      <c r="AK42" s="115"/>
      <c r="AL42" s="115"/>
      <c r="AM42" s="115"/>
      <c r="AN42" s="115"/>
      <c r="AO42" s="115"/>
      <c r="AP42" s="115"/>
    </row>
    <row r="43" spans="1:42" ht="27.75" customHeight="1">
      <c r="A43" s="115"/>
      <c r="B43" s="115"/>
      <c r="C43" s="295" t="s">
        <v>468</v>
      </c>
      <c r="D43" s="245" t="s">
        <v>469</v>
      </c>
      <c r="E43" s="115"/>
      <c r="F43" s="138"/>
      <c r="G43" s="138"/>
      <c r="H43" s="115"/>
      <c r="I43" s="115"/>
      <c r="J43" s="115"/>
      <c r="K43" s="115"/>
      <c r="L43" s="115"/>
      <c r="M43" s="115"/>
      <c r="N43" s="115"/>
      <c r="O43" s="115"/>
      <c r="P43" s="115"/>
      <c r="Q43" s="115"/>
      <c r="R43" s="115"/>
      <c r="S43" s="115"/>
      <c r="T43" s="115"/>
      <c r="U43" s="115"/>
      <c r="V43" s="115"/>
      <c r="W43" s="115"/>
      <c r="X43" s="115"/>
      <c r="Y43" s="115"/>
      <c r="Z43" s="115"/>
      <c r="AA43" s="115"/>
      <c r="AB43" s="115"/>
      <c r="AC43" s="115"/>
      <c r="AD43" s="115"/>
      <c r="AE43" s="115"/>
      <c r="AF43" s="115"/>
      <c r="AG43" s="115"/>
      <c r="AH43" s="115"/>
      <c r="AI43" s="115"/>
      <c r="AJ43" s="115"/>
      <c r="AK43" s="115"/>
      <c r="AL43" s="115"/>
      <c r="AM43" s="115"/>
      <c r="AN43" s="115"/>
      <c r="AO43" s="115"/>
      <c r="AP43" s="115"/>
    </row>
    <row r="44" spans="1:42" ht="27.75" customHeight="1">
      <c r="A44" s="115"/>
      <c r="B44" s="115"/>
      <c r="C44" s="295" t="s">
        <v>470</v>
      </c>
      <c r="D44" s="245" t="s">
        <v>471</v>
      </c>
      <c r="E44" s="115"/>
      <c r="F44" s="138"/>
      <c r="G44" s="138"/>
      <c r="H44" s="115"/>
      <c r="I44" s="115"/>
      <c r="J44" s="115"/>
      <c r="K44" s="115"/>
      <c r="L44" s="115"/>
      <c r="M44" s="115"/>
      <c r="N44" s="115"/>
      <c r="O44" s="115"/>
      <c r="P44" s="115"/>
      <c r="Q44" s="115"/>
      <c r="R44" s="115"/>
      <c r="S44" s="115"/>
      <c r="T44" s="115"/>
      <c r="U44" s="115"/>
      <c r="V44" s="115"/>
      <c r="W44" s="115"/>
      <c r="X44" s="115"/>
      <c r="Y44" s="115"/>
      <c r="Z44" s="115"/>
      <c r="AA44" s="115"/>
      <c r="AB44" s="115"/>
      <c r="AC44" s="115"/>
      <c r="AD44" s="115"/>
      <c r="AE44" s="115"/>
      <c r="AF44" s="115"/>
      <c r="AG44" s="115"/>
      <c r="AH44" s="115"/>
      <c r="AI44" s="115"/>
      <c r="AJ44" s="115"/>
      <c r="AK44" s="115"/>
      <c r="AL44" s="115"/>
      <c r="AM44" s="115"/>
      <c r="AN44" s="115"/>
      <c r="AO44" s="115"/>
      <c r="AP44" s="115"/>
    </row>
    <row r="45" spans="1:42" ht="27.75" customHeight="1">
      <c r="A45" s="115"/>
      <c r="B45" s="115"/>
      <c r="C45" s="295" t="s">
        <v>472</v>
      </c>
      <c r="D45" s="245" t="s">
        <v>473</v>
      </c>
      <c r="E45" s="115"/>
      <c r="F45" s="138"/>
      <c r="G45" s="138"/>
      <c r="H45" s="115"/>
      <c r="I45" s="115"/>
      <c r="J45" s="115"/>
      <c r="K45" s="115"/>
      <c r="L45" s="115"/>
      <c r="M45" s="115"/>
      <c r="N45" s="115"/>
      <c r="O45" s="115"/>
      <c r="P45" s="115"/>
      <c r="Q45" s="115"/>
      <c r="R45" s="115"/>
      <c r="S45" s="115"/>
      <c r="T45" s="115"/>
      <c r="U45" s="115"/>
      <c r="V45" s="115"/>
      <c r="W45" s="115"/>
      <c r="X45" s="115"/>
      <c r="Y45" s="115"/>
      <c r="Z45" s="115"/>
      <c r="AA45" s="115"/>
      <c r="AB45" s="115"/>
      <c r="AC45" s="115"/>
      <c r="AD45" s="115"/>
      <c r="AE45" s="115"/>
      <c r="AF45" s="115"/>
      <c r="AG45" s="115"/>
      <c r="AH45" s="115"/>
      <c r="AI45" s="115"/>
      <c r="AJ45" s="115"/>
      <c r="AK45" s="115"/>
      <c r="AL45" s="115"/>
      <c r="AM45" s="115"/>
      <c r="AN45" s="115"/>
      <c r="AO45" s="115"/>
      <c r="AP45" s="115"/>
    </row>
    <row r="46" spans="1:42" ht="27.75" customHeight="1">
      <c r="A46" s="115"/>
      <c r="B46" s="115"/>
      <c r="C46" s="295" t="s">
        <v>474</v>
      </c>
      <c r="D46" s="245" t="s">
        <v>475</v>
      </c>
      <c r="E46" s="115"/>
      <c r="F46" s="138"/>
      <c r="G46" s="138"/>
      <c r="H46" s="115"/>
      <c r="I46" s="115"/>
      <c r="J46" s="115"/>
      <c r="K46" s="115"/>
      <c r="L46" s="115"/>
      <c r="M46" s="115"/>
      <c r="N46" s="115"/>
      <c r="O46" s="115"/>
      <c r="P46" s="115"/>
      <c r="Q46" s="115"/>
      <c r="R46" s="115"/>
      <c r="S46" s="115"/>
      <c r="T46" s="115"/>
      <c r="U46" s="115"/>
      <c r="V46" s="115"/>
      <c r="W46" s="115"/>
      <c r="X46" s="115"/>
      <c r="Y46" s="115"/>
      <c r="Z46" s="115"/>
      <c r="AA46" s="115"/>
      <c r="AB46" s="115"/>
      <c r="AC46" s="115"/>
      <c r="AD46" s="115"/>
      <c r="AE46" s="115"/>
      <c r="AF46" s="115"/>
      <c r="AG46" s="115"/>
      <c r="AH46" s="115"/>
      <c r="AI46" s="115"/>
      <c r="AJ46" s="115"/>
      <c r="AK46" s="115"/>
      <c r="AL46" s="115"/>
      <c r="AM46" s="115"/>
      <c r="AN46" s="115"/>
      <c r="AO46" s="115"/>
      <c r="AP46" s="115"/>
    </row>
    <row r="47" spans="1:42" ht="27.75" customHeight="1">
      <c r="A47" s="115"/>
      <c r="B47" s="115"/>
      <c r="C47" s="295" t="s">
        <v>476</v>
      </c>
      <c r="D47" s="245" t="s">
        <v>477</v>
      </c>
      <c r="E47" s="115"/>
      <c r="F47" s="138"/>
      <c r="G47" s="138"/>
      <c r="H47" s="115"/>
      <c r="I47" s="115"/>
      <c r="J47" s="115"/>
      <c r="K47" s="115"/>
      <c r="L47" s="115"/>
      <c r="M47" s="115"/>
      <c r="N47" s="115"/>
      <c r="O47" s="115"/>
      <c r="P47" s="115"/>
      <c r="Q47" s="115"/>
      <c r="R47" s="115"/>
      <c r="S47" s="115"/>
      <c r="T47" s="115"/>
      <c r="U47" s="115"/>
      <c r="V47" s="115"/>
      <c r="W47" s="115"/>
      <c r="X47" s="115"/>
      <c r="Y47" s="115"/>
      <c r="Z47" s="115"/>
      <c r="AA47" s="115"/>
      <c r="AB47" s="115"/>
      <c r="AC47" s="115"/>
      <c r="AD47" s="115"/>
      <c r="AE47" s="115"/>
      <c r="AF47" s="115"/>
      <c r="AG47" s="115"/>
      <c r="AH47" s="115"/>
      <c r="AI47" s="115"/>
      <c r="AJ47" s="115"/>
      <c r="AK47" s="115"/>
      <c r="AL47" s="115"/>
      <c r="AM47" s="115"/>
      <c r="AN47" s="115"/>
      <c r="AO47" s="115"/>
      <c r="AP47" s="115"/>
    </row>
    <row r="48" spans="1:42" ht="27.75" customHeight="1">
      <c r="A48" s="115"/>
      <c r="B48" s="115"/>
      <c r="C48" s="295" t="s">
        <v>478</v>
      </c>
      <c r="D48" s="245" t="s">
        <v>479</v>
      </c>
      <c r="E48" s="115"/>
      <c r="F48" s="138"/>
      <c r="G48" s="138"/>
      <c r="H48" s="115"/>
      <c r="I48" s="115"/>
      <c r="J48" s="115"/>
      <c r="K48" s="115"/>
      <c r="L48" s="115"/>
      <c r="M48" s="115"/>
      <c r="N48" s="115"/>
      <c r="O48" s="115"/>
      <c r="P48" s="115"/>
      <c r="Q48" s="115"/>
      <c r="R48" s="115"/>
      <c r="S48" s="115"/>
      <c r="T48" s="115"/>
      <c r="U48" s="115"/>
      <c r="V48" s="115"/>
      <c r="W48" s="115"/>
      <c r="X48" s="115"/>
      <c r="Y48" s="115"/>
      <c r="Z48" s="115"/>
      <c r="AA48" s="115"/>
      <c r="AB48" s="115"/>
      <c r="AC48" s="115"/>
      <c r="AD48" s="115"/>
      <c r="AE48" s="115"/>
      <c r="AF48" s="115"/>
      <c r="AG48" s="115"/>
      <c r="AH48" s="115"/>
      <c r="AI48" s="115"/>
      <c r="AJ48" s="115"/>
      <c r="AK48" s="115"/>
      <c r="AL48" s="115"/>
      <c r="AM48" s="115"/>
      <c r="AN48" s="115"/>
      <c r="AO48" s="115"/>
      <c r="AP48" s="115"/>
    </row>
    <row r="49" spans="1:42" ht="27.75" customHeight="1">
      <c r="A49" s="115"/>
      <c r="B49" s="115"/>
      <c r="C49" s="295" t="s">
        <v>480</v>
      </c>
      <c r="D49" s="245" t="s">
        <v>481</v>
      </c>
      <c r="E49" s="115"/>
      <c r="F49" s="138"/>
      <c r="G49" s="138"/>
      <c r="H49" s="115"/>
      <c r="I49" s="115"/>
      <c r="J49" s="115"/>
      <c r="K49" s="115"/>
      <c r="L49" s="115"/>
      <c r="M49" s="115"/>
      <c r="N49" s="115"/>
      <c r="O49" s="115"/>
      <c r="P49" s="115"/>
      <c r="Q49" s="115"/>
      <c r="R49" s="115"/>
      <c r="S49" s="115"/>
      <c r="T49" s="115"/>
      <c r="U49" s="115"/>
      <c r="V49" s="115"/>
      <c r="W49" s="115"/>
      <c r="X49" s="115"/>
      <c r="Y49" s="115"/>
      <c r="Z49" s="115"/>
      <c r="AA49" s="115"/>
      <c r="AB49" s="115"/>
      <c r="AC49" s="115"/>
      <c r="AD49" s="115"/>
      <c r="AE49" s="115"/>
      <c r="AF49" s="115"/>
      <c r="AG49" s="115"/>
      <c r="AH49" s="115"/>
      <c r="AI49" s="115"/>
      <c r="AJ49" s="115"/>
      <c r="AK49" s="115"/>
      <c r="AL49" s="115"/>
      <c r="AM49" s="115"/>
      <c r="AN49" s="115"/>
      <c r="AO49" s="115"/>
      <c r="AP49" s="115"/>
    </row>
    <row r="50" spans="1:42" ht="27.75" customHeight="1">
      <c r="A50" s="115"/>
      <c r="B50" s="115"/>
      <c r="C50" s="295" t="s">
        <v>482</v>
      </c>
      <c r="D50" s="245" t="s">
        <v>483</v>
      </c>
      <c r="E50" s="115"/>
      <c r="F50" s="138"/>
      <c r="G50" s="138"/>
      <c r="H50" s="115"/>
      <c r="I50" s="115"/>
      <c r="J50" s="115"/>
      <c r="K50" s="115"/>
      <c r="L50" s="115"/>
      <c r="M50" s="115"/>
      <c r="N50" s="115"/>
      <c r="O50" s="115"/>
      <c r="P50" s="115"/>
      <c r="Q50" s="115"/>
      <c r="R50" s="115"/>
      <c r="S50" s="115"/>
      <c r="T50" s="115"/>
      <c r="U50" s="115"/>
      <c r="V50" s="115"/>
      <c r="W50" s="115"/>
      <c r="X50" s="115"/>
      <c r="Y50" s="115"/>
      <c r="Z50" s="115"/>
      <c r="AA50" s="115"/>
      <c r="AB50" s="115"/>
      <c r="AC50" s="115"/>
      <c r="AD50" s="115"/>
      <c r="AE50" s="115"/>
      <c r="AF50" s="115"/>
      <c r="AG50" s="115"/>
      <c r="AH50" s="115"/>
      <c r="AI50" s="115"/>
      <c r="AJ50" s="115"/>
      <c r="AK50" s="115"/>
      <c r="AL50" s="115"/>
      <c r="AM50" s="115"/>
      <c r="AN50" s="115"/>
      <c r="AO50" s="115"/>
      <c r="AP50" s="115"/>
    </row>
    <row r="51" spans="1:42" ht="27.75" customHeight="1">
      <c r="A51" s="115"/>
      <c r="B51" s="115"/>
      <c r="C51" s="295" t="s">
        <v>484</v>
      </c>
      <c r="D51" s="246" t="s">
        <v>485</v>
      </c>
      <c r="E51" s="115"/>
      <c r="F51" s="138"/>
      <c r="G51" s="138"/>
      <c r="H51" s="115"/>
      <c r="I51" s="115"/>
      <c r="J51" s="115"/>
      <c r="K51" s="115"/>
      <c r="L51" s="115"/>
      <c r="M51" s="115"/>
      <c r="N51" s="115"/>
      <c r="O51" s="115"/>
      <c r="P51" s="115"/>
      <c r="Q51" s="115"/>
      <c r="R51" s="115"/>
      <c r="S51" s="115"/>
      <c r="T51" s="115"/>
      <c r="U51" s="115"/>
      <c r="V51" s="115"/>
      <c r="W51" s="115"/>
      <c r="X51" s="115"/>
      <c r="Y51" s="115"/>
      <c r="Z51" s="115"/>
      <c r="AA51" s="115"/>
      <c r="AB51" s="115"/>
      <c r="AC51" s="115"/>
      <c r="AD51" s="115"/>
      <c r="AE51" s="115"/>
      <c r="AF51" s="115"/>
      <c r="AG51" s="115"/>
      <c r="AH51" s="115"/>
      <c r="AI51" s="115"/>
      <c r="AJ51" s="115"/>
      <c r="AK51" s="115"/>
      <c r="AL51" s="115"/>
      <c r="AM51" s="115"/>
      <c r="AN51" s="115"/>
      <c r="AO51" s="115"/>
      <c r="AP51" s="115"/>
    </row>
    <row r="52" spans="1:42" ht="27.75" customHeight="1">
      <c r="A52" s="115"/>
      <c r="B52" s="115"/>
      <c r="C52" s="295" t="s">
        <v>486</v>
      </c>
      <c r="D52" s="245" t="s">
        <v>487</v>
      </c>
      <c r="E52" s="115"/>
      <c r="F52" s="138"/>
      <c r="G52" s="138"/>
      <c r="H52" s="115"/>
      <c r="I52" s="115"/>
      <c r="J52" s="115"/>
      <c r="K52" s="115"/>
      <c r="L52" s="115"/>
      <c r="M52" s="115"/>
      <c r="N52" s="115"/>
      <c r="O52" s="115"/>
      <c r="P52" s="115"/>
      <c r="Q52" s="115"/>
      <c r="R52" s="115"/>
      <c r="S52" s="115"/>
      <c r="T52" s="115"/>
      <c r="U52" s="115"/>
      <c r="V52" s="115"/>
      <c r="W52" s="115"/>
      <c r="X52" s="115"/>
      <c r="Y52" s="115"/>
      <c r="Z52" s="115"/>
      <c r="AA52" s="115"/>
      <c r="AB52" s="115"/>
      <c r="AC52" s="115"/>
      <c r="AD52" s="115"/>
      <c r="AE52" s="115"/>
      <c r="AF52" s="115"/>
      <c r="AG52" s="115"/>
      <c r="AH52" s="115"/>
      <c r="AI52" s="115"/>
      <c r="AJ52" s="115"/>
      <c r="AK52" s="115"/>
      <c r="AL52" s="115"/>
      <c r="AM52" s="115"/>
      <c r="AN52" s="115"/>
      <c r="AO52" s="115"/>
      <c r="AP52" s="115"/>
    </row>
    <row r="53" spans="1:42" ht="27.75" customHeight="1">
      <c r="A53" s="115"/>
      <c r="B53" s="115"/>
      <c r="C53" s="295" t="s">
        <v>488</v>
      </c>
      <c r="D53" s="245" t="s">
        <v>489</v>
      </c>
      <c r="E53" s="115"/>
      <c r="F53" s="138"/>
      <c r="G53" s="138"/>
      <c r="H53" s="115"/>
      <c r="I53" s="115"/>
      <c r="J53" s="115"/>
      <c r="K53" s="115"/>
      <c r="L53" s="115"/>
      <c r="M53" s="115"/>
      <c r="N53" s="115"/>
      <c r="O53" s="115"/>
      <c r="P53" s="115"/>
      <c r="Q53" s="115"/>
      <c r="R53" s="115"/>
      <c r="S53" s="115"/>
      <c r="T53" s="115"/>
      <c r="U53" s="115"/>
      <c r="V53" s="115"/>
      <c r="W53" s="115"/>
      <c r="X53" s="115"/>
      <c r="Y53" s="115"/>
      <c r="Z53" s="115"/>
      <c r="AA53" s="115"/>
      <c r="AB53" s="115"/>
      <c r="AC53" s="115"/>
      <c r="AD53" s="115"/>
      <c r="AE53" s="115"/>
      <c r="AF53" s="115"/>
      <c r="AG53" s="115"/>
      <c r="AH53" s="115"/>
      <c r="AI53" s="115"/>
      <c r="AJ53" s="115"/>
      <c r="AK53" s="115"/>
      <c r="AL53" s="115"/>
      <c r="AM53" s="115"/>
      <c r="AN53" s="115"/>
      <c r="AO53" s="115"/>
      <c r="AP53" s="115"/>
    </row>
    <row r="54" spans="1:42" ht="27.75" customHeight="1">
      <c r="A54" s="115"/>
      <c r="B54" s="115"/>
      <c r="C54" s="295" t="s">
        <v>490</v>
      </c>
      <c r="D54" s="245" t="s">
        <v>491</v>
      </c>
      <c r="E54" s="115"/>
      <c r="F54" s="138"/>
      <c r="G54" s="138"/>
      <c r="H54" s="115"/>
      <c r="I54" s="115"/>
      <c r="J54" s="115"/>
      <c r="K54" s="115"/>
      <c r="L54" s="115"/>
      <c r="M54" s="115"/>
      <c r="N54" s="115"/>
      <c r="O54" s="115"/>
      <c r="P54" s="115"/>
      <c r="Q54" s="115"/>
      <c r="R54" s="115"/>
      <c r="S54" s="115"/>
      <c r="T54" s="115"/>
      <c r="U54" s="115"/>
      <c r="V54" s="115"/>
      <c r="W54" s="115"/>
      <c r="X54" s="115"/>
      <c r="Y54" s="115"/>
      <c r="Z54" s="115"/>
      <c r="AA54" s="115"/>
      <c r="AB54" s="115"/>
      <c r="AC54" s="115"/>
      <c r="AD54" s="115"/>
      <c r="AE54" s="115"/>
      <c r="AF54" s="115"/>
      <c r="AG54" s="115"/>
      <c r="AH54" s="115"/>
      <c r="AI54" s="115"/>
      <c r="AJ54" s="115"/>
      <c r="AK54" s="115"/>
      <c r="AL54" s="115"/>
      <c r="AM54" s="115"/>
      <c r="AN54" s="115"/>
      <c r="AO54" s="115"/>
      <c r="AP54" s="115"/>
    </row>
    <row r="55" spans="1:42" ht="27.75" customHeight="1">
      <c r="A55" s="115"/>
      <c r="B55" s="115"/>
      <c r="C55" s="295" t="s">
        <v>492</v>
      </c>
      <c r="D55" s="245" t="s">
        <v>493</v>
      </c>
      <c r="E55" s="115"/>
      <c r="F55" s="138"/>
      <c r="G55" s="138"/>
      <c r="H55" s="115"/>
      <c r="I55" s="115"/>
      <c r="J55" s="115"/>
      <c r="K55" s="115"/>
      <c r="L55" s="115"/>
      <c r="M55" s="115"/>
      <c r="N55" s="115"/>
      <c r="O55" s="115"/>
      <c r="P55" s="115"/>
      <c r="Q55" s="115"/>
      <c r="R55" s="115"/>
      <c r="S55" s="115"/>
      <c r="T55" s="115"/>
      <c r="U55" s="115"/>
      <c r="V55" s="115"/>
      <c r="W55" s="115"/>
      <c r="X55" s="115"/>
      <c r="Y55" s="115"/>
      <c r="Z55" s="115"/>
      <c r="AA55" s="115"/>
      <c r="AB55" s="115"/>
      <c r="AC55" s="115"/>
      <c r="AD55" s="115"/>
      <c r="AE55" s="115"/>
      <c r="AF55" s="115"/>
      <c r="AG55" s="115"/>
      <c r="AH55" s="115"/>
      <c r="AI55" s="115"/>
      <c r="AJ55" s="115"/>
      <c r="AK55" s="115"/>
      <c r="AL55" s="115"/>
      <c r="AM55" s="115"/>
      <c r="AN55" s="115"/>
      <c r="AO55" s="115"/>
      <c r="AP55" s="115"/>
    </row>
    <row r="56" spans="1:42" ht="27.75" customHeight="1">
      <c r="A56" s="115"/>
      <c r="B56" s="115"/>
      <c r="C56" s="295" t="s">
        <v>494</v>
      </c>
      <c r="D56" s="245" t="s">
        <v>495</v>
      </c>
      <c r="E56" s="115"/>
      <c r="F56" s="138"/>
      <c r="G56" s="138"/>
      <c r="H56" s="115"/>
      <c r="I56" s="115"/>
      <c r="J56" s="115"/>
      <c r="K56" s="115"/>
      <c r="L56" s="115"/>
      <c r="M56" s="115"/>
      <c r="N56" s="115"/>
      <c r="O56" s="115"/>
      <c r="P56" s="115"/>
      <c r="Q56" s="115"/>
      <c r="R56" s="115"/>
      <c r="S56" s="115"/>
      <c r="T56" s="115"/>
      <c r="U56" s="115"/>
      <c r="V56" s="115"/>
      <c r="W56" s="115"/>
      <c r="X56" s="115"/>
      <c r="Y56" s="115"/>
      <c r="Z56" s="115"/>
      <c r="AA56" s="115"/>
      <c r="AB56" s="115"/>
      <c r="AC56" s="115"/>
      <c r="AD56" s="115"/>
      <c r="AE56" s="115"/>
      <c r="AF56" s="115"/>
      <c r="AG56" s="115"/>
      <c r="AH56" s="115"/>
      <c r="AI56" s="115"/>
      <c r="AJ56" s="115"/>
      <c r="AK56" s="115"/>
      <c r="AL56" s="115"/>
      <c r="AM56" s="115"/>
      <c r="AN56" s="115"/>
      <c r="AO56" s="115"/>
      <c r="AP56" s="115"/>
    </row>
    <row r="57" spans="1:42" ht="27.75" customHeight="1">
      <c r="A57" s="115"/>
      <c r="B57" s="115"/>
      <c r="C57" s="295" t="s">
        <v>496</v>
      </c>
      <c r="D57" s="245" t="s">
        <v>497</v>
      </c>
      <c r="E57" s="115"/>
      <c r="F57" s="138"/>
      <c r="G57" s="138"/>
      <c r="H57" s="115"/>
      <c r="I57" s="115"/>
      <c r="J57" s="115"/>
      <c r="K57" s="115"/>
      <c r="L57" s="115"/>
      <c r="M57" s="115"/>
      <c r="N57" s="115"/>
      <c r="O57" s="115"/>
      <c r="P57" s="115"/>
      <c r="Q57" s="115"/>
      <c r="R57" s="115"/>
      <c r="S57" s="115"/>
      <c r="T57" s="115"/>
      <c r="U57" s="115"/>
      <c r="V57" s="115"/>
      <c r="W57" s="115"/>
      <c r="X57" s="115"/>
      <c r="Y57" s="115"/>
      <c r="Z57" s="115"/>
      <c r="AA57" s="115"/>
      <c r="AB57" s="115"/>
      <c r="AC57" s="115"/>
      <c r="AD57" s="115"/>
      <c r="AE57" s="115"/>
      <c r="AF57" s="115"/>
      <c r="AG57" s="115"/>
      <c r="AH57" s="115"/>
      <c r="AI57" s="115"/>
      <c r="AJ57" s="115"/>
      <c r="AK57" s="115"/>
      <c r="AL57" s="115"/>
      <c r="AM57" s="115"/>
      <c r="AN57" s="115"/>
      <c r="AO57" s="115"/>
      <c r="AP57" s="115"/>
    </row>
    <row r="58" spans="1:42" ht="27.75" customHeight="1">
      <c r="A58" s="115"/>
      <c r="B58" s="115"/>
      <c r="C58" s="295" t="s">
        <v>498</v>
      </c>
      <c r="D58" s="245" t="s">
        <v>499</v>
      </c>
      <c r="E58" s="115"/>
      <c r="F58" s="138"/>
      <c r="G58" s="138"/>
      <c r="H58" s="115"/>
      <c r="I58" s="115"/>
      <c r="J58" s="115"/>
      <c r="K58" s="115"/>
      <c r="L58" s="115"/>
      <c r="M58" s="115"/>
      <c r="N58" s="115"/>
      <c r="O58" s="115"/>
      <c r="P58" s="115"/>
      <c r="Q58" s="115"/>
      <c r="R58" s="115"/>
      <c r="S58" s="115"/>
      <c r="T58" s="115"/>
      <c r="U58" s="115"/>
      <c r="V58" s="115"/>
      <c r="W58" s="115"/>
      <c r="X58" s="115"/>
      <c r="Y58" s="115"/>
      <c r="Z58" s="115"/>
      <c r="AA58" s="115"/>
      <c r="AB58" s="115"/>
      <c r="AC58" s="115"/>
      <c r="AD58" s="115"/>
      <c r="AE58" s="115"/>
      <c r="AF58" s="115"/>
      <c r="AG58" s="115"/>
      <c r="AH58" s="115"/>
      <c r="AI58" s="115"/>
      <c r="AJ58" s="115"/>
      <c r="AK58" s="115"/>
      <c r="AL58" s="115"/>
      <c r="AM58" s="115"/>
      <c r="AN58" s="115"/>
      <c r="AO58" s="115"/>
      <c r="AP58" s="115"/>
    </row>
    <row r="59" spans="1:42" ht="27.75" customHeight="1">
      <c r="A59" s="115"/>
      <c r="B59" s="115"/>
      <c r="C59" s="295" t="s">
        <v>500</v>
      </c>
      <c r="D59" s="245" t="s">
        <v>501</v>
      </c>
      <c r="E59" s="115"/>
      <c r="F59" s="138"/>
      <c r="G59" s="138"/>
      <c r="H59" s="115"/>
      <c r="I59" s="115"/>
      <c r="J59" s="115"/>
      <c r="K59" s="115"/>
      <c r="L59" s="115"/>
      <c r="M59" s="115"/>
      <c r="N59" s="115"/>
      <c r="O59" s="115"/>
      <c r="P59" s="115"/>
      <c r="Q59" s="115"/>
      <c r="R59" s="115"/>
      <c r="S59" s="115"/>
      <c r="T59" s="115"/>
      <c r="U59" s="115"/>
      <c r="V59" s="115"/>
      <c r="W59" s="115"/>
      <c r="X59" s="115"/>
      <c r="Y59" s="115"/>
      <c r="Z59" s="115"/>
      <c r="AA59" s="115"/>
      <c r="AB59" s="115"/>
      <c r="AC59" s="115"/>
      <c r="AD59" s="115"/>
      <c r="AE59" s="115"/>
      <c r="AF59" s="115"/>
      <c r="AG59" s="115"/>
      <c r="AH59" s="115"/>
      <c r="AI59" s="115"/>
      <c r="AJ59" s="115"/>
      <c r="AK59" s="115"/>
      <c r="AL59" s="115"/>
      <c r="AM59" s="115"/>
      <c r="AN59" s="115"/>
      <c r="AO59" s="115"/>
      <c r="AP59" s="115"/>
    </row>
    <row r="60" spans="1:42" ht="27.75" customHeight="1">
      <c r="A60" s="115"/>
      <c r="B60" s="115"/>
      <c r="C60" s="295" t="s">
        <v>502</v>
      </c>
      <c r="D60" s="245" t="s">
        <v>503</v>
      </c>
      <c r="E60" s="115"/>
      <c r="F60" s="138"/>
      <c r="G60" s="138"/>
      <c r="H60" s="115"/>
      <c r="I60" s="115"/>
      <c r="J60" s="115"/>
      <c r="K60" s="115"/>
      <c r="L60" s="115"/>
      <c r="M60" s="115"/>
      <c r="N60" s="115"/>
      <c r="O60" s="115"/>
      <c r="P60" s="115"/>
      <c r="Q60" s="115"/>
      <c r="R60" s="115"/>
      <c r="S60" s="115"/>
      <c r="T60" s="115"/>
      <c r="U60" s="115"/>
      <c r="V60" s="115"/>
      <c r="W60" s="115"/>
      <c r="X60" s="115"/>
      <c r="Y60" s="115"/>
      <c r="Z60" s="115"/>
      <c r="AA60" s="115"/>
      <c r="AB60" s="115"/>
      <c r="AC60" s="115"/>
      <c r="AD60" s="115"/>
      <c r="AE60" s="115"/>
      <c r="AF60" s="115"/>
      <c r="AG60" s="115"/>
      <c r="AH60" s="115"/>
      <c r="AI60" s="115"/>
      <c r="AJ60" s="115"/>
      <c r="AK60" s="115"/>
      <c r="AL60" s="115"/>
      <c r="AM60" s="115"/>
      <c r="AN60" s="115"/>
      <c r="AO60" s="115"/>
      <c r="AP60" s="115"/>
    </row>
    <row r="61" spans="1:42" ht="27.75" customHeight="1">
      <c r="A61" s="115"/>
      <c r="B61" s="115"/>
      <c r="C61" s="295" t="s">
        <v>504</v>
      </c>
      <c r="D61" s="245" t="s">
        <v>505</v>
      </c>
      <c r="E61" s="115"/>
      <c r="F61" s="138"/>
      <c r="G61" s="138"/>
      <c r="H61" s="115"/>
      <c r="I61" s="115"/>
      <c r="J61" s="115"/>
      <c r="K61" s="115"/>
      <c r="L61" s="115"/>
      <c r="M61" s="115"/>
      <c r="N61" s="115"/>
      <c r="O61" s="115"/>
      <c r="P61" s="115"/>
      <c r="Q61" s="115"/>
      <c r="R61" s="115"/>
      <c r="S61" s="115"/>
      <c r="T61" s="115"/>
      <c r="U61" s="115"/>
      <c r="V61" s="115"/>
      <c r="W61" s="115"/>
      <c r="X61" s="115"/>
      <c r="Y61" s="115"/>
      <c r="Z61" s="115"/>
      <c r="AA61" s="115"/>
      <c r="AB61" s="115"/>
      <c r="AC61" s="115"/>
      <c r="AD61" s="115"/>
      <c r="AE61" s="115"/>
      <c r="AF61" s="115"/>
      <c r="AG61" s="115"/>
      <c r="AH61" s="115"/>
      <c r="AI61" s="115"/>
      <c r="AJ61" s="115"/>
      <c r="AK61" s="115"/>
      <c r="AL61" s="115"/>
      <c r="AM61" s="115"/>
      <c r="AN61" s="115"/>
      <c r="AO61" s="115"/>
      <c r="AP61" s="115"/>
    </row>
    <row r="62" spans="1:42" ht="27.75" customHeight="1">
      <c r="A62" s="115"/>
      <c r="B62" s="115"/>
      <c r="C62" s="295" t="s">
        <v>506</v>
      </c>
      <c r="D62" s="245" t="s">
        <v>507</v>
      </c>
      <c r="E62" s="115"/>
      <c r="F62" s="138"/>
      <c r="G62" s="138"/>
      <c r="H62" s="115"/>
      <c r="I62" s="115"/>
      <c r="J62" s="115"/>
      <c r="K62" s="115"/>
      <c r="L62" s="115"/>
      <c r="M62" s="115"/>
      <c r="N62" s="115"/>
      <c r="O62" s="115"/>
      <c r="P62" s="115"/>
      <c r="Q62" s="115"/>
      <c r="R62" s="115"/>
      <c r="S62" s="115"/>
      <c r="T62" s="115"/>
      <c r="U62" s="115"/>
      <c r="V62" s="115"/>
      <c r="W62" s="115"/>
      <c r="X62" s="115"/>
      <c r="Y62" s="115"/>
      <c r="Z62" s="115"/>
      <c r="AA62" s="115"/>
      <c r="AB62" s="115"/>
      <c r="AC62" s="115"/>
      <c r="AD62" s="115"/>
      <c r="AE62" s="115"/>
      <c r="AF62" s="115"/>
      <c r="AG62" s="115"/>
      <c r="AH62" s="115"/>
      <c r="AI62" s="115"/>
      <c r="AJ62" s="115"/>
      <c r="AK62" s="115"/>
      <c r="AL62" s="115"/>
      <c r="AM62" s="115"/>
      <c r="AN62" s="115"/>
      <c r="AO62" s="115"/>
      <c r="AP62" s="115"/>
    </row>
    <row r="63" spans="1:42" ht="27.75" customHeight="1">
      <c r="A63" s="115"/>
      <c r="B63" s="115"/>
      <c r="C63" s="295" t="s">
        <v>508</v>
      </c>
      <c r="D63" s="245" t="s">
        <v>509</v>
      </c>
      <c r="E63" s="115"/>
      <c r="F63" s="138"/>
      <c r="G63" s="138"/>
      <c r="H63" s="115"/>
      <c r="I63" s="115"/>
      <c r="J63" s="115"/>
      <c r="K63" s="115"/>
      <c r="L63" s="115"/>
      <c r="M63" s="115"/>
      <c r="N63" s="115"/>
      <c r="O63" s="115"/>
      <c r="P63" s="115"/>
      <c r="Q63" s="115"/>
      <c r="R63" s="115"/>
      <c r="S63" s="115"/>
      <c r="T63" s="115"/>
      <c r="U63" s="115"/>
      <c r="V63" s="115"/>
      <c r="W63" s="115"/>
      <c r="X63" s="115"/>
      <c r="Y63" s="115"/>
      <c r="Z63" s="115"/>
      <c r="AA63" s="115"/>
      <c r="AB63" s="115"/>
      <c r="AC63" s="115"/>
      <c r="AD63" s="115"/>
      <c r="AE63" s="115"/>
      <c r="AF63" s="115"/>
      <c r="AG63" s="115"/>
      <c r="AH63" s="115"/>
      <c r="AI63" s="115"/>
      <c r="AJ63" s="115"/>
      <c r="AK63" s="115"/>
      <c r="AL63" s="115"/>
      <c r="AM63" s="115"/>
      <c r="AN63" s="115"/>
      <c r="AO63" s="115"/>
      <c r="AP63" s="115"/>
    </row>
    <row r="64" spans="1:42" ht="27.75" customHeight="1">
      <c r="A64" s="115"/>
      <c r="B64" s="115"/>
      <c r="C64" s="295" t="s">
        <v>510</v>
      </c>
      <c r="D64" s="245"/>
      <c r="E64" s="115"/>
      <c r="F64" s="138"/>
      <c r="G64" s="138"/>
      <c r="H64" s="115"/>
      <c r="I64" s="115"/>
      <c r="J64" s="115"/>
      <c r="K64" s="115"/>
      <c r="L64" s="115"/>
      <c r="M64" s="115"/>
      <c r="N64" s="115"/>
      <c r="O64" s="115"/>
      <c r="P64" s="115"/>
      <c r="Q64" s="115"/>
      <c r="R64" s="115"/>
      <c r="S64" s="115"/>
      <c r="T64" s="115"/>
      <c r="U64" s="115"/>
      <c r="V64" s="115"/>
      <c r="W64" s="115"/>
      <c r="X64" s="115"/>
      <c r="Y64" s="115"/>
      <c r="Z64" s="115"/>
      <c r="AA64" s="115"/>
      <c r="AB64" s="115"/>
      <c r="AC64" s="115"/>
      <c r="AD64" s="115"/>
      <c r="AE64" s="115"/>
      <c r="AF64" s="115"/>
      <c r="AG64" s="115"/>
      <c r="AH64" s="115"/>
      <c r="AI64" s="115"/>
      <c r="AJ64" s="115"/>
      <c r="AK64" s="115"/>
      <c r="AL64" s="115"/>
      <c r="AM64" s="115"/>
      <c r="AN64" s="115"/>
      <c r="AO64" s="115"/>
      <c r="AP64" s="115"/>
    </row>
    <row r="65" spans="1:42" ht="27.75" customHeight="1">
      <c r="A65" s="115"/>
      <c r="B65" s="115"/>
      <c r="C65" s="295" t="s">
        <v>511</v>
      </c>
      <c r="D65" s="245"/>
      <c r="E65" s="115"/>
      <c r="F65" s="138"/>
      <c r="G65" s="138"/>
      <c r="H65" s="115"/>
      <c r="I65" s="115"/>
      <c r="J65" s="115"/>
      <c r="K65" s="115"/>
      <c r="L65" s="115"/>
      <c r="M65" s="115"/>
      <c r="N65" s="115"/>
      <c r="O65" s="115"/>
      <c r="P65" s="115"/>
      <c r="Q65" s="115"/>
      <c r="R65" s="115"/>
      <c r="S65" s="115"/>
      <c r="T65" s="115"/>
      <c r="U65" s="115"/>
      <c r="V65" s="115"/>
      <c r="W65" s="115"/>
      <c r="X65" s="115"/>
      <c r="Y65" s="115"/>
      <c r="Z65" s="115"/>
      <c r="AA65" s="115"/>
      <c r="AB65" s="115"/>
      <c r="AC65" s="115"/>
      <c r="AD65" s="115"/>
      <c r="AE65" s="115"/>
      <c r="AF65" s="115"/>
      <c r="AG65" s="115"/>
      <c r="AH65" s="115"/>
      <c r="AI65" s="115"/>
      <c r="AJ65" s="115"/>
      <c r="AK65" s="115"/>
      <c r="AL65" s="115"/>
      <c r="AM65" s="115"/>
      <c r="AN65" s="115"/>
      <c r="AO65" s="115"/>
      <c r="AP65" s="115"/>
    </row>
    <row r="66" spans="1:42" ht="27.75" customHeight="1">
      <c r="A66" s="115"/>
      <c r="B66" s="115"/>
      <c r="C66" s="295" t="s">
        <v>512</v>
      </c>
      <c r="D66" s="245"/>
      <c r="E66" s="115"/>
      <c r="F66" s="138"/>
      <c r="G66" s="138"/>
      <c r="H66" s="115"/>
      <c r="I66" s="115"/>
      <c r="J66" s="115"/>
      <c r="K66" s="115"/>
      <c r="L66" s="115"/>
      <c r="M66" s="115"/>
      <c r="N66" s="115"/>
      <c r="O66" s="115"/>
      <c r="P66" s="115"/>
      <c r="Q66" s="115"/>
      <c r="R66" s="115"/>
      <c r="S66" s="115"/>
      <c r="T66" s="115"/>
      <c r="U66" s="115"/>
      <c r="V66" s="115"/>
      <c r="W66" s="115"/>
      <c r="X66" s="115"/>
      <c r="Y66" s="115"/>
      <c r="Z66" s="115"/>
      <c r="AA66" s="115"/>
      <c r="AB66" s="115"/>
      <c r="AC66" s="115"/>
      <c r="AD66" s="115"/>
      <c r="AE66" s="115"/>
      <c r="AF66" s="115"/>
      <c r="AG66" s="115"/>
      <c r="AH66" s="115"/>
      <c r="AI66" s="115"/>
      <c r="AJ66" s="115"/>
      <c r="AK66" s="115"/>
      <c r="AL66" s="115"/>
      <c r="AM66" s="115"/>
      <c r="AN66" s="115"/>
      <c r="AO66" s="115"/>
      <c r="AP66" s="115"/>
    </row>
    <row r="67" spans="1:42" ht="27.75" customHeight="1">
      <c r="A67" s="115"/>
      <c r="B67" s="115"/>
      <c r="C67" s="295" t="s">
        <v>513</v>
      </c>
      <c r="D67" s="245"/>
      <c r="E67" s="115"/>
      <c r="F67" s="138"/>
      <c r="G67" s="138"/>
      <c r="H67" s="115"/>
      <c r="I67" s="115"/>
      <c r="J67" s="115"/>
      <c r="K67" s="115"/>
      <c r="L67" s="115"/>
      <c r="M67" s="115"/>
      <c r="N67" s="115"/>
      <c r="O67" s="115"/>
      <c r="P67" s="115"/>
      <c r="Q67" s="115"/>
      <c r="R67" s="115"/>
      <c r="S67" s="115"/>
      <c r="T67" s="115"/>
      <c r="U67" s="115"/>
      <c r="V67" s="115"/>
      <c r="W67" s="115"/>
      <c r="X67" s="115"/>
      <c r="Y67" s="115"/>
      <c r="Z67" s="115"/>
      <c r="AA67" s="115"/>
      <c r="AB67" s="115"/>
      <c r="AC67" s="115"/>
      <c r="AD67" s="115"/>
      <c r="AE67" s="115"/>
      <c r="AF67" s="115"/>
      <c r="AG67" s="115"/>
      <c r="AH67" s="115"/>
      <c r="AI67" s="115"/>
      <c r="AJ67" s="115"/>
      <c r="AK67" s="115"/>
      <c r="AL67" s="115"/>
      <c r="AM67" s="115"/>
      <c r="AN67" s="115"/>
      <c r="AO67" s="115"/>
      <c r="AP67" s="115"/>
    </row>
    <row r="68" spans="1:42" ht="27.75" customHeight="1">
      <c r="A68" s="115"/>
      <c r="B68" s="115"/>
      <c r="C68" s="295" t="s">
        <v>514</v>
      </c>
      <c r="D68" s="245"/>
      <c r="E68" s="115"/>
      <c r="F68" s="138"/>
      <c r="G68" s="138"/>
      <c r="H68" s="115"/>
      <c r="I68" s="115"/>
      <c r="J68" s="115"/>
      <c r="K68" s="115"/>
      <c r="L68" s="115"/>
      <c r="M68" s="115"/>
      <c r="N68" s="115"/>
      <c r="O68" s="115"/>
      <c r="P68" s="115"/>
      <c r="Q68" s="115"/>
      <c r="R68" s="115"/>
      <c r="S68" s="115"/>
      <c r="T68" s="115"/>
      <c r="U68" s="115"/>
      <c r="V68" s="115"/>
      <c r="W68" s="115"/>
      <c r="X68" s="115"/>
      <c r="Y68" s="115"/>
      <c r="Z68" s="115"/>
      <c r="AA68" s="115"/>
      <c r="AB68" s="115"/>
      <c r="AC68" s="115"/>
      <c r="AD68" s="115"/>
      <c r="AE68" s="115"/>
      <c r="AF68" s="115"/>
      <c r="AG68" s="115"/>
      <c r="AH68" s="115"/>
      <c r="AI68" s="115"/>
      <c r="AJ68" s="115"/>
      <c r="AK68" s="115"/>
      <c r="AL68" s="115"/>
      <c r="AM68" s="115"/>
      <c r="AN68" s="115"/>
      <c r="AO68" s="115"/>
      <c r="AP68" s="115"/>
    </row>
    <row r="69" spans="1:42" ht="27.75" customHeight="1">
      <c r="A69" s="115"/>
      <c r="B69" s="115"/>
      <c r="C69" s="295" t="s">
        <v>515</v>
      </c>
      <c r="D69" s="245"/>
      <c r="E69" s="115"/>
      <c r="F69" s="138"/>
      <c r="G69" s="138"/>
      <c r="H69" s="115"/>
      <c r="I69" s="115"/>
      <c r="J69" s="115"/>
      <c r="K69" s="115"/>
      <c r="L69" s="115"/>
      <c r="M69" s="115"/>
      <c r="N69" s="115"/>
      <c r="O69" s="115"/>
      <c r="P69" s="115"/>
      <c r="Q69" s="115"/>
      <c r="R69" s="115"/>
      <c r="S69" s="115"/>
      <c r="T69" s="115"/>
      <c r="U69" s="115"/>
      <c r="V69" s="115"/>
      <c r="W69" s="115"/>
      <c r="X69" s="115"/>
      <c r="Y69" s="115"/>
      <c r="Z69" s="115"/>
      <c r="AA69" s="115"/>
      <c r="AB69" s="115"/>
      <c r="AC69" s="115"/>
      <c r="AD69" s="115"/>
      <c r="AE69" s="115"/>
      <c r="AF69" s="115"/>
      <c r="AG69" s="115"/>
      <c r="AH69" s="115"/>
      <c r="AI69" s="115"/>
      <c r="AJ69" s="115"/>
      <c r="AK69" s="115"/>
      <c r="AL69" s="115"/>
      <c r="AM69" s="115"/>
      <c r="AN69" s="115"/>
      <c r="AO69" s="115"/>
      <c r="AP69" s="115"/>
    </row>
    <row r="70" spans="1:42" ht="27.75" customHeight="1">
      <c r="A70" s="115"/>
      <c r="B70" s="115"/>
      <c r="C70" s="295" t="s">
        <v>516</v>
      </c>
      <c r="D70" s="245"/>
      <c r="E70" s="115"/>
      <c r="F70" s="138"/>
      <c r="G70" s="138"/>
      <c r="H70" s="115"/>
      <c r="I70" s="115"/>
      <c r="J70" s="115"/>
      <c r="K70" s="115"/>
      <c r="L70" s="115"/>
      <c r="M70" s="115"/>
      <c r="N70" s="115"/>
      <c r="O70" s="115"/>
      <c r="P70" s="115"/>
      <c r="Q70" s="115"/>
      <c r="R70" s="115"/>
      <c r="S70" s="115"/>
      <c r="T70" s="115"/>
      <c r="U70" s="115"/>
      <c r="V70" s="115"/>
      <c r="W70" s="115"/>
      <c r="X70" s="115"/>
      <c r="Y70" s="115"/>
      <c r="Z70" s="115"/>
      <c r="AA70" s="115"/>
      <c r="AB70" s="115"/>
      <c r="AC70" s="115"/>
      <c r="AD70" s="115"/>
      <c r="AE70" s="115"/>
      <c r="AF70" s="115"/>
      <c r="AG70" s="115"/>
      <c r="AH70" s="115"/>
      <c r="AI70" s="115"/>
      <c r="AJ70" s="115"/>
      <c r="AK70" s="115"/>
      <c r="AL70" s="115"/>
      <c r="AM70" s="115"/>
      <c r="AN70" s="115"/>
      <c r="AO70" s="115"/>
      <c r="AP70" s="115"/>
    </row>
    <row r="71" spans="1:42" ht="27.75" customHeight="1">
      <c r="A71" s="115"/>
      <c r="B71" s="115"/>
      <c r="C71" s="295" t="s">
        <v>517</v>
      </c>
      <c r="D71" s="245"/>
      <c r="E71" s="115"/>
      <c r="F71" s="138"/>
      <c r="G71" s="138"/>
      <c r="H71" s="115"/>
      <c r="I71" s="115"/>
      <c r="J71" s="115"/>
      <c r="K71" s="115"/>
      <c r="L71" s="115"/>
      <c r="M71" s="115"/>
      <c r="N71" s="115"/>
      <c r="O71" s="115"/>
      <c r="P71" s="115"/>
      <c r="Q71" s="115"/>
      <c r="R71" s="115"/>
      <c r="S71" s="115"/>
      <c r="T71" s="115"/>
      <c r="U71" s="115"/>
      <c r="V71" s="115"/>
      <c r="W71" s="115"/>
      <c r="X71" s="115"/>
      <c r="Y71" s="115"/>
      <c r="Z71" s="115"/>
      <c r="AA71" s="115"/>
      <c r="AB71" s="115"/>
      <c r="AC71" s="115"/>
      <c r="AD71" s="115"/>
      <c r="AE71" s="115"/>
      <c r="AF71" s="115"/>
      <c r="AG71" s="115"/>
      <c r="AH71" s="115"/>
      <c r="AI71" s="115"/>
      <c r="AJ71" s="115"/>
      <c r="AK71" s="115"/>
      <c r="AL71" s="115"/>
      <c r="AM71" s="115"/>
      <c r="AN71" s="115"/>
      <c r="AO71" s="115"/>
      <c r="AP71" s="115"/>
    </row>
    <row r="72" spans="1:42" ht="27.75" customHeight="1">
      <c r="A72" s="115"/>
      <c r="B72" s="115"/>
      <c r="C72" s="295" t="s">
        <v>518</v>
      </c>
      <c r="D72" s="245"/>
      <c r="E72" s="115"/>
      <c r="F72" s="138"/>
      <c r="G72" s="138"/>
      <c r="H72" s="115"/>
      <c r="I72" s="115"/>
      <c r="J72" s="115"/>
      <c r="K72" s="115"/>
      <c r="L72" s="115"/>
      <c r="M72" s="115"/>
      <c r="N72" s="115"/>
      <c r="O72" s="115"/>
      <c r="P72" s="115"/>
      <c r="Q72" s="115"/>
      <c r="R72" s="115"/>
      <c r="S72" s="115"/>
      <c r="T72" s="115"/>
      <c r="U72" s="115"/>
      <c r="V72" s="115"/>
      <c r="W72" s="115"/>
      <c r="X72" s="115"/>
      <c r="Y72" s="115"/>
      <c r="Z72" s="115"/>
      <c r="AA72" s="115"/>
      <c r="AB72" s="115"/>
      <c r="AC72" s="115"/>
      <c r="AD72" s="115"/>
      <c r="AE72" s="115"/>
      <c r="AF72" s="115"/>
      <c r="AG72" s="115"/>
      <c r="AH72" s="115"/>
      <c r="AI72" s="115"/>
      <c r="AJ72" s="115"/>
      <c r="AK72" s="115"/>
      <c r="AL72" s="115"/>
      <c r="AM72" s="115"/>
      <c r="AN72" s="115"/>
      <c r="AO72" s="115"/>
      <c r="AP72" s="115"/>
    </row>
    <row r="73" spans="1:42" ht="27.75" customHeight="1">
      <c r="A73" s="115"/>
      <c r="B73" s="115"/>
      <c r="C73" s="295" t="s">
        <v>519</v>
      </c>
      <c r="D73" s="245"/>
      <c r="E73" s="115"/>
      <c r="F73" s="138"/>
      <c r="G73" s="138"/>
      <c r="H73" s="115"/>
      <c r="I73" s="115"/>
      <c r="J73" s="115"/>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5"/>
      <c r="AO73" s="115"/>
      <c r="AP73" s="115"/>
    </row>
    <row r="74" spans="1:42" ht="27.75" customHeight="1">
      <c r="A74" s="115"/>
      <c r="B74" s="115"/>
      <c r="C74" s="295" t="s">
        <v>520</v>
      </c>
      <c r="D74" s="245"/>
      <c r="E74" s="115"/>
      <c r="F74" s="138"/>
      <c r="G74" s="138"/>
      <c r="H74" s="115"/>
      <c r="I74" s="115"/>
      <c r="J74" s="115"/>
      <c r="K74" s="115"/>
      <c r="L74" s="115"/>
      <c r="M74" s="115"/>
      <c r="N74" s="115"/>
      <c r="O74" s="115"/>
      <c r="P74" s="115"/>
      <c r="Q74" s="115"/>
      <c r="R74" s="115"/>
      <c r="S74" s="115"/>
      <c r="T74" s="115"/>
      <c r="U74" s="115"/>
      <c r="V74" s="115"/>
      <c r="W74" s="115"/>
      <c r="X74" s="115"/>
      <c r="Y74" s="115"/>
      <c r="Z74" s="115"/>
      <c r="AA74" s="115"/>
      <c r="AB74" s="115"/>
      <c r="AC74" s="115"/>
      <c r="AD74" s="115"/>
      <c r="AE74" s="115"/>
      <c r="AF74" s="115"/>
      <c r="AG74" s="115"/>
      <c r="AH74" s="115"/>
      <c r="AI74" s="115"/>
      <c r="AJ74" s="115"/>
      <c r="AK74" s="115"/>
      <c r="AL74" s="115"/>
      <c r="AM74" s="115"/>
      <c r="AN74" s="115"/>
      <c r="AO74" s="115"/>
      <c r="AP74" s="115"/>
    </row>
    <row r="75" spans="1:42" ht="27.75" customHeight="1">
      <c r="A75" s="115"/>
      <c r="B75" s="115"/>
      <c r="C75" s="295" t="s">
        <v>521</v>
      </c>
      <c r="D75" s="245"/>
      <c r="E75" s="115"/>
      <c r="F75" s="138"/>
      <c r="G75" s="138"/>
      <c r="H75" s="115"/>
      <c r="I75" s="115"/>
      <c r="J75" s="115"/>
      <c r="K75" s="115"/>
      <c r="L75" s="115"/>
      <c r="M75" s="115"/>
      <c r="N75" s="115"/>
      <c r="O75" s="115"/>
      <c r="P75" s="115"/>
      <c r="Q75" s="115"/>
      <c r="R75" s="115"/>
      <c r="S75" s="115"/>
      <c r="T75" s="115"/>
      <c r="U75" s="115"/>
      <c r="V75" s="115"/>
      <c r="W75" s="115"/>
      <c r="X75" s="115"/>
      <c r="Y75" s="115"/>
      <c r="Z75" s="115"/>
      <c r="AA75" s="115"/>
      <c r="AB75" s="115"/>
      <c r="AC75" s="115"/>
      <c r="AD75" s="115"/>
      <c r="AE75" s="115"/>
      <c r="AF75" s="115"/>
      <c r="AG75" s="115"/>
      <c r="AH75" s="115"/>
      <c r="AI75" s="115"/>
      <c r="AJ75" s="115"/>
      <c r="AK75" s="115"/>
      <c r="AL75" s="115"/>
      <c r="AM75" s="115"/>
      <c r="AN75" s="115"/>
      <c r="AO75" s="115"/>
      <c r="AP75" s="115"/>
    </row>
    <row r="76" spans="1:42" ht="27.75" customHeight="1">
      <c r="A76" s="115"/>
      <c r="B76" s="115"/>
      <c r="C76" s="295" t="s">
        <v>522</v>
      </c>
      <c r="D76" s="245"/>
      <c r="E76" s="115"/>
      <c r="F76" s="138"/>
      <c r="G76" s="138"/>
      <c r="H76" s="115"/>
      <c r="I76" s="115"/>
      <c r="J76" s="115"/>
      <c r="K76" s="115"/>
      <c r="L76" s="115"/>
      <c r="M76" s="115"/>
      <c r="N76" s="115"/>
      <c r="O76" s="115"/>
      <c r="P76" s="115"/>
      <c r="Q76" s="115"/>
      <c r="R76" s="115"/>
      <c r="S76" s="115"/>
      <c r="T76" s="115"/>
      <c r="U76" s="115"/>
      <c r="V76" s="115"/>
      <c r="W76" s="115"/>
      <c r="X76" s="115"/>
      <c r="Y76" s="115"/>
      <c r="Z76" s="115"/>
      <c r="AA76" s="115"/>
      <c r="AB76" s="115"/>
      <c r="AC76" s="115"/>
      <c r="AD76" s="115"/>
      <c r="AE76" s="115"/>
      <c r="AF76" s="115"/>
      <c r="AG76" s="115"/>
      <c r="AH76" s="115"/>
      <c r="AI76" s="115"/>
      <c r="AJ76" s="115"/>
      <c r="AK76" s="115"/>
      <c r="AL76" s="115"/>
      <c r="AM76" s="115"/>
      <c r="AN76" s="115"/>
      <c r="AO76" s="115"/>
      <c r="AP76" s="115"/>
    </row>
    <row r="77" spans="1:42" ht="27.75" customHeight="1">
      <c r="A77" s="115"/>
      <c r="B77" s="115"/>
      <c r="C77" s="295" t="s">
        <v>523</v>
      </c>
      <c r="D77" s="245"/>
      <c r="E77" s="115"/>
      <c r="F77" s="138"/>
      <c r="G77" s="138"/>
      <c r="H77" s="115"/>
      <c r="I77" s="115"/>
      <c r="J77" s="115"/>
      <c r="K77" s="115"/>
      <c r="L77" s="115"/>
      <c r="M77" s="115"/>
      <c r="N77" s="115"/>
      <c r="O77" s="115"/>
      <c r="P77" s="115"/>
      <c r="Q77" s="115"/>
      <c r="R77" s="115"/>
      <c r="S77" s="115"/>
      <c r="T77" s="115"/>
      <c r="U77" s="115"/>
      <c r="V77" s="115"/>
      <c r="W77" s="115"/>
      <c r="X77" s="115"/>
      <c r="Y77" s="115"/>
      <c r="Z77" s="115"/>
      <c r="AA77" s="115"/>
      <c r="AB77" s="115"/>
      <c r="AC77" s="115"/>
      <c r="AD77" s="115"/>
      <c r="AE77" s="115"/>
      <c r="AF77" s="115"/>
      <c r="AG77" s="115"/>
      <c r="AH77" s="115"/>
      <c r="AI77" s="115"/>
      <c r="AJ77" s="115"/>
      <c r="AK77" s="115"/>
      <c r="AL77" s="115"/>
      <c r="AM77" s="115"/>
      <c r="AN77" s="115"/>
      <c r="AO77" s="115"/>
      <c r="AP77" s="115"/>
    </row>
    <row r="78" spans="1:42" ht="27.75" customHeight="1">
      <c r="A78" s="115"/>
      <c r="B78" s="115"/>
      <c r="C78" s="295" t="s">
        <v>524</v>
      </c>
      <c r="D78" s="245"/>
      <c r="E78" s="115"/>
      <c r="F78" s="138"/>
      <c r="G78" s="138"/>
      <c r="H78" s="115"/>
      <c r="I78" s="115"/>
      <c r="J78" s="115"/>
      <c r="K78" s="115"/>
      <c r="L78" s="115"/>
      <c r="M78" s="115"/>
      <c r="N78" s="115"/>
      <c r="O78" s="115"/>
      <c r="P78" s="115"/>
      <c r="Q78" s="115"/>
      <c r="R78" s="115"/>
      <c r="S78" s="115"/>
      <c r="T78" s="115"/>
      <c r="U78" s="115"/>
      <c r="V78" s="115"/>
      <c r="W78" s="115"/>
      <c r="X78" s="115"/>
      <c r="Y78" s="115"/>
      <c r="Z78" s="115"/>
      <c r="AA78" s="115"/>
      <c r="AB78" s="115"/>
      <c r="AC78" s="115"/>
      <c r="AD78" s="115"/>
      <c r="AE78" s="115"/>
      <c r="AF78" s="115"/>
      <c r="AG78" s="115"/>
      <c r="AH78" s="115"/>
      <c r="AI78" s="115"/>
      <c r="AJ78" s="115"/>
      <c r="AK78" s="115"/>
      <c r="AL78" s="115"/>
      <c r="AM78" s="115"/>
      <c r="AN78" s="115"/>
      <c r="AO78" s="115"/>
      <c r="AP78" s="115"/>
    </row>
    <row r="79" spans="1:42" ht="27.75" customHeight="1">
      <c r="A79" s="115"/>
      <c r="B79" s="115"/>
      <c r="C79" s="295" t="s">
        <v>525</v>
      </c>
      <c r="D79" s="245"/>
      <c r="E79" s="115"/>
      <c r="F79" s="138"/>
      <c r="G79" s="138"/>
      <c r="H79" s="115"/>
      <c r="I79" s="115"/>
      <c r="J79" s="115"/>
      <c r="K79" s="115"/>
      <c r="L79" s="115"/>
      <c r="M79" s="115"/>
      <c r="N79" s="115"/>
      <c r="O79" s="115"/>
      <c r="P79" s="115"/>
      <c r="Q79" s="115"/>
      <c r="R79" s="115"/>
      <c r="S79" s="115"/>
      <c r="T79" s="115"/>
      <c r="U79" s="115"/>
      <c r="V79" s="115"/>
      <c r="W79" s="115"/>
      <c r="X79" s="115"/>
      <c r="Y79" s="115"/>
      <c r="Z79" s="115"/>
      <c r="AA79" s="115"/>
      <c r="AB79" s="115"/>
      <c r="AC79" s="115"/>
      <c r="AD79" s="115"/>
      <c r="AE79" s="115"/>
      <c r="AF79" s="115"/>
      <c r="AG79" s="115"/>
      <c r="AH79" s="115"/>
      <c r="AI79" s="115"/>
      <c r="AJ79" s="115"/>
      <c r="AK79" s="115"/>
      <c r="AL79" s="115"/>
      <c r="AM79" s="115"/>
      <c r="AN79" s="115"/>
      <c r="AO79" s="115"/>
      <c r="AP79" s="115"/>
    </row>
    <row r="80" spans="1:42" ht="27.75" customHeight="1">
      <c r="A80" s="115"/>
      <c r="B80" s="115"/>
      <c r="C80" s="295" t="s">
        <v>526</v>
      </c>
      <c r="D80" s="245"/>
      <c r="E80" s="115"/>
      <c r="F80" s="138"/>
      <c r="G80" s="138"/>
      <c r="H80" s="115"/>
      <c r="I80" s="115"/>
      <c r="J80" s="115"/>
      <c r="K80" s="115"/>
      <c r="L80" s="115"/>
      <c r="M80" s="115"/>
      <c r="N80" s="115"/>
      <c r="O80" s="115"/>
      <c r="P80" s="115"/>
      <c r="Q80" s="115"/>
      <c r="R80" s="115"/>
      <c r="S80" s="115"/>
      <c r="T80" s="115"/>
      <c r="U80" s="115"/>
      <c r="V80" s="115"/>
      <c r="W80" s="115"/>
      <c r="X80" s="115"/>
      <c r="Y80" s="115"/>
      <c r="Z80" s="115"/>
      <c r="AA80" s="115"/>
      <c r="AB80" s="115"/>
      <c r="AC80" s="115"/>
      <c r="AD80" s="115"/>
      <c r="AE80" s="115"/>
      <c r="AF80" s="115"/>
      <c r="AG80" s="115"/>
      <c r="AH80" s="115"/>
      <c r="AI80" s="115"/>
      <c r="AJ80" s="115"/>
      <c r="AK80" s="115"/>
      <c r="AL80" s="115"/>
      <c r="AM80" s="115"/>
      <c r="AN80" s="115"/>
      <c r="AO80" s="115"/>
      <c r="AP80" s="115"/>
    </row>
    <row r="81" spans="1:42" ht="27.75" customHeight="1">
      <c r="A81" s="115"/>
      <c r="B81" s="115"/>
      <c r="C81" s="295" t="s">
        <v>527</v>
      </c>
      <c r="D81" s="245"/>
      <c r="E81" s="115"/>
      <c r="F81" s="138"/>
      <c r="G81" s="138"/>
      <c r="H81" s="115"/>
      <c r="I81" s="115"/>
      <c r="J81" s="115"/>
      <c r="K81" s="115"/>
      <c r="L81" s="115"/>
      <c r="M81" s="115"/>
      <c r="N81" s="115"/>
      <c r="O81" s="115"/>
      <c r="P81" s="115"/>
      <c r="Q81" s="115"/>
      <c r="R81" s="115"/>
      <c r="S81" s="115"/>
      <c r="T81" s="115"/>
      <c r="U81" s="115"/>
      <c r="V81" s="115"/>
      <c r="W81" s="115"/>
      <c r="X81" s="115"/>
      <c r="Y81" s="115"/>
      <c r="Z81" s="115"/>
      <c r="AA81" s="115"/>
      <c r="AB81" s="115"/>
      <c r="AC81" s="115"/>
      <c r="AD81" s="115"/>
      <c r="AE81" s="115"/>
      <c r="AF81" s="115"/>
      <c r="AG81" s="115"/>
      <c r="AH81" s="115"/>
      <c r="AI81" s="115"/>
      <c r="AJ81" s="115"/>
      <c r="AK81" s="115"/>
      <c r="AL81" s="115"/>
      <c r="AM81" s="115"/>
      <c r="AN81" s="115"/>
      <c r="AO81" s="115"/>
      <c r="AP81" s="115"/>
    </row>
    <row r="82" spans="1:42" ht="27.75" customHeight="1">
      <c r="A82" s="115"/>
      <c r="B82" s="115"/>
      <c r="C82" s="295" t="s">
        <v>528</v>
      </c>
      <c r="D82" s="245"/>
      <c r="E82" s="115"/>
      <c r="F82" s="138"/>
      <c r="G82" s="138"/>
      <c r="H82" s="115"/>
      <c r="I82" s="115"/>
      <c r="J82" s="115"/>
      <c r="K82" s="115"/>
      <c r="L82" s="115"/>
      <c r="M82" s="115"/>
      <c r="N82" s="115"/>
      <c r="O82" s="115"/>
      <c r="P82" s="115"/>
      <c r="Q82" s="115"/>
      <c r="R82" s="115"/>
      <c r="S82" s="115"/>
      <c r="T82" s="115"/>
      <c r="U82" s="115"/>
      <c r="V82" s="115"/>
      <c r="W82" s="115"/>
      <c r="X82" s="115"/>
      <c r="Y82" s="115"/>
      <c r="Z82" s="115"/>
      <c r="AA82" s="115"/>
      <c r="AB82" s="115"/>
      <c r="AC82" s="115"/>
      <c r="AD82" s="115"/>
      <c r="AE82" s="115"/>
      <c r="AF82" s="115"/>
      <c r="AG82" s="115"/>
      <c r="AH82" s="115"/>
      <c r="AI82" s="115"/>
      <c r="AJ82" s="115"/>
      <c r="AK82" s="115"/>
      <c r="AL82" s="115"/>
      <c r="AM82" s="115"/>
      <c r="AN82" s="115"/>
      <c r="AO82" s="115"/>
      <c r="AP82" s="115"/>
    </row>
    <row r="83" spans="1:42" ht="27.75" customHeight="1">
      <c r="A83" s="115"/>
      <c r="B83" s="115"/>
      <c r="C83" s="295" t="s">
        <v>529</v>
      </c>
      <c r="D83" s="245"/>
      <c r="E83" s="115"/>
      <c r="F83" s="138"/>
      <c r="G83" s="138"/>
      <c r="H83" s="115"/>
      <c r="I83" s="115"/>
      <c r="J83" s="115"/>
      <c r="K83" s="115"/>
      <c r="L83" s="115"/>
      <c r="M83" s="115"/>
      <c r="N83" s="115"/>
      <c r="O83" s="115"/>
      <c r="P83" s="115"/>
      <c r="Q83" s="115"/>
      <c r="R83" s="115"/>
      <c r="S83" s="115"/>
      <c r="T83" s="115"/>
      <c r="U83" s="115"/>
      <c r="V83" s="115"/>
      <c r="W83" s="115"/>
      <c r="X83" s="115"/>
      <c r="Y83" s="115"/>
      <c r="Z83" s="115"/>
      <c r="AA83" s="115"/>
      <c r="AB83" s="115"/>
      <c r="AC83" s="115"/>
      <c r="AD83" s="115"/>
      <c r="AE83" s="115"/>
      <c r="AF83" s="115"/>
      <c r="AG83" s="115"/>
      <c r="AH83" s="115"/>
      <c r="AI83" s="115"/>
      <c r="AJ83" s="115"/>
      <c r="AK83" s="115"/>
      <c r="AL83" s="115"/>
      <c r="AM83" s="115"/>
      <c r="AN83" s="115"/>
      <c r="AO83" s="115"/>
      <c r="AP83" s="115"/>
    </row>
    <row r="84" spans="1:42" ht="27.75" customHeight="1">
      <c r="A84" s="115"/>
      <c r="B84" s="115"/>
      <c r="C84" s="295" t="s">
        <v>530</v>
      </c>
      <c r="D84" s="245"/>
      <c r="E84" s="115"/>
      <c r="F84" s="138"/>
      <c r="G84" s="138"/>
      <c r="H84" s="115"/>
      <c r="I84" s="115"/>
      <c r="J84" s="115"/>
      <c r="K84" s="115"/>
      <c r="L84" s="115"/>
      <c r="M84" s="115"/>
      <c r="N84" s="115"/>
      <c r="O84" s="115"/>
      <c r="P84" s="115"/>
      <c r="Q84" s="115"/>
      <c r="R84" s="115"/>
      <c r="S84" s="115"/>
      <c r="T84" s="115"/>
      <c r="U84" s="115"/>
      <c r="V84" s="115"/>
      <c r="W84" s="115"/>
      <c r="X84" s="115"/>
      <c r="Y84" s="115"/>
      <c r="Z84" s="115"/>
      <c r="AA84" s="115"/>
      <c r="AB84" s="115"/>
      <c r="AC84" s="115"/>
      <c r="AD84" s="115"/>
      <c r="AE84" s="115"/>
      <c r="AF84" s="115"/>
      <c r="AG84" s="115"/>
      <c r="AH84" s="115"/>
      <c r="AI84" s="115"/>
      <c r="AJ84" s="115"/>
      <c r="AK84" s="115"/>
      <c r="AL84" s="115"/>
      <c r="AM84" s="115"/>
      <c r="AN84" s="115"/>
      <c r="AO84" s="115"/>
      <c r="AP84" s="115"/>
    </row>
    <row r="85" spans="1:42" ht="27.75" customHeight="1">
      <c r="A85" s="115"/>
      <c r="B85" s="115"/>
      <c r="C85" s="295" t="s">
        <v>531</v>
      </c>
      <c r="D85" s="245"/>
      <c r="E85" s="115"/>
      <c r="F85" s="138"/>
      <c r="G85" s="138"/>
      <c r="H85" s="115"/>
      <c r="I85" s="115"/>
      <c r="J85" s="115"/>
      <c r="K85" s="115"/>
      <c r="L85" s="115"/>
      <c r="M85" s="115"/>
      <c r="N85" s="115"/>
      <c r="O85" s="115"/>
      <c r="P85" s="115"/>
      <c r="Q85" s="115"/>
      <c r="R85" s="115"/>
      <c r="S85" s="115"/>
      <c r="T85" s="115"/>
      <c r="U85" s="115"/>
      <c r="V85" s="115"/>
      <c r="W85" s="115"/>
      <c r="X85" s="115"/>
      <c r="Y85" s="115"/>
      <c r="Z85" s="115"/>
      <c r="AA85" s="115"/>
      <c r="AB85" s="115"/>
      <c r="AC85" s="115"/>
      <c r="AD85" s="115"/>
      <c r="AE85" s="115"/>
      <c r="AF85" s="115"/>
      <c r="AG85" s="115"/>
      <c r="AH85" s="115"/>
      <c r="AI85" s="115"/>
      <c r="AJ85" s="115"/>
      <c r="AK85" s="115"/>
      <c r="AL85" s="115"/>
      <c r="AM85" s="115"/>
      <c r="AN85" s="115"/>
      <c r="AO85" s="115"/>
      <c r="AP85" s="115"/>
    </row>
    <row r="86" spans="1:42" ht="27.75" customHeight="1">
      <c r="A86" s="115"/>
      <c r="B86" s="115"/>
      <c r="C86" s="295" t="s">
        <v>532</v>
      </c>
      <c r="D86" s="245"/>
      <c r="E86" s="115"/>
      <c r="F86" s="138"/>
      <c r="G86" s="138"/>
      <c r="H86" s="115"/>
      <c r="I86" s="115"/>
      <c r="J86" s="115"/>
      <c r="K86" s="115"/>
      <c r="L86" s="115"/>
      <c r="M86" s="115"/>
      <c r="N86" s="115"/>
      <c r="O86" s="115"/>
      <c r="P86" s="115"/>
      <c r="Q86" s="115"/>
      <c r="R86" s="115"/>
      <c r="S86" s="115"/>
      <c r="T86" s="115"/>
      <c r="U86" s="115"/>
      <c r="V86" s="115"/>
      <c r="W86" s="115"/>
      <c r="X86" s="115"/>
      <c r="Y86" s="115"/>
      <c r="Z86" s="115"/>
      <c r="AA86" s="115"/>
      <c r="AB86" s="115"/>
      <c r="AC86" s="115"/>
      <c r="AD86" s="115"/>
      <c r="AE86" s="115"/>
      <c r="AF86" s="115"/>
      <c r="AG86" s="115"/>
      <c r="AH86" s="115"/>
      <c r="AI86" s="115"/>
      <c r="AJ86" s="115"/>
      <c r="AK86" s="115"/>
      <c r="AL86" s="115"/>
      <c r="AM86" s="115"/>
      <c r="AN86" s="115"/>
      <c r="AO86" s="115"/>
      <c r="AP86" s="115"/>
    </row>
    <row r="87" spans="1:42" ht="27.75" customHeight="1">
      <c r="A87" s="115"/>
      <c r="B87" s="115"/>
      <c r="C87" s="295" t="s">
        <v>533</v>
      </c>
      <c r="D87" s="245"/>
      <c r="E87" s="115"/>
      <c r="F87" s="138"/>
      <c r="G87" s="138"/>
      <c r="H87" s="115"/>
      <c r="I87" s="115"/>
      <c r="J87" s="115"/>
      <c r="K87" s="115"/>
      <c r="L87" s="115"/>
      <c r="M87" s="115"/>
      <c r="N87" s="115"/>
      <c r="O87" s="115"/>
      <c r="P87" s="115"/>
      <c r="Q87" s="115"/>
      <c r="R87" s="115"/>
      <c r="S87" s="115"/>
      <c r="T87" s="115"/>
      <c r="U87" s="115"/>
      <c r="V87" s="115"/>
      <c r="W87" s="115"/>
      <c r="X87" s="115"/>
      <c r="Y87" s="115"/>
      <c r="Z87" s="115"/>
      <c r="AA87" s="115"/>
      <c r="AB87" s="115"/>
      <c r="AC87" s="115"/>
      <c r="AD87" s="115"/>
      <c r="AE87" s="115"/>
      <c r="AF87" s="115"/>
      <c r="AG87" s="115"/>
      <c r="AH87" s="115"/>
      <c r="AI87" s="115"/>
      <c r="AJ87" s="115"/>
      <c r="AK87" s="115"/>
      <c r="AL87" s="115"/>
      <c r="AM87" s="115"/>
      <c r="AN87" s="115"/>
      <c r="AO87" s="115"/>
      <c r="AP87" s="115"/>
    </row>
    <row r="88" spans="1:42" ht="27.75" customHeight="1">
      <c r="A88" s="115"/>
      <c r="B88" s="115"/>
      <c r="C88" s="295" t="s">
        <v>534</v>
      </c>
      <c r="D88" s="245"/>
      <c r="E88" s="115"/>
      <c r="F88" s="138"/>
      <c r="G88" s="138"/>
      <c r="H88" s="115"/>
      <c r="I88" s="115"/>
      <c r="J88" s="115"/>
      <c r="K88" s="115"/>
      <c r="L88" s="115"/>
      <c r="M88" s="115"/>
      <c r="N88" s="115"/>
      <c r="O88" s="115"/>
      <c r="P88" s="115"/>
      <c r="Q88" s="115"/>
      <c r="R88" s="115"/>
      <c r="S88" s="115"/>
      <c r="T88" s="115"/>
      <c r="U88" s="115"/>
      <c r="V88" s="115"/>
      <c r="W88" s="115"/>
      <c r="X88" s="115"/>
      <c r="Y88" s="115"/>
      <c r="Z88" s="115"/>
      <c r="AA88" s="115"/>
      <c r="AB88" s="115"/>
      <c r="AC88" s="115"/>
      <c r="AD88" s="115"/>
      <c r="AE88" s="115"/>
      <c r="AF88" s="115"/>
      <c r="AG88" s="115"/>
      <c r="AH88" s="115"/>
      <c r="AI88" s="115"/>
      <c r="AJ88" s="115"/>
      <c r="AK88" s="115"/>
      <c r="AL88" s="115"/>
      <c r="AM88" s="115"/>
      <c r="AN88" s="115"/>
      <c r="AO88" s="115"/>
      <c r="AP88" s="115"/>
    </row>
    <row r="89" spans="1:42" ht="27.75" customHeight="1">
      <c r="A89" s="115"/>
      <c r="B89" s="115"/>
      <c r="C89" s="295" t="s">
        <v>535</v>
      </c>
      <c r="D89" s="245"/>
      <c r="E89" s="115"/>
      <c r="F89" s="138"/>
      <c r="G89" s="138"/>
      <c r="H89" s="115"/>
      <c r="I89" s="115"/>
      <c r="J89" s="115"/>
      <c r="K89" s="115"/>
      <c r="L89" s="115"/>
      <c r="M89" s="115"/>
      <c r="N89" s="115"/>
      <c r="O89" s="115"/>
      <c r="P89" s="115"/>
      <c r="Q89" s="115"/>
      <c r="R89" s="115"/>
      <c r="S89" s="115"/>
      <c r="T89" s="115"/>
      <c r="U89" s="115"/>
      <c r="V89" s="115"/>
      <c r="W89" s="115"/>
      <c r="X89" s="115"/>
      <c r="Y89" s="115"/>
      <c r="Z89" s="115"/>
      <c r="AA89" s="115"/>
      <c r="AB89" s="115"/>
      <c r="AC89" s="115"/>
      <c r="AD89" s="115"/>
      <c r="AE89" s="115"/>
      <c r="AF89" s="115"/>
      <c r="AG89" s="115"/>
      <c r="AH89" s="115"/>
      <c r="AI89" s="115"/>
      <c r="AJ89" s="115"/>
      <c r="AK89" s="115"/>
      <c r="AL89" s="115"/>
      <c r="AM89" s="115"/>
      <c r="AN89" s="115"/>
      <c r="AO89" s="115"/>
      <c r="AP89" s="115"/>
    </row>
    <row r="90" spans="1:42" ht="27.75" customHeight="1">
      <c r="A90" s="115"/>
      <c r="B90" s="115"/>
      <c r="C90" s="295" t="s">
        <v>536</v>
      </c>
      <c r="D90" s="245"/>
      <c r="E90" s="115"/>
      <c r="F90" s="138"/>
      <c r="G90" s="138"/>
      <c r="H90" s="115"/>
      <c r="I90" s="115"/>
      <c r="J90" s="115"/>
      <c r="K90" s="115"/>
      <c r="L90" s="115"/>
      <c r="M90" s="115"/>
      <c r="N90" s="115"/>
      <c r="O90" s="115"/>
      <c r="P90" s="115"/>
      <c r="Q90" s="115"/>
      <c r="R90" s="115"/>
      <c r="S90" s="115"/>
      <c r="T90" s="115"/>
      <c r="U90" s="115"/>
      <c r="V90" s="115"/>
      <c r="W90" s="115"/>
      <c r="X90" s="115"/>
      <c r="Y90" s="115"/>
      <c r="Z90" s="115"/>
      <c r="AA90" s="115"/>
      <c r="AB90" s="115"/>
      <c r="AC90" s="115"/>
      <c r="AD90" s="115"/>
      <c r="AE90" s="115"/>
      <c r="AF90" s="115"/>
      <c r="AG90" s="115"/>
      <c r="AH90" s="115"/>
      <c r="AI90" s="115"/>
      <c r="AJ90" s="115"/>
      <c r="AK90" s="115"/>
      <c r="AL90" s="115"/>
      <c r="AM90" s="115"/>
      <c r="AN90" s="115"/>
      <c r="AO90" s="115"/>
      <c r="AP90" s="115"/>
    </row>
    <row r="91" spans="1:42" ht="27.75" customHeight="1">
      <c r="A91" s="115"/>
      <c r="B91" s="115"/>
      <c r="C91" s="295" t="s">
        <v>537</v>
      </c>
      <c r="D91" s="245"/>
      <c r="E91" s="115"/>
      <c r="F91" s="138"/>
      <c r="G91" s="138"/>
      <c r="H91" s="115"/>
      <c r="I91" s="115"/>
      <c r="J91" s="115"/>
      <c r="K91" s="115"/>
      <c r="L91" s="115"/>
      <c r="M91" s="115"/>
      <c r="N91" s="115"/>
      <c r="O91" s="115"/>
      <c r="P91" s="115"/>
      <c r="Q91" s="115"/>
      <c r="R91" s="115"/>
      <c r="S91" s="115"/>
      <c r="T91" s="115"/>
      <c r="U91" s="115"/>
      <c r="V91" s="115"/>
      <c r="W91" s="115"/>
      <c r="X91" s="115"/>
      <c r="Y91" s="115"/>
      <c r="Z91" s="115"/>
      <c r="AA91" s="115"/>
      <c r="AB91" s="115"/>
      <c r="AC91" s="115"/>
      <c r="AD91" s="115"/>
      <c r="AE91" s="115"/>
      <c r="AF91" s="115"/>
      <c r="AG91" s="115"/>
      <c r="AH91" s="115"/>
      <c r="AI91" s="115"/>
      <c r="AJ91" s="115"/>
      <c r="AK91" s="115"/>
      <c r="AL91" s="115"/>
      <c r="AM91" s="115"/>
      <c r="AN91" s="115"/>
      <c r="AO91" s="115"/>
      <c r="AP91" s="115"/>
    </row>
    <row r="92" spans="1:42" ht="27.75" customHeight="1">
      <c r="A92" s="115"/>
      <c r="B92" s="115"/>
      <c r="C92" s="295" t="s">
        <v>538</v>
      </c>
      <c r="D92" s="245"/>
      <c r="E92" s="115"/>
      <c r="F92" s="138"/>
      <c r="G92" s="138"/>
      <c r="H92" s="115"/>
      <c r="I92" s="115"/>
      <c r="J92" s="115"/>
      <c r="K92" s="115"/>
      <c r="L92" s="115"/>
      <c r="M92" s="115"/>
      <c r="N92" s="115"/>
      <c r="O92" s="115"/>
      <c r="P92" s="115"/>
      <c r="Q92" s="115"/>
      <c r="R92" s="115"/>
      <c r="S92" s="115"/>
      <c r="T92" s="115"/>
      <c r="U92" s="115"/>
      <c r="V92" s="115"/>
      <c r="W92" s="115"/>
      <c r="X92" s="115"/>
      <c r="Y92" s="115"/>
      <c r="Z92" s="115"/>
      <c r="AA92" s="115"/>
      <c r="AB92" s="115"/>
      <c r="AC92" s="115"/>
      <c r="AD92" s="115"/>
      <c r="AE92" s="115"/>
      <c r="AF92" s="115"/>
      <c r="AG92" s="115"/>
      <c r="AH92" s="115"/>
      <c r="AI92" s="115"/>
      <c r="AJ92" s="115"/>
      <c r="AK92" s="115"/>
      <c r="AL92" s="115"/>
      <c r="AM92" s="115"/>
      <c r="AN92" s="115"/>
      <c r="AO92" s="115"/>
      <c r="AP92" s="115"/>
    </row>
    <row r="93" spans="1:42" ht="27.75" customHeight="1">
      <c r="A93" s="115"/>
      <c r="B93" s="115"/>
      <c r="C93" s="295" t="s">
        <v>539</v>
      </c>
      <c r="D93" s="245"/>
      <c r="E93" s="115"/>
      <c r="F93" s="138"/>
      <c r="G93" s="138"/>
      <c r="H93" s="115"/>
      <c r="I93" s="115"/>
      <c r="J93" s="115"/>
      <c r="K93" s="115"/>
      <c r="L93" s="115"/>
      <c r="M93" s="115"/>
      <c r="N93" s="115"/>
      <c r="O93" s="115"/>
      <c r="P93" s="115"/>
      <c r="Q93" s="115"/>
      <c r="R93" s="115"/>
      <c r="S93" s="115"/>
      <c r="T93" s="115"/>
      <c r="U93" s="115"/>
      <c r="V93" s="115"/>
      <c r="W93" s="115"/>
      <c r="X93" s="115"/>
      <c r="Y93" s="115"/>
      <c r="Z93" s="115"/>
      <c r="AA93" s="115"/>
      <c r="AB93" s="115"/>
      <c r="AC93" s="115"/>
      <c r="AD93" s="115"/>
      <c r="AE93" s="115"/>
      <c r="AF93" s="115"/>
      <c r="AG93" s="115"/>
      <c r="AH93" s="115"/>
      <c r="AI93" s="115"/>
      <c r="AJ93" s="115"/>
      <c r="AK93" s="115"/>
      <c r="AL93" s="115"/>
      <c r="AM93" s="115"/>
      <c r="AN93" s="115"/>
      <c r="AO93" s="115"/>
      <c r="AP93" s="115"/>
    </row>
    <row r="94" spans="1:42" ht="27.75" customHeight="1">
      <c r="A94" s="115"/>
      <c r="B94" s="115"/>
      <c r="C94" s="295" t="s">
        <v>540</v>
      </c>
      <c r="D94" s="245"/>
      <c r="E94" s="115"/>
      <c r="F94" s="138"/>
      <c r="G94" s="138"/>
      <c r="H94" s="115"/>
      <c r="I94" s="115"/>
      <c r="J94" s="115"/>
      <c r="K94" s="115"/>
      <c r="L94" s="115"/>
      <c r="M94" s="115"/>
      <c r="N94" s="115"/>
      <c r="O94" s="115"/>
      <c r="P94" s="115"/>
      <c r="Q94" s="115"/>
      <c r="R94" s="115"/>
      <c r="S94" s="115"/>
      <c r="T94" s="115"/>
      <c r="U94" s="115"/>
      <c r="V94" s="115"/>
      <c r="W94" s="115"/>
      <c r="X94" s="115"/>
      <c r="Y94" s="115"/>
      <c r="Z94" s="115"/>
      <c r="AA94" s="115"/>
      <c r="AB94" s="115"/>
      <c r="AC94" s="115"/>
      <c r="AD94" s="115"/>
      <c r="AE94" s="115"/>
      <c r="AF94" s="115"/>
      <c r="AG94" s="115"/>
      <c r="AH94" s="115"/>
      <c r="AI94" s="115"/>
      <c r="AJ94" s="115"/>
      <c r="AK94" s="115"/>
      <c r="AL94" s="115"/>
      <c r="AM94" s="115"/>
      <c r="AN94" s="115"/>
      <c r="AO94" s="115"/>
      <c r="AP94" s="115"/>
    </row>
    <row r="95" spans="1:42" ht="27.75" customHeight="1">
      <c r="A95" s="115"/>
      <c r="B95" s="115"/>
      <c r="C95" s="295" t="s">
        <v>541</v>
      </c>
      <c r="D95" s="245"/>
      <c r="E95" s="115"/>
      <c r="F95" s="138"/>
      <c r="G95" s="138"/>
      <c r="H95" s="115"/>
      <c r="I95" s="115"/>
      <c r="J95" s="115"/>
      <c r="K95" s="115"/>
      <c r="L95" s="115"/>
      <c r="M95" s="115"/>
      <c r="N95" s="115"/>
      <c r="O95" s="115"/>
      <c r="P95" s="115"/>
      <c r="Q95" s="115"/>
      <c r="R95" s="115"/>
      <c r="S95" s="115"/>
      <c r="T95" s="115"/>
      <c r="U95" s="115"/>
      <c r="V95" s="115"/>
      <c r="W95" s="115"/>
      <c r="X95" s="115"/>
      <c r="Y95" s="115"/>
      <c r="Z95" s="115"/>
      <c r="AA95" s="115"/>
      <c r="AB95" s="115"/>
      <c r="AC95" s="115"/>
      <c r="AD95" s="115"/>
      <c r="AE95" s="115"/>
      <c r="AF95" s="115"/>
      <c r="AG95" s="115"/>
      <c r="AH95" s="115"/>
      <c r="AI95" s="115"/>
      <c r="AJ95" s="115"/>
      <c r="AK95" s="115"/>
      <c r="AL95" s="115"/>
      <c r="AM95" s="115"/>
      <c r="AN95" s="115"/>
      <c r="AO95" s="115"/>
      <c r="AP95" s="115"/>
    </row>
    <row r="96" spans="1:42" ht="27.75" customHeight="1">
      <c r="A96" s="115"/>
      <c r="B96" s="115"/>
      <c r="C96" s="295" t="s">
        <v>542</v>
      </c>
      <c r="D96" s="245"/>
      <c r="E96" s="115"/>
      <c r="F96" s="138"/>
      <c r="G96" s="138"/>
      <c r="H96" s="115"/>
      <c r="I96" s="115"/>
      <c r="J96" s="115"/>
      <c r="K96" s="115"/>
      <c r="L96" s="115"/>
      <c r="M96" s="115"/>
      <c r="N96" s="115"/>
      <c r="O96" s="115"/>
      <c r="P96" s="115"/>
      <c r="Q96" s="115"/>
      <c r="R96" s="115"/>
      <c r="S96" s="115"/>
      <c r="T96" s="115"/>
      <c r="U96" s="115"/>
      <c r="V96" s="115"/>
      <c r="W96" s="115"/>
      <c r="X96" s="115"/>
      <c r="Y96" s="115"/>
      <c r="Z96" s="115"/>
      <c r="AA96" s="115"/>
      <c r="AB96" s="115"/>
      <c r="AC96" s="115"/>
      <c r="AD96" s="115"/>
      <c r="AE96" s="115"/>
      <c r="AF96" s="115"/>
      <c r="AG96" s="115"/>
      <c r="AH96" s="115"/>
      <c r="AI96" s="115"/>
      <c r="AJ96" s="115"/>
      <c r="AK96" s="115"/>
      <c r="AL96" s="115"/>
      <c r="AM96" s="115"/>
      <c r="AN96" s="115"/>
      <c r="AO96" s="115"/>
      <c r="AP96" s="115"/>
    </row>
    <row r="97" spans="1:42" ht="27.75" customHeight="1">
      <c r="A97" s="115"/>
      <c r="B97" s="115"/>
      <c r="C97" s="295" t="s">
        <v>543</v>
      </c>
      <c r="D97" s="245"/>
      <c r="E97" s="115"/>
      <c r="F97" s="138"/>
      <c r="G97" s="138"/>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row>
    <row r="98" spans="1:42" ht="27.75" customHeight="1">
      <c r="A98" s="115"/>
      <c r="B98" s="115"/>
      <c r="C98" s="295" t="s">
        <v>544</v>
      </c>
      <c r="D98" s="245"/>
      <c r="E98" s="115"/>
      <c r="F98" s="138"/>
      <c r="G98" s="138"/>
      <c r="H98" s="115"/>
      <c r="I98" s="115"/>
      <c r="J98" s="115"/>
      <c r="K98" s="115"/>
      <c r="L98" s="115"/>
      <c r="M98" s="115"/>
      <c r="N98" s="115"/>
      <c r="O98" s="115"/>
      <c r="P98" s="115"/>
      <c r="Q98" s="115"/>
      <c r="R98" s="115"/>
      <c r="S98" s="115"/>
      <c r="T98" s="115"/>
      <c r="U98" s="115"/>
      <c r="V98" s="115"/>
      <c r="W98" s="115"/>
      <c r="X98" s="115"/>
      <c r="Y98" s="115"/>
      <c r="Z98" s="115"/>
      <c r="AA98" s="115"/>
      <c r="AB98" s="115"/>
      <c r="AC98" s="115"/>
      <c r="AD98" s="115"/>
      <c r="AE98" s="115"/>
      <c r="AF98" s="115"/>
      <c r="AG98" s="115"/>
      <c r="AH98" s="115"/>
      <c r="AI98" s="115"/>
      <c r="AJ98" s="115"/>
      <c r="AK98" s="115"/>
      <c r="AL98" s="115"/>
      <c r="AM98" s="115"/>
      <c r="AN98" s="115"/>
      <c r="AO98" s="115"/>
      <c r="AP98" s="115"/>
    </row>
    <row r="99" spans="1:42" ht="27.75" customHeight="1">
      <c r="A99" s="115"/>
      <c r="B99" s="115"/>
      <c r="C99" s="295" t="s">
        <v>545</v>
      </c>
      <c r="D99" s="245"/>
      <c r="E99" s="115"/>
      <c r="F99" s="138"/>
      <c r="G99" s="138"/>
      <c r="H99" s="115"/>
      <c r="I99" s="115"/>
      <c r="J99" s="115"/>
      <c r="K99" s="115"/>
      <c r="L99" s="115"/>
      <c r="M99" s="115"/>
      <c r="N99" s="115"/>
      <c r="O99" s="115"/>
      <c r="P99" s="115"/>
      <c r="Q99" s="115"/>
      <c r="R99" s="115"/>
      <c r="S99" s="115"/>
      <c r="T99" s="115"/>
      <c r="U99" s="115"/>
      <c r="V99" s="115"/>
      <c r="W99" s="115"/>
      <c r="X99" s="115"/>
      <c r="Y99" s="115"/>
      <c r="Z99" s="115"/>
      <c r="AA99" s="115"/>
      <c r="AB99" s="115"/>
      <c r="AC99" s="115"/>
      <c r="AD99" s="115"/>
      <c r="AE99" s="115"/>
      <c r="AF99" s="115"/>
      <c r="AG99" s="115"/>
      <c r="AH99" s="115"/>
      <c r="AI99" s="115"/>
      <c r="AJ99" s="115"/>
      <c r="AK99" s="115"/>
      <c r="AL99" s="115"/>
      <c r="AM99" s="115"/>
      <c r="AN99" s="115"/>
      <c r="AO99" s="115"/>
      <c r="AP99" s="115"/>
    </row>
    <row r="100" spans="1:42" ht="27.75" customHeight="1">
      <c r="A100" s="115"/>
      <c r="B100" s="115"/>
      <c r="C100" s="295" t="s">
        <v>546</v>
      </c>
      <c r="D100" s="245"/>
      <c r="E100" s="115"/>
      <c r="F100" s="138"/>
      <c r="G100" s="138"/>
      <c r="H100" s="115"/>
      <c r="I100" s="115"/>
      <c r="J100" s="115"/>
      <c r="K100" s="115"/>
      <c r="L100" s="115"/>
      <c r="M100" s="115"/>
      <c r="N100" s="115"/>
      <c r="O100" s="115"/>
      <c r="P100" s="115"/>
      <c r="Q100" s="115"/>
      <c r="R100" s="115"/>
      <c r="S100" s="115"/>
      <c r="T100" s="115"/>
      <c r="U100" s="115"/>
      <c r="V100" s="115"/>
      <c r="W100" s="115"/>
      <c r="X100" s="115"/>
      <c r="Y100" s="115"/>
      <c r="Z100" s="115"/>
      <c r="AA100" s="115"/>
      <c r="AB100" s="115"/>
      <c r="AC100" s="115"/>
      <c r="AD100" s="115"/>
      <c r="AE100" s="115"/>
      <c r="AF100" s="115"/>
      <c r="AG100" s="115"/>
      <c r="AH100" s="115"/>
      <c r="AI100" s="115"/>
      <c r="AJ100" s="115"/>
      <c r="AK100" s="115"/>
      <c r="AL100" s="115"/>
      <c r="AM100" s="115"/>
      <c r="AN100" s="115"/>
      <c r="AO100" s="115"/>
      <c r="AP100" s="115"/>
    </row>
    <row r="101" spans="1:42" ht="27.75" customHeight="1">
      <c r="A101" s="115"/>
      <c r="B101" s="115"/>
      <c r="C101" s="295" t="s">
        <v>547</v>
      </c>
      <c r="D101" s="245"/>
      <c r="E101" s="115"/>
      <c r="F101" s="138"/>
      <c r="G101" s="138"/>
      <c r="H101" s="115"/>
      <c r="I101" s="115"/>
      <c r="J101" s="115"/>
      <c r="K101" s="115"/>
      <c r="L101" s="115"/>
      <c r="M101" s="115"/>
      <c r="N101" s="115"/>
      <c r="O101" s="115"/>
      <c r="P101" s="115"/>
      <c r="Q101" s="115"/>
      <c r="R101" s="115"/>
      <c r="S101" s="115"/>
      <c r="T101" s="115"/>
      <c r="U101" s="115"/>
      <c r="V101" s="115"/>
      <c r="W101" s="115"/>
      <c r="X101" s="115"/>
      <c r="Y101" s="115"/>
      <c r="Z101" s="115"/>
      <c r="AA101" s="115"/>
      <c r="AB101" s="115"/>
      <c r="AC101" s="115"/>
      <c r="AD101" s="115"/>
      <c r="AE101" s="115"/>
      <c r="AF101" s="115"/>
      <c r="AG101" s="115"/>
      <c r="AH101" s="115"/>
      <c r="AI101" s="115"/>
      <c r="AJ101" s="115"/>
      <c r="AK101" s="115"/>
      <c r="AL101" s="115"/>
      <c r="AM101" s="115"/>
      <c r="AN101" s="115"/>
      <c r="AO101" s="115"/>
      <c r="AP101" s="115"/>
    </row>
    <row r="102" spans="1:42" ht="27.75" customHeight="1">
      <c r="A102" s="115"/>
      <c r="B102" s="115"/>
      <c r="C102" s="295" t="s">
        <v>548</v>
      </c>
      <c r="D102" s="245"/>
      <c r="E102" s="115"/>
      <c r="F102" s="138"/>
      <c r="G102" s="138"/>
      <c r="H102" s="115"/>
      <c r="I102" s="115"/>
      <c r="J102" s="115"/>
      <c r="K102" s="115"/>
      <c r="L102" s="115"/>
      <c r="M102" s="115"/>
      <c r="N102" s="115"/>
      <c r="O102" s="115"/>
      <c r="P102" s="115"/>
      <c r="Q102" s="115"/>
      <c r="R102" s="115"/>
      <c r="S102" s="115"/>
      <c r="T102" s="115"/>
      <c r="U102" s="115"/>
      <c r="V102" s="115"/>
      <c r="W102" s="115"/>
      <c r="X102" s="115"/>
      <c r="Y102" s="115"/>
      <c r="Z102" s="115"/>
      <c r="AA102" s="115"/>
      <c r="AB102" s="115"/>
      <c r="AC102" s="115"/>
      <c r="AD102" s="115"/>
      <c r="AE102" s="115"/>
      <c r="AF102" s="115"/>
      <c r="AG102" s="115"/>
      <c r="AH102" s="115"/>
      <c r="AI102" s="115"/>
      <c r="AJ102" s="115"/>
      <c r="AK102" s="115"/>
      <c r="AL102" s="115"/>
      <c r="AM102" s="115"/>
      <c r="AN102" s="115"/>
      <c r="AO102" s="115"/>
      <c r="AP102" s="115"/>
    </row>
    <row r="103" spans="1:42" ht="27.75" customHeight="1">
      <c r="A103" s="115"/>
      <c r="B103" s="115"/>
      <c r="C103" s="295" t="s">
        <v>549</v>
      </c>
      <c r="D103" s="245"/>
      <c r="E103" s="115"/>
      <c r="F103" s="138"/>
      <c r="G103" s="138"/>
      <c r="H103" s="115"/>
      <c r="I103" s="115"/>
      <c r="J103" s="115"/>
      <c r="K103" s="115"/>
      <c r="L103" s="115"/>
      <c r="M103" s="115"/>
      <c r="N103" s="115"/>
      <c r="O103" s="115"/>
      <c r="P103" s="115"/>
      <c r="Q103" s="115"/>
      <c r="R103" s="115"/>
      <c r="S103" s="115"/>
      <c r="T103" s="115"/>
      <c r="U103" s="115"/>
      <c r="V103" s="115"/>
      <c r="W103" s="115"/>
      <c r="X103" s="115"/>
      <c r="Y103" s="115"/>
      <c r="Z103" s="115"/>
      <c r="AA103" s="115"/>
      <c r="AB103" s="115"/>
      <c r="AC103" s="115"/>
      <c r="AD103" s="115"/>
      <c r="AE103" s="115"/>
      <c r="AF103" s="115"/>
      <c r="AG103" s="115"/>
      <c r="AH103" s="115"/>
      <c r="AI103" s="115"/>
      <c r="AJ103" s="115"/>
      <c r="AK103" s="115"/>
      <c r="AL103" s="115"/>
      <c r="AM103" s="115"/>
      <c r="AN103" s="115"/>
      <c r="AO103" s="115"/>
      <c r="AP103" s="115"/>
    </row>
    <row r="104" spans="1:42" ht="27.75" customHeight="1">
      <c r="A104" s="115"/>
      <c r="B104" s="115"/>
      <c r="C104" s="295" t="s">
        <v>550</v>
      </c>
      <c r="D104" s="245"/>
      <c r="E104" s="115"/>
      <c r="F104" s="138"/>
      <c r="G104" s="138"/>
      <c r="H104" s="115"/>
      <c r="I104" s="115"/>
      <c r="J104" s="115"/>
      <c r="K104" s="115"/>
      <c r="L104" s="115"/>
      <c r="M104" s="115"/>
      <c r="N104" s="115"/>
      <c r="O104" s="115"/>
      <c r="P104" s="115"/>
      <c r="Q104" s="115"/>
      <c r="R104" s="115"/>
      <c r="S104" s="115"/>
      <c r="T104" s="115"/>
      <c r="U104" s="115"/>
      <c r="V104" s="115"/>
      <c r="W104" s="115"/>
      <c r="X104" s="115"/>
      <c r="Y104" s="115"/>
      <c r="Z104" s="115"/>
      <c r="AA104" s="115"/>
      <c r="AB104" s="115"/>
      <c r="AC104" s="115"/>
      <c r="AD104" s="115"/>
      <c r="AE104" s="115"/>
      <c r="AF104" s="115"/>
      <c r="AG104" s="115"/>
      <c r="AH104" s="115"/>
      <c r="AI104" s="115"/>
      <c r="AJ104" s="115"/>
      <c r="AK104" s="115"/>
      <c r="AL104" s="115"/>
      <c r="AM104" s="115"/>
      <c r="AN104" s="115"/>
      <c r="AO104" s="115"/>
      <c r="AP104" s="115"/>
    </row>
    <row r="105" spans="1:42" ht="27.75" customHeight="1">
      <c r="A105" s="115"/>
      <c r="B105" s="115"/>
      <c r="C105" s="295" t="s">
        <v>551</v>
      </c>
      <c r="D105" s="245"/>
      <c r="E105" s="115"/>
      <c r="F105" s="138"/>
      <c r="G105" s="138"/>
      <c r="H105" s="115"/>
      <c r="I105" s="115"/>
      <c r="J105" s="115"/>
      <c r="K105" s="115"/>
      <c r="L105" s="115"/>
      <c r="M105" s="115"/>
      <c r="N105" s="115"/>
      <c r="O105" s="115"/>
      <c r="P105" s="115"/>
      <c r="Q105" s="115"/>
      <c r="R105" s="115"/>
      <c r="S105" s="115"/>
      <c r="T105" s="115"/>
      <c r="U105" s="115"/>
      <c r="V105" s="115"/>
      <c r="W105" s="115"/>
      <c r="X105" s="115"/>
      <c r="Y105" s="115"/>
      <c r="Z105" s="115"/>
      <c r="AA105" s="115"/>
      <c r="AB105" s="115"/>
      <c r="AC105" s="115"/>
      <c r="AD105" s="115"/>
      <c r="AE105" s="115"/>
      <c r="AF105" s="115"/>
      <c r="AG105" s="115"/>
      <c r="AH105" s="115"/>
      <c r="AI105" s="115"/>
      <c r="AJ105" s="115"/>
      <c r="AK105" s="115"/>
      <c r="AL105" s="115"/>
      <c r="AM105" s="115"/>
      <c r="AN105" s="115"/>
      <c r="AO105" s="115"/>
      <c r="AP105" s="115"/>
    </row>
    <row r="106" spans="1:42" ht="27.75" customHeight="1">
      <c r="A106" s="115"/>
      <c r="B106" s="115"/>
      <c r="C106" s="295" t="s">
        <v>552</v>
      </c>
      <c r="D106" s="245"/>
      <c r="E106" s="115"/>
      <c r="F106" s="138"/>
      <c r="G106" s="138"/>
      <c r="H106" s="115"/>
      <c r="I106" s="115"/>
      <c r="J106" s="115"/>
      <c r="K106" s="115"/>
      <c r="L106" s="115"/>
      <c r="M106" s="115"/>
      <c r="N106" s="115"/>
      <c r="O106" s="115"/>
      <c r="P106" s="115"/>
      <c r="Q106" s="115"/>
      <c r="R106" s="115"/>
      <c r="S106" s="115"/>
      <c r="T106" s="115"/>
      <c r="U106" s="115"/>
      <c r="V106" s="115"/>
      <c r="W106" s="115"/>
      <c r="X106" s="115"/>
      <c r="Y106" s="115"/>
      <c r="Z106" s="115"/>
      <c r="AA106" s="115"/>
      <c r="AB106" s="115"/>
      <c r="AC106" s="115"/>
      <c r="AD106" s="115"/>
      <c r="AE106" s="115"/>
      <c r="AF106" s="115"/>
      <c r="AG106" s="115"/>
      <c r="AH106" s="115"/>
      <c r="AI106" s="115"/>
      <c r="AJ106" s="115"/>
      <c r="AK106" s="115"/>
      <c r="AL106" s="115"/>
      <c r="AM106" s="115"/>
      <c r="AN106" s="115"/>
      <c r="AO106" s="115"/>
      <c r="AP106" s="115"/>
    </row>
    <row r="107" spans="1:42" ht="27.75" customHeight="1">
      <c r="A107" s="115"/>
      <c r="B107" s="115"/>
      <c r="C107" s="295" t="s">
        <v>553</v>
      </c>
      <c r="D107" s="245"/>
      <c r="E107" s="115"/>
      <c r="F107" s="138"/>
      <c r="G107" s="138"/>
      <c r="H107" s="115"/>
      <c r="I107" s="115"/>
      <c r="J107" s="115"/>
      <c r="K107" s="115"/>
      <c r="L107" s="115"/>
      <c r="M107" s="115"/>
      <c r="N107" s="115"/>
      <c r="O107" s="115"/>
      <c r="P107" s="115"/>
      <c r="Q107" s="115"/>
      <c r="R107" s="115"/>
      <c r="S107" s="115"/>
      <c r="T107" s="115"/>
      <c r="U107" s="115"/>
      <c r="V107" s="115"/>
      <c r="W107" s="115"/>
      <c r="X107" s="115"/>
      <c r="Y107" s="115"/>
      <c r="Z107" s="115"/>
      <c r="AA107" s="115"/>
      <c r="AB107" s="115"/>
      <c r="AC107" s="115"/>
      <c r="AD107" s="115"/>
      <c r="AE107" s="115"/>
      <c r="AF107" s="115"/>
      <c r="AG107" s="115"/>
      <c r="AH107" s="115"/>
      <c r="AI107" s="115"/>
      <c r="AJ107" s="115"/>
      <c r="AK107" s="115"/>
      <c r="AL107" s="115"/>
      <c r="AM107" s="115"/>
      <c r="AN107" s="115"/>
      <c r="AO107" s="115"/>
      <c r="AP107" s="115"/>
    </row>
    <row r="108" spans="1:42" ht="27.75" customHeight="1">
      <c r="A108" s="115"/>
      <c r="B108" s="115"/>
      <c r="C108" s="295" t="s">
        <v>554</v>
      </c>
      <c r="D108" s="245"/>
      <c r="E108" s="115"/>
      <c r="F108" s="138"/>
      <c r="G108" s="138"/>
      <c r="H108" s="115"/>
      <c r="I108" s="115"/>
      <c r="J108" s="115"/>
      <c r="K108" s="115"/>
      <c r="L108" s="115"/>
      <c r="M108" s="115"/>
      <c r="N108" s="115"/>
      <c r="O108" s="115"/>
      <c r="P108" s="115"/>
      <c r="Q108" s="115"/>
      <c r="R108" s="115"/>
      <c r="S108" s="115"/>
      <c r="T108" s="115"/>
      <c r="U108" s="115"/>
      <c r="V108" s="115"/>
      <c r="W108" s="115"/>
      <c r="X108" s="115"/>
      <c r="Y108" s="115"/>
      <c r="Z108" s="115"/>
      <c r="AA108" s="115"/>
      <c r="AB108" s="115"/>
      <c r="AC108" s="115"/>
      <c r="AD108" s="115"/>
      <c r="AE108" s="115"/>
      <c r="AF108" s="115"/>
      <c r="AG108" s="115"/>
      <c r="AH108" s="115"/>
      <c r="AI108" s="115"/>
      <c r="AJ108" s="115"/>
      <c r="AK108" s="115"/>
      <c r="AL108" s="115"/>
      <c r="AM108" s="115"/>
      <c r="AN108" s="115"/>
      <c r="AO108" s="115"/>
      <c r="AP108" s="115"/>
    </row>
    <row r="109" spans="1:42" ht="27.75" customHeight="1">
      <c r="A109" s="115"/>
      <c r="B109" s="115"/>
      <c r="C109" s="295" t="s">
        <v>555</v>
      </c>
      <c r="D109" s="245"/>
      <c r="E109" s="115"/>
      <c r="F109" s="138"/>
      <c r="G109" s="138"/>
      <c r="H109" s="115"/>
      <c r="I109" s="115"/>
      <c r="J109" s="115"/>
      <c r="K109" s="115"/>
      <c r="L109" s="115"/>
      <c r="M109" s="115"/>
      <c r="N109" s="115"/>
      <c r="O109" s="115"/>
      <c r="P109" s="115"/>
      <c r="Q109" s="115"/>
      <c r="R109" s="115"/>
      <c r="S109" s="115"/>
      <c r="T109" s="115"/>
      <c r="U109" s="115"/>
      <c r="V109" s="115"/>
      <c r="W109" s="115"/>
      <c r="X109" s="115"/>
      <c r="Y109" s="115"/>
      <c r="Z109" s="115"/>
      <c r="AA109" s="115"/>
      <c r="AB109" s="115"/>
      <c r="AC109" s="115"/>
      <c r="AD109" s="115"/>
      <c r="AE109" s="115"/>
      <c r="AF109" s="115"/>
      <c r="AG109" s="115"/>
      <c r="AH109" s="115"/>
      <c r="AI109" s="115"/>
      <c r="AJ109" s="115"/>
      <c r="AK109" s="115"/>
      <c r="AL109" s="115"/>
      <c r="AM109" s="115"/>
      <c r="AN109" s="115"/>
      <c r="AO109" s="115"/>
      <c r="AP109" s="115"/>
    </row>
    <row r="110" spans="1:42" ht="27.75" customHeight="1">
      <c r="A110" s="115"/>
      <c r="B110" s="115"/>
      <c r="C110" s="295" t="s">
        <v>556</v>
      </c>
      <c r="D110" s="245"/>
      <c r="E110" s="115"/>
      <c r="F110" s="138"/>
      <c r="G110" s="138"/>
      <c r="H110" s="115"/>
      <c r="I110" s="115"/>
      <c r="J110" s="115"/>
      <c r="K110" s="115"/>
      <c r="L110" s="115"/>
      <c r="M110" s="115"/>
      <c r="N110" s="115"/>
      <c r="O110" s="115"/>
      <c r="P110" s="115"/>
      <c r="Q110" s="115"/>
      <c r="R110" s="115"/>
      <c r="S110" s="115"/>
      <c r="T110" s="115"/>
      <c r="U110" s="115"/>
      <c r="V110" s="115"/>
      <c r="W110" s="115"/>
      <c r="X110" s="115"/>
      <c r="Y110" s="115"/>
      <c r="Z110" s="115"/>
      <c r="AA110" s="115"/>
      <c r="AB110" s="115"/>
      <c r="AC110" s="115"/>
      <c r="AD110" s="115"/>
      <c r="AE110" s="115"/>
      <c r="AF110" s="115"/>
      <c r="AG110" s="115"/>
      <c r="AH110" s="115"/>
      <c r="AI110" s="115"/>
      <c r="AJ110" s="115"/>
      <c r="AK110" s="115"/>
      <c r="AL110" s="115"/>
      <c r="AM110" s="115"/>
      <c r="AN110" s="115"/>
      <c r="AO110" s="115"/>
      <c r="AP110" s="115"/>
    </row>
    <row r="111" spans="1:42" ht="27.75" customHeight="1">
      <c r="A111" s="115"/>
      <c r="B111" s="115"/>
      <c r="C111" s="295" t="s">
        <v>557</v>
      </c>
      <c r="D111" s="245"/>
      <c r="E111" s="115"/>
      <c r="F111" s="138"/>
      <c r="G111" s="138"/>
      <c r="H111" s="115"/>
      <c r="I111" s="115"/>
      <c r="J111" s="115"/>
      <c r="K111" s="115"/>
      <c r="L111" s="115"/>
      <c r="M111" s="115"/>
      <c r="N111" s="115"/>
      <c r="O111" s="115"/>
      <c r="P111" s="115"/>
      <c r="Q111" s="115"/>
      <c r="R111" s="115"/>
      <c r="S111" s="115"/>
      <c r="T111" s="115"/>
      <c r="U111" s="115"/>
      <c r="V111" s="115"/>
      <c r="W111" s="115"/>
      <c r="X111" s="115"/>
      <c r="Y111" s="115"/>
      <c r="Z111" s="115"/>
      <c r="AA111" s="115"/>
      <c r="AB111" s="115"/>
      <c r="AC111" s="115"/>
      <c r="AD111" s="115"/>
      <c r="AE111" s="115"/>
      <c r="AF111" s="115"/>
      <c r="AG111" s="115"/>
      <c r="AH111" s="115"/>
      <c r="AI111" s="115"/>
      <c r="AJ111" s="115"/>
      <c r="AK111" s="115"/>
      <c r="AL111" s="115"/>
      <c r="AM111" s="115"/>
      <c r="AN111" s="115"/>
      <c r="AO111" s="115"/>
      <c r="AP111" s="115"/>
    </row>
    <row r="112" spans="1:42" ht="27.75" customHeight="1">
      <c r="A112" s="115"/>
      <c r="B112" s="115"/>
      <c r="C112" s="295" t="s">
        <v>558</v>
      </c>
      <c r="D112" s="245"/>
      <c r="E112" s="115"/>
      <c r="F112" s="138"/>
      <c r="G112" s="138"/>
      <c r="H112" s="115"/>
      <c r="I112" s="115"/>
      <c r="J112" s="115"/>
      <c r="K112" s="115"/>
      <c r="L112" s="115"/>
      <c r="M112" s="115"/>
      <c r="N112" s="115"/>
      <c r="O112" s="115"/>
      <c r="P112" s="115"/>
      <c r="Q112" s="115"/>
      <c r="R112" s="115"/>
      <c r="S112" s="115"/>
      <c r="T112" s="115"/>
      <c r="U112" s="115"/>
      <c r="V112" s="115"/>
      <c r="W112" s="115"/>
      <c r="X112" s="115"/>
      <c r="Y112" s="115"/>
      <c r="Z112" s="115"/>
      <c r="AA112" s="115"/>
      <c r="AB112" s="115"/>
      <c r="AC112" s="115"/>
      <c r="AD112" s="115"/>
      <c r="AE112" s="115"/>
      <c r="AF112" s="115"/>
      <c r="AG112" s="115"/>
      <c r="AH112" s="115"/>
      <c r="AI112" s="115"/>
      <c r="AJ112" s="115"/>
      <c r="AK112" s="115"/>
      <c r="AL112" s="115"/>
      <c r="AM112" s="115"/>
      <c r="AN112" s="115"/>
      <c r="AO112" s="115"/>
      <c r="AP112" s="115"/>
    </row>
    <row r="113" spans="1:42" ht="27.75" customHeight="1">
      <c r="A113" s="115"/>
      <c r="B113" s="115"/>
      <c r="C113" s="295" t="s">
        <v>559</v>
      </c>
      <c r="D113" s="245"/>
      <c r="E113" s="115"/>
      <c r="F113" s="138"/>
      <c r="G113" s="138"/>
      <c r="H113" s="115"/>
      <c r="I113" s="115"/>
      <c r="J113" s="115"/>
      <c r="K113" s="115"/>
      <c r="L113" s="115"/>
      <c r="M113" s="115"/>
      <c r="N113" s="115"/>
      <c r="O113" s="115"/>
      <c r="P113" s="115"/>
      <c r="Q113" s="115"/>
      <c r="R113" s="115"/>
      <c r="S113" s="115"/>
      <c r="T113" s="115"/>
      <c r="U113" s="115"/>
      <c r="V113" s="115"/>
      <c r="W113" s="115"/>
      <c r="X113" s="115"/>
      <c r="Y113" s="115"/>
      <c r="Z113" s="115"/>
      <c r="AA113" s="115"/>
      <c r="AB113" s="115"/>
      <c r="AC113" s="115"/>
      <c r="AD113" s="115"/>
      <c r="AE113" s="115"/>
      <c r="AF113" s="115"/>
      <c r="AG113" s="115"/>
      <c r="AH113" s="115"/>
      <c r="AI113" s="115"/>
      <c r="AJ113" s="115"/>
      <c r="AK113" s="115"/>
      <c r="AL113" s="115"/>
      <c r="AM113" s="115"/>
      <c r="AN113" s="115"/>
      <c r="AO113" s="115"/>
      <c r="AP113" s="115"/>
    </row>
    <row r="114" spans="1:42" ht="27.75" customHeight="1">
      <c r="A114" s="115"/>
      <c r="B114" s="115"/>
      <c r="C114" s="295" t="s">
        <v>560</v>
      </c>
      <c r="D114" s="245"/>
      <c r="E114" s="115"/>
      <c r="F114" s="138"/>
      <c r="G114" s="138"/>
      <c r="H114" s="115"/>
      <c r="I114" s="115"/>
      <c r="J114" s="115"/>
      <c r="K114" s="115"/>
      <c r="L114" s="115"/>
      <c r="M114" s="115"/>
      <c r="N114" s="115"/>
      <c r="O114" s="115"/>
      <c r="P114" s="115"/>
      <c r="Q114" s="115"/>
      <c r="R114" s="115"/>
      <c r="S114" s="115"/>
      <c r="T114" s="115"/>
      <c r="U114" s="115"/>
      <c r="V114" s="115"/>
      <c r="W114" s="115"/>
      <c r="X114" s="115"/>
      <c r="Y114" s="115"/>
      <c r="Z114" s="115"/>
      <c r="AA114" s="115"/>
      <c r="AB114" s="115"/>
      <c r="AC114" s="115"/>
      <c r="AD114" s="115"/>
      <c r="AE114" s="115"/>
      <c r="AF114" s="115"/>
      <c r="AG114" s="115"/>
      <c r="AH114" s="115"/>
      <c r="AI114" s="115"/>
      <c r="AJ114" s="115"/>
      <c r="AK114" s="115"/>
      <c r="AL114" s="115"/>
      <c r="AM114" s="115"/>
      <c r="AN114" s="115"/>
      <c r="AO114" s="115"/>
      <c r="AP114" s="115"/>
    </row>
    <row r="115" spans="1:42" ht="27.75" customHeight="1">
      <c r="A115" s="115"/>
      <c r="B115" s="115"/>
      <c r="C115" s="295" t="s">
        <v>561</v>
      </c>
      <c r="D115" s="245"/>
      <c r="E115" s="115"/>
      <c r="F115" s="138"/>
      <c r="G115" s="138"/>
      <c r="H115" s="115"/>
      <c r="I115" s="115"/>
      <c r="J115" s="115"/>
      <c r="K115" s="115"/>
      <c r="L115" s="115"/>
      <c r="M115" s="115"/>
      <c r="N115" s="115"/>
      <c r="O115" s="115"/>
      <c r="P115" s="115"/>
      <c r="Q115" s="115"/>
      <c r="R115" s="115"/>
      <c r="S115" s="115"/>
      <c r="T115" s="115"/>
      <c r="U115" s="115"/>
      <c r="V115" s="115"/>
      <c r="W115" s="115"/>
      <c r="X115" s="115"/>
      <c r="Y115" s="115"/>
      <c r="Z115" s="115"/>
      <c r="AA115" s="115"/>
      <c r="AB115" s="115"/>
      <c r="AC115" s="115"/>
      <c r="AD115" s="115"/>
      <c r="AE115" s="115"/>
      <c r="AF115" s="115"/>
      <c r="AG115" s="115"/>
      <c r="AH115" s="115"/>
      <c r="AI115" s="115"/>
      <c r="AJ115" s="115"/>
      <c r="AK115" s="115"/>
      <c r="AL115" s="115"/>
      <c r="AM115" s="115"/>
      <c r="AN115" s="115"/>
      <c r="AO115" s="115"/>
      <c r="AP115" s="115"/>
    </row>
    <row r="116" spans="1:42" ht="27.75" customHeight="1">
      <c r="A116" s="115"/>
      <c r="B116" s="115"/>
      <c r="C116" s="124"/>
      <c r="D116" s="116"/>
      <c r="E116" s="115"/>
      <c r="F116" s="115"/>
      <c r="G116" s="115"/>
      <c r="H116" s="115"/>
      <c r="I116" s="115"/>
      <c r="J116" s="115"/>
      <c r="K116" s="115"/>
      <c r="L116" s="115"/>
      <c r="M116" s="115"/>
      <c r="N116" s="115"/>
      <c r="O116" s="115"/>
      <c r="P116" s="115"/>
      <c r="Q116" s="115"/>
      <c r="R116" s="115"/>
      <c r="S116" s="115"/>
      <c r="T116" s="115"/>
      <c r="U116" s="115"/>
      <c r="V116" s="115"/>
      <c r="W116" s="115"/>
      <c r="X116" s="115"/>
      <c r="Y116" s="115"/>
      <c r="Z116" s="115"/>
      <c r="AA116" s="115"/>
      <c r="AB116" s="115"/>
      <c r="AC116" s="115"/>
      <c r="AD116" s="115"/>
      <c r="AE116" s="115"/>
      <c r="AF116" s="115"/>
      <c r="AG116" s="115"/>
      <c r="AH116" s="115"/>
      <c r="AI116" s="115"/>
      <c r="AJ116" s="115"/>
      <c r="AK116" s="115"/>
      <c r="AL116" s="115"/>
      <c r="AM116" s="115"/>
      <c r="AN116" s="115"/>
      <c r="AO116" s="115"/>
      <c r="AP116" s="115"/>
    </row>
    <row r="117" spans="1:42" ht="20.25" customHeight="1">
      <c r="A117" s="115"/>
      <c r="B117" s="115"/>
      <c r="C117" s="116"/>
      <c r="D117" s="116"/>
      <c r="E117" s="116"/>
      <c r="F117" s="116"/>
      <c r="G117" s="116"/>
      <c r="H117" s="116"/>
      <c r="I117" s="116"/>
      <c r="J117" s="115"/>
      <c r="K117" s="115"/>
      <c r="L117" s="115"/>
      <c r="M117" s="115"/>
      <c r="N117" s="115"/>
      <c r="O117" s="115"/>
      <c r="P117" s="115"/>
      <c r="Q117" s="115"/>
      <c r="R117" s="115"/>
      <c r="S117" s="115"/>
      <c r="T117" s="115"/>
      <c r="U117" s="115"/>
      <c r="V117" s="115"/>
      <c r="W117" s="115"/>
      <c r="X117" s="115"/>
      <c r="Y117" s="115"/>
      <c r="Z117" s="115"/>
      <c r="AA117" s="115"/>
      <c r="AB117" s="115"/>
      <c r="AC117" s="115"/>
      <c r="AD117" s="115"/>
      <c r="AE117" s="115"/>
      <c r="AF117" s="115"/>
      <c r="AG117" s="115"/>
      <c r="AH117" s="115"/>
      <c r="AI117" s="115"/>
      <c r="AJ117" s="115"/>
      <c r="AK117" s="115"/>
      <c r="AL117" s="115"/>
      <c r="AM117" s="115"/>
      <c r="AN117" s="115"/>
      <c r="AO117" s="115"/>
      <c r="AP117" s="115"/>
    </row>
    <row r="118" spans="1:42" ht="20.25" customHeight="1">
      <c r="A118" s="115"/>
      <c r="B118" s="115"/>
      <c r="C118" s="116"/>
      <c r="D118" s="116"/>
      <c r="E118" s="116"/>
      <c r="F118" s="116"/>
      <c r="G118" s="116"/>
      <c r="H118" s="116"/>
      <c r="I118" s="116"/>
      <c r="J118" s="115"/>
      <c r="K118" s="115"/>
      <c r="L118" s="115"/>
      <c r="M118" s="115"/>
      <c r="N118" s="115"/>
      <c r="O118" s="115"/>
      <c r="P118" s="115"/>
      <c r="Q118" s="115"/>
      <c r="R118" s="115"/>
      <c r="S118" s="115"/>
      <c r="T118" s="115"/>
      <c r="U118" s="115"/>
      <c r="V118" s="115"/>
      <c r="W118" s="115"/>
      <c r="X118" s="115"/>
      <c r="Y118" s="115"/>
      <c r="Z118" s="115"/>
      <c r="AA118" s="115"/>
      <c r="AB118" s="115"/>
      <c r="AC118" s="115"/>
      <c r="AD118" s="115"/>
      <c r="AE118" s="115"/>
      <c r="AF118" s="115"/>
      <c r="AG118" s="115"/>
      <c r="AH118" s="115"/>
      <c r="AI118" s="115"/>
      <c r="AJ118" s="115"/>
      <c r="AK118" s="115"/>
      <c r="AL118" s="115"/>
      <c r="AM118" s="115"/>
      <c r="AN118" s="115"/>
      <c r="AO118" s="115"/>
      <c r="AP118" s="115"/>
    </row>
    <row r="119" spans="1:42" ht="20.25" customHeight="1">
      <c r="A119" s="115"/>
      <c r="B119" s="115"/>
      <c r="C119" s="116"/>
      <c r="D119" s="116"/>
      <c r="E119" s="116"/>
      <c r="F119" s="116"/>
      <c r="G119" s="116"/>
      <c r="H119" s="116"/>
      <c r="I119" s="116"/>
      <c r="J119" s="115"/>
      <c r="K119" s="115"/>
      <c r="L119" s="115"/>
      <c r="M119" s="115"/>
      <c r="N119" s="115"/>
      <c r="O119" s="115"/>
      <c r="P119" s="115"/>
      <c r="Q119" s="115"/>
      <c r="R119" s="115"/>
      <c r="S119" s="115"/>
      <c r="T119" s="115"/>
      <c r="U119" s="115"/>
      <c r="V119" s="115"/>
      <c r="W119" s="115"/>
      <c r="X119" s="115"/>
      <c r="Y119" s="115"/>
      <c r="Z119" s="115"/>
      <c r="AA119" s="115"/>
      <c r="AB119" s="115"/>
      <c r="AC119" s="115"/>
      <c r="AD119" s="115"/>
      <c r="AE119" s="115"/>
      <c r="AF119" s="115"/>
      <c r="AG119" s="115"/>
      <c r="AH119" s="115"/>
      <c r="AI119" s="115"/>
      <c r="AJ119" s="115"/>
      <c r="AK119" s="115"/>
      <c r="AL119" s="115"/>
      <c r="AM119" s="115"/>
      <c r="AN119" s="115"/>
      <c r="AO119" s="115"/>
      <c r="AP119" s="115"/>
    </row>
    <row r="120" spans="1:42" ht="20.25" customHeight="1">
      <c r="A120" s="115"/>
      <c r="B120" s="115"/>
      <c r="C120" s="116"/>
      <c r="D120" s="116"/>
      <c r="E120" s="116"/>
      <c r="F120" s="116"/>
      <c r="G120" s="116"/>
      <c r="H120" s="116"/>
      <c r="I120" s="116"/>
      <c r="J120" s="115"/>
      <c r="K120" s="115"/>
      <c r="L120" s="115"/>
      <c r="M120" s="115"/>
      <c r="N120" s="115"/>
      <c r="O120" s="115"/>
      <c r="P120" s="115"/>
      <c r="Q120" s="115"/>
      <c r="R120" s="115"/>
      <c r="S120" s="115"/>
      <c r="T120" s="115"/>
      <c r="U120" s="115"/>
      <c r="V120" s="115"/>
      <c r="W120" s="115"/>
      <c r="X120" s="115"/>
      <c r="Y120" s="115"/>
      <c r="Z120" s="115"/>
      <c r="AA120" s="115"/>
      <c r="AB120" s="115"/>
      <c r="AC120" s="115"/>
      <c r="AD120" s="115"/>
      <c r="AE120" s="115"/>
      <c r="AF120" s="115"/>
      <c r="AG120" s="115"/>
      <c r="AH120" s="115"/>
      <c r="AI120" s="115"/>
      <c r="AJ120" s="115"/>
      <c r="AK120" s="115"/>
      <c r="AL120" s="115"/>
      <c r="AM120" s="115"/>
      <c r="AN120" s="115"/>
      <c r="AO120" s="115"/>
      <c r="AP120" s="115"/>
    </row>
    <row r="121" spans="1:42" ht="20.25" customHeight="1">
      <c r="A121" s="115"/>
      <c r="B121" s="115"/>
      <c r="C121" s="116"/>
      <c r="D121" s="116"/>
      <c r="E121" s="116"/>
      <c r="F121" s="116"/>
      <c r="G121" s="116"/>
      <c r="H121" s="116"/>
      <c r="I121" s="116"/>
      <c r="J121" s="115"/>
      <c r="K121" s="115"/>
      <c r="L121" s="115"/>
      <c r="M121" s="115"/>
      <c r="N121" s="115"/>
      <c r="O121" s="115"/>
      <c r="P121" s="115"/>
      <c r="Q121" s="115"/>
      <c r="R121" s="115"/>
      <c r="S121" s="115"/>
      <c r="T121" s="115"/>
      <c r="U121" s="115"/>
      <c r="V121" s="115"/>
      <c r="W121" s="115"/>
      <c r="X121" s="115"/>
      <c r="Y121" s="115"/>
      <c r="Z121" s="115"/>
      <c r="AA121" s="115"/>
      <c r="AB121" s="115"/>
      <c r="AC121" s="115"/>
      <c r="AD121" s="115"/>
      <c r="AE121" s="115"/>
      <c r="AF121" s="115"/>
      <c r="AG121" s="115"/>
      <c r="AH121" s="115"/>
      <c r="AI121" s="115"/>
      <c r="AJ121" s="115"/>
      <c r="AK121" s="115"/>
      <c r="AL121" s="115"/>
      <c r="AM121" s="115"/>
      <c r="AN121" s="115"/>
      <c r="AO121" s="115"/>
      <c r="AP121" s="115"/>
    </row>
    <row r="122" spans="1:42" ht="20.25" customHeight="1">
      <c r="A122" s="115"/>
      <c r="B122" s="115"/>
      <c r="C122" s="116"/>
      <c r="D122" s="116"/>
      <c r="E122" s="116"/>
      <c r="F122" s="116"/>
      <c r="G122" s="116"/>
      <c r="H122" s="116"/>
      <c r="I122" s="116"/>
      <c r="J122" s="115"/>
      <c r="K122" s="115"/>
      <c r="L122" s="115"/>
      <c r="M122" s="115"/>
      <c r="N122" s="115"/>
      <c r="O122" s="115"/>
      <c r="P122" s="115"/>
      <c r="Q122" s="115"/>
      <c r="R122" s="115"/>
      <c r="S122" s="115"/>
      <c r="T122" s="115"/>
      <c r="U122" s="115"/>
      <c r="V122" s="115"/>
      <c r="W122" s="115"/>
      <c r="X122" s="115"/>
      <c r="Y122" s="115"/>
      <c r="Z122" s="115"/>
      <c r="AA122" s="115"/>
      <c r="AB122" s="115"/>
      <c r="AC122" s="115"/>
      <c r="AD122" s="115"/>
      <c r="AE122" s="115"/>
      <c r="AF122" s="115"/>
      <c r="AG122" s="115"/>
      <c r="AH122" s="115"/>
      <c r="AI122" s="115"/>
      <c r="AJ122" s="115"/>
      <c r="AK122" s="115"/>
      <c r="AL122" s="115"/>
      <c r="AM122" s="115"/>
      <c r="AN122" s="115"/>
      <c r="AO122" s="115"/>
      <c r="AP122" s="115"/>
    </row>
    <row r="123" spans="1:42" ht="20.25" customHeight="1">
      <c r="A123" s="115"/>
      <c r="B123" s="115"/>
      <c r="C123" s="116"/>
      <c r="D123" s="116"/>
      <c r="E123" s="116"/>
      <c r="F123" s="116"/>
      <c r="G123" s="116"/>
      <c r="H123" s="116"/>
      <c r="I123" s="116"/>
      <c r="J123" s="115"/>
      <c r="K123" s="115"/>
      <c r="L123" s="115"/>
      <c r="M123" s="115"/>
      <c r="N123" s="115"/>
      <c r="O123" s="115"/>
      <c r="P123" s="115"/>
      <c r="Q123" s="115"/>
      <c r="R123" s="115"/>
      <c r="S123" s="115"/>
      <c r="T123" s="115"/>
      <c r="U123" s="115"/>
      <c r="V123" s="115"/>
      <c r="W123" s="115"/>
      <c r="X123" s="115"/>
      <c r="Y123" s="115"/>
      <c r="Z123" s="115"/>
      <c r="AA123" s="115"/>
      <c r="AB123" s="115"/>
      <c r="AC123" s="115"/>
      <c r="AD123" s="115"/>
      <c r="AE123" s="115"/>
      <c r="AF123" s="115"/>
      <c r="AG123" s="115"/>
      <c r="AH123" s="115"/>
      <c r="AI123" s="115"/>
      <c r="AJ123" s="115"/>
      <c r="AK123" s="115"/>
      <c r="AL123" s="115"/>
      <c r="AM123" s="115"/>
      <c r="AN123" s="115"/>
      <c r="AO123" s="115"/>
      <c r="AP123" s="115"/>
    </row>
    <row r="124" spans="1:42" ht="20.25" customHeight="1">
      <c r="A124" s="115"/>
      <c r="B124" s="115"/>
      <c r="C124" s="116"/>
      <c r="D124" s="116"/>
      <c r="E124" s="116"/>
      <c r="F124" s="116"/>
      <c r="G124" s="116"/>
      <c r="H124" s="116"/>
      <c r="I124" s="116"/>
      <c r="J124" s="115"/>
      <c r="K124" s="115"/>
      <c r="L124" s="115"/>
      <c r="M124" s="115"/>
      <c r="N124" s="115"/>
      <c r="O124" s="115"/>
      <c r="P124" s="115"/>
      <c r="Q124" s="115"/>
      <c r="R124" s="115"/>
      <c r="S124" s="115"/>
      <c r="T124" s="115"/>
      <c r="U124" s="115"/>
      <c r="V124" s="115"/>
      <c r="W124" s="115"/>
      <c r="X124" s="115"/>
      <c r="Y124" s="115"/>
      <c r="Z124" s="115"/>
      <c r="AA124" s="115"/>
      <c r="AB124" s="115"/>
      <c r="AC124" s="115"/>
      <c r="AD124" s="115"/>
      <c r="AE124" s="115"/>
      <c r="AF124" s="115"/>
      <c r="AG124" s="115"/>
      <c r="AH124" s="115"/>
      <c r="AI124" s="115"/>
      <c r="AJ124" s="115"/>
      <c r="AK124" s="115"/>
      <c r="AL124" s="115"/>
      <c r="AM124" s="115"/>
      <c r="AN124" s="115"/>
      <c r="AO124" s="115"/>
      <c r="AP124" s="115"/>
    </row>
    <row r="125" spans="1:42" ht="20.25" customHeight="1">
      <c r="A125" s="115"/>
      <c r="B125" s="115"/>
      <c r="C125" s="116"/>
      <c r="D125" s="116"/>
      <c r="E125" s="116"/>
      <c r="F125" s="116"/>
      <c r="G125" s="116"/>
      <c r="H125" s="116"/>
      <c r="I125" s="116"/>
      <c r="J125" s="115"/>
      <c r="K125" s="115"/>
      <c r="L125" s="115"/>
      <c r="M125" s="115"/>
      <c r="N125" s="115"/>
      <c r="O125" s="115"/>
      <c r="P125" s="115"/>
      <c r="Q125" s="115"/>
      <c r="R125" s="115"/>
      <c r="S125" s="115"/>
      <c r="T125" s="115"/>
      <c r="U125" s="115"/>
      <c r="V125" s="115"/>
      <c r="W125" s="115"/>
      <c r="X125" s="115"/>
      <c r="Y125" s="115"/>
      <c r="Z125" s="115"/>
      <c r="AA125" s="115"/>
      <c r="AB125" s="115"/>
      <c r="AC125" s="115"/>
      <c r="AD125" s="115"/>
      <c r="AE125" s="115"/>
      <c r="AF125" s="115"/>
      <c r="AG125" s="115"/>
      <c r="AH125" s="115"/>
      <c r="AI125" s="115"/>
      <c r="AJ125" s="115"/>
      <c r="AK125" s="115"/>
      <c r="AL125" s="115"/>
      <c r="AM125" s="115"/>
      <c r="AN125" s="115"/>
      <c r="AO125" s="115"/>
      <c r="AP125" s="115"/>
    </row>
    <row r="126" spans="1:42" ht="20.25" customHeight="1">
      <c r="A126" s="115"/>
      <c r="B126" s="115"/>
      <c r="C126" s="116"/>
      <c r="D126" s="116"/>
      <c r="E126" s="116"/>
      <c r="F126" s="116"/>
      <c r="G126" s="116"/>
      <c r="H126" s="116"/>
      <c r="I126" s="116"/>
      <c r="J126" s="115"/>
      <c r="K126" s="115"/>
      <c r="L126" s="115"/>
      <c r="M126" s="115"/>
      <c r="N126" s="115"/>
      <c r="O126" s="115"/>
      <c r="P126" s="115"/>
      <c r="Q126" s="115"/>
      <c r="R126" s="115"/>
      <c r="S126" s="115"/>
      <c r="T126" s="115"/>
      <c r="U126" s="115"/>
      <c r="V126" s="115"/>
      <c r="W126" s="115"/>
      <c r="X126" s="115"/>
      <c r="Y126" s="115"/>
      <c r="Z126" s="115"/>
      <c r="AA126" s="115"/>
      <c r="AB126" s="115"/>
      <c r="AC126" s="115"/>
      <c r="AD126" s="115"/>
      <c r="AE126" s="115"/>
      <c r="AF126" s="115"/>
      <c r="AG126" s="115"/>
      <c r="AH126" s="115"/>
      <c r="AI126" s="115"/>
      <c r="AJ126" s="115"/>
      <c r="AK126" s="115"/>
      <c r="AL126" s="115"/>
      <c r="AM126" s="115"/>
      <c r="AN126" s="115"/>
      <c r="AO126" s="115"/>
      <c r="AP126" s="115"/>
    </row>
    <row r="127" spans="1:42" ht="20.25" customHeight="1">
      <c r="A127" s="115"/>
      <c r="B127" s="115"/>
      <c r="C127" s="116"/>
      <c r="D127" s="116"/>
      <c r="E127" s="116"/>
      <c r="F127" s="116"/>
      <c r="G127" s="116"/>
      <c r="H127" s="116"/>
      <c r="I127" s="116"/>
      <c r="J127" s="115"/>
      <c r="K127" s="115"/>
      <c r="L127" s="115"/>
      <c r="M127" s="115"/>
      <c r="N127" s="115"/>
      <c r="O127" s="115"/>
      <c r="P127" s="115"/>
      <c r="Q127" s="115"/>
      <c r="R127" s="115"/>
      <c r="S127" s="115"/>
      <c r="T127" s="115"/>
      <c r="U127" s="115"/>
      <c r="V127" s="115"/>
      <c r="W127" s="115"/>
      <c r="X127" s="115"/>
      <c r="Y127" s="115"/>
      <c r="Z127" s="115"/>
      <c r="AA127" s="115"/>
      <c r="AB127" s="115"/>
      <c r="AC127" s="115"/>
      <c r="AD127" s="115"/>
      <c r="AE127" s="115"/>
      <c r="AF127" s="115"/>
      <c r="AG127" s="115"/>
      <c r="AH127" s="115"/>
      <c r="AI127" s="115"/>
      <c r="AJ127" s="115"/>
      <c r="AK127" s="115"/>
      <c r="AL127" s="115"/>
      <c r="AM127" s="115"/>
      <c r="AN127" s="115"/>
      <c r="AO127" s="115"/>
      <c r="AP127" s="115"/>
    </row>
    <row r="128" spans="1:42" ht="20.25" customHeight="1">
      <c r="A128" s="115"/>
      <c r="B128" s="115"/>
      <c r="C128" s="116"/>
      <c r="D128" s="116"/>
      <c r="E128" s="116"/>
      <c r="F128" s="116"/>
      <c r="G128" s="116"/>
      <c r="H128" s="116"/>
      <c r="I128" s="116"/>
      <c r="J128" s="115"/>
      <c r="K128" s="115"/>
      <c r="L128" s="115"/>
      <c r="M128" s="115"/>
      <c r="N128" s="115"/>
      <c r="O128" s="115"/>
      <c r="P128" s="115"/>
      <c r="Q128" s="115"/>
      <c r="R128" s="115"/>
      <c r="S128" s="115"/>
      <c r="T128" s="115"/>
      <c r="U128" s="115"/>
      <c r="V128" s="115"/>
      <c r="W128" s="115"/>
      <c r="X128" s="115"/>
      <c r="Y128" s="115"/>
      <c r="Z128" s="115"/>
      <c r="AA128" s="115"/>
      <c r="AB128" s="115"/>
      <c r="AC128" s="115"/>
      <c r="AD128" s="115"/>
      <c r="AE128" s="115"/>
      <c r="AF128" s="115"/>
      <c r="AG128" s="115"/>
      <c r="AH128" s="115"/>
      <c r="AI128" s="115"/>
      <c r="AJ128" s="115"/>
      <c r="AK128" s="115"/>
      <c r="AL128" s="115"/>
      <c r="AM128" s="115"/>
      <c r="AN128" s="115"/>
      <c r="AO128" s="115"/>
      <c r="AP128" s="115"/>
    </row>
    <row r="129" spans="1:42" ht="20.25" customHeight="1">
      <c r="A129" s="115"/>
      <c r="B129" s="115"/>
      <c r="C129" s="116"/>
      <c r="D129" s="116"/>
      <c r="E129" s="116"/>
      <c r="F129" s="116"/>
      <c r="G129" s="116"/>
      <c r="H129" s="116"/>
      <c r="I129" s="116"/>
      <c r="J129" s="115"/>
      <c r="K129" s="115"/>
      <c r="L129" s="115"/>
      <c r="M129" s="115"/>
      <c r="N129" s="115"/>
      <c r="O129" s="115"/>
      <c r="P129" s="115"/>
      <c r="Q129" s="115"/>
      <c r="R129" s="115"/>
      <c r="S129" s="115"/>
      <c r="T129" s="115"/>
      <c r="U129" s="115"/>
      <c r="V129" s="115"/>
      <c r="W129" s="115"/>
      <c r="X129" s="115"/>
      <c r="Y129" s="115"/>
      <c r="Z129" s="115"/>
      <c r="AA129" s="115"/>
      <c r="AB129" s="115"/>
      <c r="AC129" s="115"/>
      <c r="AD129" s="115"/>
      <c r="AE129" s="115"/>
      <c r="AF129" s="115"/>
      <c r="AG129" s="115"/>
      <c r="AH129" s="115"/>
      <c r="AI129" s="115"/>
      <c r="AJ129" s="115"/>
      <c r="AK129" s="115"/>
      <c r="AL129" s="115"/>
      <c r="AM129" s="115"/>
      <c r="AN129" s="115"/>
      <c r="AO129" s="115"/>
      <c r="AP129" s="115"/>
    </row>
    <row r="130" spans="1:42" ht="20.25" customHeight="1">
      <c r="A130" s="115"/>
      <c r="B130" s="115"/>
      <c r="C130" s="116"/>
      <c r="D130" s="116"/>
      <c r="E130" s="116"/>
      <c r="F130" s="116"/>
      <c r="G130" s="116"/>
      <c r="H130" s="116"/>
      <c r="I130" s="116"/>
      <c r="J130" s="115"/>
      <c r="K130" s="115"/>
      <c r="L130" s="115"/>
      <c r="M130" s="115"/>
      <c r="N130" s="115"/>
      <c r="O130" s="115"/>
      <c r="P130" s="115"/>
      <c r="Q130" s="115"/>
      <c r="R130" s="115"/>
      <c r="S130" s="115"/>
      <c r="T130" s="115"/>
      <c r="U130" s="115"/>
      <c r="V130" s="115"/>
      <c r="W130" s="115"/>
      <c r="X130" s="115"/>
      <c r="Y130" s="115"/>
      <c r="Z130" s="115"/>
      <c r="AA130" s="115"/>
      <c r="AB130" s="115"/>
      <c r="AC130" s="115"/>
      <c r="AD130" s="115"/>
      <c r="AE130" s="115"/>
      <c r="AF130" s="115"/>
      <c r="AG130" s="115"/>
      <c r="AH130" s="115"/>
      <c r="AI130" s="115"/>
      <c r="AJ130" s="115"/>
      <c r="AK130" s="115"/>
      <c r="AL130" s="115"/>
      <c r="AM130" s="115"/>
      <c r="AN130" s="115"/>
      <c r="AO130" s="115"/>
      <c r="AP130" s="115"/>
    </row>
    <row r="131" spans="1:42" ht="20.25" customHeight="1">
      <c r="A131" s="115"/>
      <c r="B131" s="115"/>
      <c r="C131" s="116"/>
      <c r="D131" s="116"/>
      <c r="E131" s="116"/>
      <c r="F131" s="116"/>
      <c r="G131" s="116"/>
      <c r="H131" s="116"/>
      <c r="I131" s="116"/>
      <c r="J131" s="115"/>
      <c r="K131" s="115"/>
      <c r="L131" s="115"/>
      <c r="M131" s="115"/>
      <c r="N131" s="115"/>
      <c r="O131" s="115"/>
      <c r="P131" s="115"/>
      <c r="Q131" s="115"/>
      <c r="R131" s="115"/>
      <c r="S131" s="115"/>
      <c r="T131" s="115"/>
      <c r="U131" s="115"/>
      <c r="V131" s="115"/>
      <c r="W131" s="115"/>
      <c r="X131" s="115"/>
      <c r="Y131" s="115"/>
      <c r="Z131" s="115"/>
      <c r="AA131" s="115"/>
      <c r="AB131" s="115"/>
      <c r="AC131" s="115"/>
      <c r="AD131" s="115"/>
      <c r="AE131" s="115"/>
      <c r="AF131" s="115"/>
      <c r="AG131" s="115"/>
      <c r="AH131" s="115"/>
      <c r="AI131" s="115"/>
      <c r="AJ131" s="115"/>
      <c r="AK131" s="115"/>
      <c r="AL131" s="115"/>
      <c r="AM131" s="115"/>
      <c r="AN131" s="115"/>
      <c r="AO131" s="115"/>
      <c r="AP131" s="115"/>
    </row>
    <row r="132" spans="1:42" ht="20.25" customHeight="1">
      <c r="A132" s="115"/>
      <c r="B132" s="115"/>
      <c r="C132" s="116"/>
      <c r="D132" s="116"/>
      <c r="E132" s="116"/>
      <c r="F132" s="116"/>
      <c r="G132" s="116"/>
      <c r="H132" s="116"/>
      <c r="I132" s="116"/>
      <c r="J132" s="115"/>
      <c r="K132" s="115"/>
      <c r="L132" s="115"/>
      <c r="M132" s="115"/>
      <c r="N132" s="115"/>
      <c r="O132" s="115"/>
      <c r="P132" s="115"/>
      <c r="Q132" s="115"/>
      <c r="R132" s="115"/>
      <c r="S132" s="115"/>
      <c r="T132" s="115"/>
      <c r="U132" s="115"/>
      <c r="V132" s="115"/>
      <c r="W132" s="115"/>
      <c r="X132" s="115"/>
      <c r="Y132" s="115"/>
      <c r="Z132" s="115"/>
      <c r="AA132" s="115"/>
      <c r="AB132" s="115"/>
      <c r="AC132" s="115"/>
      <c r="AD132" s="115"/>
      <c r="AE132" s="115"/>
      <c r="AF132" s="115"/>
      <c r="AG132" s="115"/>
      <c r="AH132" s="115"/>
      <c r="AI132" s="115"/>
      <c r="AJ132" s="115"/>
      <c r="AK132" s="115"/>
      <c r="AL132" s="115"/>
      <c r="AM132" s="115"/>
      <c r="AN132" s="115"/>
      <c r="AO132" s="115"/>
      <c r="AP132" s="115"/>
    </row>
    <row r="133" spans="1:42" ht="20.25" customHeight="1">
      <c r="A133" s="115"/>
      <c r="B133" s="115"/>
      <c r="C133" s="116"/>
      <c r="D133" s="116"/>
      <c r="E133" s="116"/>
      <c r="F133" s="116"/>
      <c r="G133" s="116"/>
      <c r="H133" s="116"/>
      <c r="I133" s="116"/>
      <c r="J133" s="115"/>
      <c r="K133" s="115"/>
      <c r="L133" s="115"/>
      <c r="M133" s="115"/>
      <c r="N133" s="115"/>
      <c r="O133" s="115"/>
      <c r="P133" s="115"/>
      <c r="Q133" s="115"/>
      <c r="R133" s="115"/>
      <c r="S133" s="115"/>
      <c r="T133" s="115"/>
      <c r="U133" s="115"/>
      <c r="V133" s="115"/>
      <c r="W133" s="115"/>
      <c r="X133" s="115"/>
      <c r="Y133" s="115"/>
      <c r="Z133" s="115"/>
      <c r="AA133" s="115"/>
      <c r="AB133" s="115"/>
      <c r="AC133" s="115"/>
      <c r="AD133" s="115"/>
      <c r="AE133" s="115"/>
      <c r="AF133" s="115"/>
      <c r="AG133" s="115"/>
      <c r="AH133" s="115"/>
      <c r="AI133" s="115"/>
      <c r="AJ133" s="115"/>
      <c r="AK133" s="115"/>
      <c r="AL133" s="115"/>
      <c r="AM133" s="115"/>
      <c r="AN133" s="115"/>
      <c r="AO133" s="115"/>
      <c r="AP133" s="115"/>
    </row>
    <row r="134" spans="1:42" ht="20.25" customHeight="1">
      <c r="A134" s="115"/>
      <c r="B134" s="115"/>
      <c r="C134" s="116"/>
      <c r="D134" s="116"/>
      <c r="E134" s="116"/>
      <c r="F134" s="116"/>
      <c r="G134" s="116"/>
      <c r="H134" s="116"/>
      <c r="I134" s="116"/>
      <c r="J134" s="115"/>
      <c r="K134" s="115"/>
      <c r="L134" s="115"/>
      <c r="M134" s="115"/>
      <c r="N134" s="115"/>
      <c r="O134" s="115"/>
      <c r="P134" s="115"/>
      <c r="Q134" s="115"/>
      <c r="R134" s="115"/>
      <c r="S134" s="115"/>
      <c r="T134" s="115"/>
      <c r="U134" s="115"/>
      <c r="V134" s="115"/>
      <c r="W134" s="115"/>
      <c r="X134" s="115"/>
      <c r="Y134" s="115"/>
      <c r="Z134" s="115"/>
      <c r="AA134" s="115"/>
      <c r="AB134" s="115"/>
      <c r="AC134" s="115"/>
      <c r="AD134" s="115"/>
      <c r="AE134" s="115"/>
      <c r="AF134" s="115"/>
      <c r="AG134" s="115"/>
      <c r="AH134" s="115"/>
      <c r="AI134" s="115"/>
      <c r="AJ134" s="115"/>
      <c r="AK134" s="115"/>
      <c r="AL134" s="115"/>
      <c r="AM134" s="115"/>
      <c r="AN134" s="115"/>
      <c r="AO134" s="115"/>
      <c r="AP134" s="115"/>
    </row>
    <row r="135" spans="1:42" ht="20.25" customHeight="1">
      <c r="A135" s="115"/>
      <c r="B135" s="115"/>
      <c r="C135" s="116"/>
      <c r="D135" s="116"/>
      <c r="E135" s="116"/>
      <c r="F135" s="116"/>
      <c r="G135" s="116"/>
      <c r="H135" s="116"/>
      <c r="I135" s="116"/>
      <c r="J135" s="115"/>
      <c r="K135" s="115"/>
      <c r="L135" s="115"/>
      <c r="M135" s="115"/>
      <c r="N135" s="115"/>
      <c r="O135" s="115"/>
      <c r="P135" s="115"/>
      <c r="Q135" s="115"/>
      <c r="R135" s="115"/>
      <c r="S135" s="115"/>
      <c r="T135" s="115"/>
      <c r="U135" s="115"/>
      <c r="V135" s="115"/>
      <c r="W135" s="115"/>
      <c r="X135" s="115"/>
      <c r="Y135" s="115"/>
      <c r="Z135" s="115"/>
      <c r="AA135" s="115"/>
      <c r="AB135" s="115"/>
      <c r="AC135" s="115"/>
      <c r="AD135" s="115"/>
      <c r="AE135" s="115"/>
      <c r="AF135" s="115"/>
      <c r="AG135" s="115"/>
      <c r="AH135" s="115"/>
      <c r="AI135" s="115"/>
      <c r="AJ135" s="115"/>
      <c r="AK135" s="115"/>
      <c r="AL135" s="115"/>
      <c r="AM135" s="115"/>
      <c r="AN135" s="115"/>
      <c r="AO135" s="115"/>
      <c r="AP135" s="115"/>
    </row>
    <row r="136" spans="1:42" ht="20.25" customHeight="1">
      <c r="A136" s="115"/>
      <c r="B136" s="115"/>
      <c r="C136" s="116"/>
      <c r="D136" s="116"/>
      <c r="E136" s="116"/>
      <c r="F136" s="116"/>
      <c r="G136" s="116"/>
      <c r="H136" s="116"/>
      <c r="I136" s="116"/>
      <c r="J136" s="115"/>
      <c r="K136" s="115"/>
      <c r="L136" s="115"/>
      <c r="M136" s="115"/>
      <c r="N136" s="115"/>
      <c r="O136" s="115"/>
      <c r="P136" s="115"/>
      <c r="Q136" s="115"/>
      <c r="R136" s="115"/>
      <c r="S136" s="115"/>
      <c r="T136" s="115"/>
      <c r="U136" s="115"/>
      <c r="V136" s="115"/>
      <c r="W136" s="115"/>
      <c r="X136" s="115"/>
      <c r="Y136" s="115"/>
      <c r="Z136" s="115"/>
      <c r="AA136" s="115"/>
      <c r="AB136" s="115"/>
      <c r="AC136" s="115"/>
      <c r="AD136" s="115"/>
      <c r="AE136" s="115"/>
      <c r="AF136" s="115"/>
      <c r="AG136" s="115"/>
      <c r="AH136" s="115"/>
      <c r="AI136" s="115"/>
      <c r="AJ136" s="115"/>
      <c r="AK136" s="115"/>
      <c r="AL136" s="115"/>
      <c r="AM136" s="115"/>
      <c r="AN136" s="115"/>
      <c r="AO136" s="115"/>
      <c r="AP136" s="115"/>
    </row>
    <row r="137" spans="1:42" ht="20.25" customHeight="1">
      <c r="A137" s="115"/>
      <c r="B137" s="115"/>
      <c r="C137" s="116"/>
      <c r="D137" s="116"/>
      <c r="E137" s="116"/>
      <c r="F137" s="116"/>
      <c r="G137" s="116"/>
      <c r="H137" s="116"/>
      <c r="I137" s="116"/>
      <c r="J137" s="115"/>
      <c r="K137" s="115"/>
      <c r="L137" s="115"/>
      <c r="M137" s="115"/>
      <c r="N137" s="115"/>
      <c r="O137" s="115"/>
      <c r="P137" s="115"/>
      <c r="Q137" s="115"/>
      <c r="R137" s="115"/>
      <c r="S137" s="115"/>
      <c r="T137" s="115"/>
      <c r="U137" s="115"/>
      <c r="V137" s="115"/>
      <c r="W137" s="115"/>
      <c r="X137" s="115"/>
      <c r="Y137" s="115"/>
      <c r="Z137" s="115"/>
      <c r="AA137" s="115"/>
      <c r="AB137" s="115"/>
      <c r="AC137" s="115"/>
      <c r="AD137" s="115"/>
      <c r="AE137" s="115"/>
      <c r="AF137" s="115"/>
      <c r="AG137" s="115"/>
      <c r="AH137" s="115"/>
      <c r="AI137" s="115"/>
      <c r="AJ137" s="115"/>
      <c r="AK137" s="115"/>
      <c r="AL137" s="115"/>
      <c r="AM137" s="115"/>
      <c r="AN137" s="115"/>
      <c r="AO137" s="115"/>
      <c r="AP137" s="115"/>
    </row>
    <row r="138" spans="1:42" ht="20.25" customHeight="1">
      <c r="A138" s="115"/>
      <c r="B138" s="115"/>
      <c r="C138" s="116"/>
      <c r="D138" s="116"/>
      <c r="E138" s="116"/>
      <c r="F138" s="116"/>
      <c r="G138" s="116"/>
      <c r="H138" s="116"/>
      <c r="I138" s="116"/>
      <c r="J138" s="115"/>
      <c r="K138" s="115"/>
      <c r="L138" s="115"/>
      <c r="M138" s="115"/>
      <c r="N138" s="115"/>
      <c r="O138" s="115"/>
      <c r="P138" s="115"/>
      <c r="Q138" s="115"/>
      <c r="R138" s="115"/>
      <c r="S138" s="115"/>
      <c r="T138" s="115"/>
      <c r="U138" s="115"/>
      <c r="V138" s="115"/>
      <c r="W138" s="115"/>
      <c r="X138" s="115"/>
      <c r="Y138" s="115"/>
      <c r="Z138" s="115"/>
      <c r="AA138" s="115"/>
      <c r="AB138" s="115"/>
      <c r="AC138" s="115"/>
      <c r="AD138" s="115"/>
      <c r="AE138" s="115"/>
      <c r="AF138" s="115"/>
      <c r="AG138" s="115"/>
      <c r="AH138" s="115"/>
      <c r="AI138" s="115"/>
      <c r="AJ138" s="115"/>
      <c r="AK138" s="115"/>
      <c r="AL138" s="115"/>
      <c r="AM138" s="115"/>
      <c r="AN138" s="115"/>
      <c r="AO138" s="115"/>
      <c r="AP138" s="115"/>
    </row>
    <row r="139" spans="1:42" ht="20.25" customHeight="1">
      <c r="A139" s="115"/>
      <c r="B139" s="115"/>
      <c r="C139" s="116"/>
      <c r="D139" s="116"/>
      <c r="E139" s="116"/>
      <c r="F139" s="116"/>
      <c r="G139" s="116"/>
      <c r="H139" s="116"/>
      <c r="I139" s="116"/>
      <c r="J139" s="115"/>
      <c r="K139" s="115"/>
      <c r="L139" s="115"/>
      <c r="M139" s="115"/>
      <c r="N139" s="115"/>
      <c r="O139" s="115"/>
      <c r="P139" s="115"/>
      <c r="Q139" s="115"/>
      <c r="R139" s="115"/>
      <c r="S139" s="115"/>
      <c r="T139" s="115"/>
      <c r="U139" s="115"/>
      <c r="V139" s="115"/>
      <c r="W139" s="115"/>
      <c r="X139" s="115"/>
      <c r="Y139" s="115"/>
      <c r="Z139" s="115"/>
      <c r="AA139" s="115"/>
      <c r="AB139" s="115"/>
      <c r="AC139" s="115"/>
      <c r="AD139" s="115"/>
      <c r="AE139" s="115"/>
      <c r="AF139" s="115"/>
      <c r="AG139" s="115"/>
      <c r="AH139" s="115"/>
      <c r="AI139" s="115"/>
      <c r="AJ139" s="115"/>
      <c r="AK139" s="115"/>
      <c r="AL139" s="115"/>
      <c r="AM139" s="115"/>
      <c r="AN139" s="115"/>
      <c r="AO139" s="115"/>
      <c r="AP139" s="115"/>
    </row>
    <row r="140" spans="1:42" ht="20.25" customHeight="1">
      <c r="A140" s="115"/>
      <c r="B140" s="115"/>
      <c r="C140" s="116"/>
      <c r="D140" s="116"/>
      <c r="E140" s="116"/>
      <c r="F140" s="116"/>
      <c r="G140" s="116"/>
      <c r="H140" s="116"/>
      <c r="I140" s="116"/>
      <c r="J140" s="115"/>
      <c r="K140" s="115"/>
      <c r="L140" s="115"/>
      <c r="M140" s="115"/>
      <c r="N140" s="115"/>
      <c r="O140" s="115"/>
      <c r="P140" s="115"/>
      <c r="Q140" s="115"/>
      <c r="R140" s="115"/>
      <c r="S140" s="115"/>
      <c r="T140" s="115"/>
      <c r="U140" s="115"/>
      <c r="V140" s="115"/>
      <c r="W140" s="115"/>
      <c r="X140" s="115"/>
      <c r="Y140" s="115"/>
      <c r="Z140" s="115"/>
      <c r="AA140" s="115"/>
      <c r="AB140" s="115"/>
      <c r="AC140" s="115"/>
      <c r="AD140" s="115"/>
      <c r="AE140" s="115"/>
      <c r="AF140" s="115"/>
      <c r="AG140" s="115"/>
      <c r="AH140" s="115"/>
      <c r="AI140" s="115"/>
      <c r="AJ140" s="115"/>
      <c r="AK140" s="115"/>
      <c r="AL140" s="115"/>
      <c r="AM140" s="115"/>
      <c r="AN140" s="115"/>
      <c r="AO140" s="115"/>
      <c r="AP140" s="115"/>
    </row>
    <row r="141" spans="1:42" ht="20.25" customHeight="1">
      <c r="A141" s="115"/>
      <c r="B141" s="115"/>
      <c r="C141" s="116"/>
      <c r="D141" s="116"/>
      <c r="E141" s="116"/>
      <c r="F141" s="116"/>
      <c r="G141" s="116"/>
      <c r="H141" s="116"/>
      <c r="I141" s="116"/>
      <c r="J141" s="115"/>
      <c r="K141" s="115"/>
      <c r="L141" s="115"/>
      <c r="M141" s="115"/>
      <c r="N141" s="115"/>
      <c r="O141" s="115"/>
      <c r="P141" s="115"/>
      <c r="Q141" s="115"/>
      <c r="R141" s="115"/>
      <c r="S141" s="115"/>
      <c r="T141" s="115"/>
      <c r="U141" s="115"/>
      <c r="V141" s="115"/>
      <c r="W141" s="115"/>
      <c r="X141" s="115"/>
      <c r="Y141" s="115"/>
      <c r="Z141" s="115"/>
      <c r="AA141" s="115"/>
      <c r="AB141" s="115"/>
      <c r="AC141" s="115"/>
      <c r="AD141" s="115"/>
      <c r="AE141" s="115"/>
      <c r="AF141" s="115"/>
      <c r="AG141" s="115"/>
      <c r="AH141" s="115"/>
      <c r="AI141" s="115"/>
      <c r="AJ141" s="115"/>
      <c r="AK141" s="115"/>
      <c r="AL141" s="115"/>
      <c r="AM141" s="115"/>
      <c r="AN141" s="115"/>
      <c r="AO141" s="115"/>
      <c r="AP141" s="115"/>
    </row>
    <row r="142" spans="1:42" ht="20.25" customHeight="1">
      <c r="A142" s="115"/>
      <c r="B142" s="115"/>
      <c r="C142" s="116"/>
      <c r="D142" s="116"/>
      <c r="E142" s="116"/>
      <c r="F142" s="116"/>
      <c r="G142" s="116"/>
      <c r="H142" s="116"/>
      <c r="I142" s="116"/>
      <c r="J142" s="115"/>
      <c r="K142" s="115"/>
      <c r="L142" s="115"/>
      <c r="M142" s="115"/>
      <c r="N142" s="115"/>
      <c r="O142" s="115"/>
      <c r="P142" s="115"/>
      <c r="Q142" s="115"/>
      <c r="R142" s="115"/>
      <c r="S142" s="115"/>
      <c r="T142" s="115"/>
      <c r="U142" s="115"/>
      <c r="V142" s="115"/>
      <c r="W142" s="115"/>
      <c r="X142" s="115"/>
      <c r="Y142" s="115"/>
      <c r="Z142" s="115"/>
      <c r="AA142" s="115"/>
      <c r="AB142" s="115"/>
      <c r="AC142" s="115"/>
      <c r="AD142" s="115"/>
      <c r="AE142" s="115"/>
      <c r="AF142" s="115"/>
      <c r="AG142" s="115"/>
      <c r="AH142" s="115"/>
      <c r="AI142" s="115"/>
      <c r="AJ142" s="115"/>
      <c r="AK142" s="115"/>
      <c r="AL142" s="115"/>
      <c r="AM142" s="115"/>
      <c r="AN142" s="115"/>
      <c r="AO142" s="115"/>
      <c r="AP142" s="115"/>
    </row>
    <row r="143" spans="1:42" ht="20.25" customHeight="1">
      <c r="A143" s="115"/>
      <c r="B143" s="115"/>
      <c r="C143" s="116"/>
      <c r="D143" s="116"/>
      <c r="E143" s="116"/>
      <c r="F143" s="116"/>
      <c r="G143" s="116"/>
      <c r="H143" s="116"/>
      <c r="I143" s="116"/>
      <c r="J143" s="115"/>
      <c r="K143" s="115"/>
      <c r="L143" s="115"/>
      <c r="M143" s="115"/>
      <c r="N143" s="115"/>
      <c r="O143" s="115"/>
      <c r="P143" s="115"/>
      <c r="Q143" s="115"/>
      <c r="R143" s="115"/>
      <c r="S143" s="115"/>
      <c r="T143" s="115"/>
      <c r="U143" s="115"/>
      <c r="V143" s="115"/>
      <c r="W143" s="115"/>
      <c r="X143" s="115"/>
      <c r="Y143" s="115"/>
      <c r="Z143" s="115"/>
      <c r="AA143" s="115"/>
      <c r="AB143" s="115"/>
      <c r="AC143" s="115"/>
      <c r="AD143" s="115"/>
      <c r="AE143" s="115"/>
      <c r="AF143" s="115"/>
      <c r="AG143" s="115"/>
      <c r="AH143" s="115"/>
      <c r="AI143" s="115"/>
      <c r="AJ143" s="115"/>
      <c r="AK143" s="115"/>
      <c r="AL143" s="115"/>
      <c r="AM143" s="115"/>
      <c r="AN143" s="115"/>
      <c r="AO143" s="115"/>
      <c r="AP143" s="115"/>
    </row>
    <row r="144" spans="1:42" ht="20.25" customHeight="1">
      <c r="A144" s="115"/>
      <c r="B144" s="115"/>
      <c r="C144" s="116"/>
      <c r="D144" s="116"/>
      <c r="E144" s="116"/>
      <c r="F144" s="116"/>
      <c r="G144" s="116"/>
      <c r="H144" s="116"/>
      <c r="I144" s="116"/>
      <c r="J144" s="115"/>
      <c r="K144" s="115"/>
      <c r="L144" s="115"/>
      <c r="M144" s="115"/>
      <c r="N144" s="115"/>
      <c r="O144" s="115"/>
      <c r="P144" s="115"/>
      <c r="Q144" s="115"/>
      <c r="R144" s="115"/>
      <c r="S144" s="115"/>
      <c r="T144" s="115"/>
      <c r="U144" s="115"/>
      <c r="V144" s="115"/>
      <c r="W144" s="115"/>
      <c r="X144" s="115"/>
      <c r="Y144" s="115"/>
      <c r="Z144" s="115"/>
      <c r="AA144" s="115"/>
      <c r="AB144" s="115"/>
      <c r="AC144" s="115"/>
      <c r="AD144" s="115"/>
      <c r="AE144" s="115"/>
      <c r="AF144" s="115"/>
      <c r="AG144" s="115"/>
      <c r="AH144" s="115"/>
      <c r="AI144" s="115"/>
      <c r="AJ144" s="115"/>
      <c r="AK144" s="115"/>
      <c r="AL144" s="115"/>
      <c r="AM144" s="115"/>
      <c r="AN144" s="115"/>
      <c r="AO144" s="115"/>
      <c r="AP144" s="115"/>
    </row>
    <row r="145" spans="1:42" ht="20.25" customHeight="1">
      <c r="A145" s="115"/>
      <c r="B145" s="115"/>
      <c r="C145" s="116"/>
      <c r="D145" s="116"/>
      <c r="E145" s="116"/>
      <c r="F145" s="116"/>
      <c r="G145" s="116"/>
      <c r="H145" s="116"/>
      <c r="I145" s="116"/>
      <c r="J145" s="115"/>
      <c r="K145" s="115"/>
      <c r="L145" s="115"/>
      <c r="M145" s="115"/>
      <c r="N145" s="115"/>
      <c r="O145" s="115"/>
      <c r="P145" s="115"/>
      <c r="Q145" s="115"/>
      <c r="R145" s="115"/>
      <c r="S145" s="115"/>
      <c r="T145" s="115"/>
      <c r="U145" s="115"/>
      <c r="V145" s="115"/>
      <c r="W145" s="115"/>
      <c r="X145" s="115"/>
      <c r="Y145" s="115"/>
      <c r="Z145" s="115"/>
      <c r="AA145" s="115"/>
      <c r="AB145" s="115"/>
      <c r="AC145" s="115"/>
      <c r="AD145" s="115"/>
      <c r="AE145" s="115"/>
      <c r="AF145" s="115"/>
      <c r="AG145" s="115"/>
      <c r="AH145" s="115"/>
      <c r="AI145" s="115"/>
      <c r="AJ145" s="115"/>
      <c r="AK145" s="115"/>
      <c r="AL145" s="115"/>
      <c r="AM145" s="115"/>
      <c r="AN145" s="115"/>
      <c r="AO145" s="115"/>
      <c r="AP145" s="115"/>
    </row>
    <row r="146" spans="1:42" ht="20.25" customHeight="1">
      <c r="A146" s="115"/>
      <c r="B146" s="115"/>
      <c r="C146" s="116"/>
      <c r="D146" s="116"/>
      <c r="E146" s="116"/>
      <c r="F146" s="116"/>
      <c r="G146" s="116"/>
      <c r="H146" s="116"/>
      <c r="I146" s="116"/>
      <c r="J146" s="115"/>
      <c r="K146" s="115"/>
      <c r="L146" s="115"/>
      <c r="M146" s="115"/>
      <c r="N146" s="115"/>
      <c r="O146" s="115"/>
      <c r="P146" s="115"/>
      <c r="Q146" s="115"/>
      <c r="R146" s="115"/>
      <c r="S146" s="115"/>
      <c r="T146" s="115"/>
      <c r="U146" s="115"/>
      <c r="V146" s="115"/>
      <c r="W146" s="115"/>
      <c r="X146" s="115"/>
      <c r="Y146" s="115"/>
      <c r="Z146" s="115"/>
      <c r="AA146" s="115"/>
      <c r="AB146" s="115"/>
      <c r="AC146" s="115"/>
      <c r="AD146" s="115"/>
      <c r="AE146" s="115"/>
      <c r="AF146" s="115"/>
      <c r="AG146" s="115"/>
      <c r="AH146" s="115"/>
      <c r="AI146" s="115"/>
      <c r="AJ146" s="115"/>
      <c r="AK146" s="115"/>
      <c r="AL146" s="115"/>
      <c r="AM146" s="115"/>
      <c r="AN146" s="115"/>
      <c r="AO146" s="115"/>
      <c r="AP146" s="115"/>
    </row>
    <row r="147" spans="1:42" ht="20.25" customHeight="1">
      <c r="A147" s="115"/>
      <c r="B147" s="115"/>
      <c r="C147" s="116"/>
      <c r="D147" s="116"/>
      <c r="E147" s="116"/>
      <c r="F147" s="116"/>
      <c r="G147" s="116"/>
      <c r="H147" s="116"/>
      <c r="I147" s="116"/>
      <c r="J147" s="115"/>
      <c r="K147" s="115"/>
      <c r="L147" s="115"/>
      <c r="M147" s="115"/>
      <c r="N147" s="115"/>
      <c r="O147" s="115"/>
      <c r="P147" s="115"/>
      <c r="Q147" s="115"/>
      <c r="R147" s="115"/>
      <c r="S147" s="115"/>
      <c r="T147" s="115"/>
      <c r="U147" s="115"/>
      <c r="V147" s="115"/>
      <c r="W147" s="115"/>
      <c r="X147" s="115"/>
      <c r="Y147" s="115"/>
      <c r="Z147" s="115"/>
      <c r="AA147" s="115"/>
      <c r="AB147" s="115"/>
      <c r="AC147" s="115"/>
      <c r="AD147" s="115"/>
      <c r="AE147" s="115"/>
      <c r="AF147" s="115"/>
      <c r="AG147" s="115"/>
      <c r="AH147" s="115"/>
      <c r="AI147" s="115"/>
      <c r="AJ147" s="115"/>
      <c r="AK147" s="115"/>
      <c r="AL147" s="115"/>
      <c r="AM147" s="115"/>
      <c r="AN147" s="115"/>
      <c r="AO147" s="115"/>
      <c r="AP147" s="115"/>
    </row>
  </sheetData>
  <sheetProtection formatCells="0" formatColumns="0"/>
  <mergeCells count="5">
    <mergeCell ref="B4:C4"/>
    <mergeCell ref="C7:D7"/>
    <mergeCell ref="F2:G2"/>
    <mergeCell ref="F3:G3"/>
    <mergeCell ref="B2:C2"/>
  </mergeCells>
  <pageMargins left="0.70866141732283472" right="0.70866141732283472" top="0.78740157480314965" bottom="0.78740157480314965" header="0.31496062992125984" footer="0.31496062992125984"/>
  <pageSetup paperSize="9" scale="49" fitToHeight="4"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ODEL">
    <tabColor indexed="42"/>
  </sheetPr>
  <dimension ref="A1:BE107"/>
  <sheetViews>
    <sheetView showGridLines="0" showOutlineSymbols="0" zoomScaleNormal="100" zoomScaleSheetLayoutView="100" workbookViewId="0">
      <pane xSplit="5" ySplit="4" topLeftCell="AS5" activePane="bottomRight" state="frozen"/>
      <selection pane="topRight" activeCell="AN63" sqref="AN63"/>
      <selection pane="bottomLeft" activeCell="AN63" sqref="AN63"/>
      <selection pane="bottomRight" activeCell="AZ101" sqref="AZ101"/>
    </sheetView>
  </sheetViews>
  <sheetFormatPr defaultColWidth="9.28515625" defaultRowHeight="12.75" outlineLevelCol="1"/>
  <cols>
    <col min="1" max="1" width="11.7109375" hidden="1" customWidth="1" outlineLevel="1" collapsed="1"/>
    <col min="2" max="2" width="10.28515625" customWidth="1" collapsed="1"/>
    <col min="3" max="3" width="2.7109375" customWidth="1"/>
    <col min="4" max="4" width="10" customWidth="1"/>
    <col min="5" max="5" width="56.7109375" customWidth="1"/>
    <col min="6" max="6" width="15.28515625" customWidth="1"/>
    <col min="7" max="7" width="2.28515625" customWidth="1"/>
    <col min="8" max="8" width="14.7109375" customWidth="1"/>
    <col min="9" max="9" width="2.28515625" customWidth="1"/>
    <col min="10" max="10" width="14.7109375" customWidth="1"/>
    <col min="11" max="11" width="2.28515625" customWidth="1"/>
    <col min="12" max="12" width="14.7109375" customWidth="1"/>
    <col min="13" max="13" width="2.28515625" customWidth="1"/>
    <col min="14" max="14" width="14.7109375" customWidth="1"/>
    <col min="15" max="15" width="2.28515625" customWidth="1"/>
    <col min="16" max="16" width="14.7109375" customWidth="1"/>
    <col min="17" max="17" width="2.28515625" customWidth="1"/>
    <col min="18" max="18" width="14.7109375" customWidth="1"/>
    <col min="19" max="19" width="2.28515625" customWidth="1"/>
    <col min="20" max="20" width="14.7109375" customWidth="1"/>
    <col min="21" max="21" width="2.28515625" customWidth="1"/>
    <col min="22" max="22" width="14.7109375" customWidth="1"/>
    <col min="23" max="23" width="2.28515625" customWidth="1"/>
    <col min="24" max="24" width="14.7109375" customWidth="1"/>
    <col min="25" max="25" width="2.28515625" customWidth="1"/>
    <col min="26" max="26" width="14.7109375" customWidth="1"/>
    <col min="27" max="27" width="2.28515625" customWidth="1"/>
    <col min="28" max="28" width="14.7109375" customWidth="1"/>
    <col min="29" max="29" width="2.28515625" customWidth="1"/>
    <col min="30" max="30" width="14.7109375" customWidth="1"/>
    <col min="31" max="31" width="2.28515625" customWidth="1"/>
    <col min="32" max="32" width="14.7109375" customWidth="1"/>
    <col min="33" max="33" width="2.28515625" customWidth="1"/>
    <col min="34" max="34" width="14.7109375" customWidth="1"/>
    <col min="35" max="35" width="2.28515625" customWidth="1"/>
    <col min="36" max="36" width="14.7109375" customWidth="1"/>
    <col min="37" max="37" width="2.28515625" customWidth="1"/>
    <col min="38" max="38" width="14.7109375" customWidth="1"/>
    <col min="39" max="39" width="2.28515625" customWidth="1"/>
    <col min="40" max="40" width="14.7109375" customWidth="1"/>
    <col min="41" max="41" width="2.28515625" customWidth="1"/>
    <col min="42" max="42" width="14.7109375" customWidth="1"/>
    <col min="43" max="43" width="2.28515625" customWidth="1"/>
    <col min="44" max="44" width="14.7109375" customWidth="1"/>
    <col min="45" max="45" width="2.28515625" customWidth="1"/>
    <col min="46" max="46" width="14.7109375" customWidth="1"/>
    <col min="47" max="47" width="2.28515625" customWidth="1"/>
    <col min="48" max="48" width="14.7109375" customWidth="1"/>
    <col min="49" max="49" width="2.28515625" customWidth="1"/>
    <col min="50" max="50" width="14.7109375" customWidth="1"/>
    <col min="51" max="51" width="2.28515625" customWidth="1"/>
    <col min="52" max="52" width="14.7109375" customWidth="1"/>
    <col min="53" max="53" width="2.28515625" customWidth="1"/>
    <col min="54" max="54" width="14.7109375" customWidth="1"/>
    <col min="55" max="55" width="2.28515625" customWidth="1"/>
    <col min="56" max="56" width="14.7109375" customWidth="1"/>
    <col min="57" max="57" width="2.28515625" customWidth="1"/>
  </cols>
  <sheetData>
    <row r="1" spans="1:57" ht="30" customHeight="1" thickBot="1">
      <c r="A1" t="s">
        <v>562</v>
      </c>
      <c r="B1" s="528" t="s">
        <v>563</v>
      </c>
      <c r="C1" s="529"/>
      <c r="D1" s="31" t="str">
        <f>intro!F7</f>
        <v>NO</v>
      </c>
      <c r="E1" s="15"/>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1"/>
      <c r="AI1" s="521"/>
      <c r="AJ1" s="521"/>
      <c r="AK1" s="521"/>
    </row>
    <row r="2" spans="1:57" ht="30" customHeight="1" thickBot="1">
      <c r="B2" s="522" t="s">
        <v>564</v>
      </c>
      <c r="C2" s="523"/>
      <c r="D2" s="7" t="s">
        <v>565</v>
      </c>
      <c r="E2" s="297" t="s">
        <v>566</v>
      </c>
      <c r="F2" s="521"/>
      <c r="G2" s="521"/>
      <c r="H2" s="521"/>
      <c r="I2" s="521"/>
      <c r="J2" s="521"/>
      <c r="K2" s="521"/>
      <c r="L2" s="521"/>
      <c r="M2" s="521"/>
      <c r="N2" s="521"/>
      <c r="O2" s="521"/>
      <c r="P2" s="521"/>
      <c r="Q2" s="521"/>
      <c r="R2" s="521"/>
      <c r="S2" s="521"/>
      <c r="T2" s="521"/>
      <c r="U2" s="521"/>
      <c r="V2" s="521"/>
      <c r="W2" s="521"/>
      <c r="X2" s="521"/>
      <c r="Y2" s="521"/>
      <c r="Z2" s="521"/>
      <c r="AA2" s="521"/>
      <c r="AB2" s="521"/>
      <c r="AC2" s="521"/>
      <c r="AD2" s="521"/>
      <c r="AE2" s="521"/>
      <c r="AF2" s="521"/>
      <c r="AG2" s="521"/>
      <c r="AH2" s="521"/>
      <c r="AI2" s="521"/>
      <c r="AJ2" s="521"/>
      <c r="AK2" s="521"/>
    </row>
    <row r="3" spans="1:57" ht="30" customHeight="1" thickBot="1">
      <c r="A3" s="21"/>
      <c r="B3" s="524" t="s">
        <v>567</v>
      </c>
      <c r="C3" s="525" t="s">
        <v>568</v>
      </c>
      <c r="D3" s="526" t="s">
        <v>569</v>
      </c>
      <c r="E3" s="527"/>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1"/>
      <c r="AI3" s="521"/>
      <c r="AJ3" s="521"/>
      <c r="AK3" s="521"/>
      <c r="AV3" s="511"/>
      <c r="AW3" s="511"/>
    </row>
    <row r="4" spans="1:57" ht="30" customHeight="1" thickBot="1">
      <c r="A4" s="22"/>
      <c r="B4" s="512" t="s">
        <v>570</v>
      </c>
      <c r="C4" s="513"/>
      <c r="D4" s="513"/>
      <c r="E4" s="514"/>
      <c r="F4" s="68">
        <v>1995</v>
      </c>
      <c r="G4" s="298"/>
      <c r="H4" s="1">
        <v>1996</v>
      </c>
      <c r="I4" s="298"/>
      <c r="J4" s="1">
        <v>1997</v>
      </c>
      <c r="K4" s="298"/>
      <c r="L4" s="1">
        <v>1998</v>
      </c>
      <c r="M4" s="298"/>
      <c r="N4" s="1">
        <v>1999</v>
      </c>
      <c r="O4" s="298"/>
      <c r="P4" s="1">
        <v>2000</v>
      </c>
      <c r="Q4" s="298"/>
      <c r="R4" s="1">
        <v>2001</v>
      </c>
      <c r="S4" s="298"/>
      <c r="T4" s="1">
        <v>2002</v>
      </c>
      <c r="U4" s="298"/>
      <c r="V4" s="1">
        <v>2003</v>
      </c>
      <c r="W4" s="298"/>
      <c r="X4" s="1">
        <v>2004</v>
      </c>
      <c r="Y4" s="298"/>
      <c r="Z4" s="1">
        <v>2005</v>
      </c>
      <c r="AA4" s="298"/>
      <c r="AB4" s="1">
        <v>2006</v>
      </c>
      <c r="AC4" s="298"/>
      <c r="AD4" s="1">
        <v>2007</v>
      </c>
      <c r="AE4" s="298"/>
      <c r="AF4" s="1">
        <v>2008</v>
      </c>
      <c r="AG4" s="298"/>
      <c r="AH4" s="1">
        <v>2009</v>
      </c>
      <c r="AI4" s="298"/>
      <c r="AJ4" s="1">
        <v>2010</v>
      </c>
      <c r="AK4" s="298"/>
      <c r="AL4" s="1">
        <v>2011</v>
      </c>
      <c r="AM4" s="298"/>
      <c r="AN4" s="1">
        <v>2012</v>
      </c>
      <c r="AO4" s="298"/>
      <c r="AP4" s="1">
        <v>2013</v>
      </c>
      <c r="AQ4" s="298"/>
      <c r="AR4" s="1">
        <v>2014</v>
      </c>
      <c r="AS4" s="298"/>
      <c r="AT4" s="1">
        <v>2015</v>
      </c>
      <c r="AU4" s="298"/>
      <c r="AV4" s="1">
        <v>2016</v>
      </c>
      <c r="AW4" s="299"/>
      <c r="AX4" s="1">
        <v>2017</v>
      </c>
      <c r="AY4" s="299"/>
      <c r="AZ4" s="1">
        <v>2018</v>
      </c>
      <c r="BA4" s="299"/>
      <c r="BB4" s="148">
        <v>2019</v>
      </c>
      <c r="BC4" s="300"/>
      <c r="BD4" s="67">
        <v>2020</v>
      </c>
      <c r="BE4" s="301"/>
    </row>
    <row r="5" spans="1:57" s="9" customFormat="1" ht="20.100000000000001" customHeight="1">
      <c r="A5" s="23"/>
      <c r="B5" s="515" t="str">
        <f>Parameters!Q4</f>
        <v>A_U   01-99</v>
      </c>
      <c r="C5" s="516"/>
      <c r="D5" s="517" t="str">
        <f>Parameters!S4</f>
        <v>Total industries</v>
      </c>
      <c r="E5" s="518"/>
      <c r="F5" s="77"/>
      <c r="G5" s="302"/>
      <c r="H5" s="78"/>
      <c r="I5" s="302"/>
      <c r="J5" s="78"/>
      <c r="K5" s="303"/>
      <c r="L5" s="78"/>
      <c r="M5" s="303"/>
      <c r="N5" s="78"/>
      <c r="O5" s="303"/>
      <c r="P5" s="78"/>
      <c r="Q5" s="303"/>
      <c r="R5" s="78"/>
      <c r="S5" s="303"/>
      <c r="T5" s="78"/>
      <c r="U5" s="303"/>
      <c r="V5" s="78"/>
      <c r="W5" s="303"/>
      <c r="X5" s="78"/>
      <c r="Y5" s="303"/>
      <c r="Z5" s="78"/>
      <c r="AA5" s="303"/>
      <c r="AB5" s="78"/>
      <c r="AC5" s="303"/>
      <c r="AD5" s="78"/>
      <c r="AE5" s="303"/>
      <c r="AF5" s="78"/>
      <c r="AG5" s="303"/>
      <c r="AH5" s="78"/>
      <c r="AI5" s="303"/>
      <c r="AJ5" s="78"/>
      <c r="AK5" s="303"/>
      <c r="AL5" s="78"/>
      <c r="AM5" s="303"/>
      <c r="AN5" s="78"/>
      <c r="AO5" s="303"/>
      <c r="AP5" s="78"/>
      <c r="AQ5" s="303"/>
      <c r="AR5" s="78"/>
      <c r="AS5" s="303"/>
      <c r="AT5" s="78"/>
      <c r="AU5" s="303"/>
      <c r="AV5" s="78"/>
      <c r="AW5" s="303"/>
      <c r="AX5" s="78"/>
      <c r="AY5" s="303"/>
      <c r="AZ5" s="78"/>
      <c r="BA5" s="303"/>
      <c r="BB5" s="78"/>
      <c r="BC5" s="303"/>
      <c r="BD5" s="78"/>
      <c r="BE5" s="304"/>
    </row>
    <row r="6" spans="1:57" s="9" customFormat="1" ht="20.100000000000001" customHeight="1">
      <c r="A6" s="24"/>
      <c r="B6" s="83" t="str">
        <f>Parameters!Q5</f>
        <v>A</v>
      </c>
      <c r="C6" s="305"/>
      <c r="D6" s="519" t="str">
        <f>Parameters!S5</f>
        <v>Agriculture, forestry and fishing</v>
      </c>
      <c r="E6" s="520"/>
      <c r="F6" s="69"/>
      <c r="G6" s="84"/>
      <c r="H6" s="85"/>
      <c r="I6" s="84"/>
      <c r="J6" s="85"/>
      <c r="K6" s="84"/>
      <c r="L6" s="85"/>
      <c r="M6" s="84"/>
      <c r="N6" s="85"/>
      <c r="O6" s="84"/>
      <c r="P6" s="85"/>
      <c r="Q6" s="84"/>
      <c r="R6" s="85"/>
      <c r="S6" s="84"/>
      <c r="T6" s="85"/>
      <c r="U6" s="84"/>
      <c r="V6" s="85"/>
      <c r="W6" s="84"/>
      <c r="X6" s="85"/>
      <c r="Y6" s="84"/>
      <c r="Z6" s="85"/>
      <c r="AA6" s="84"/>
      <c r="AB6" s="85"/>
      <c r="AC6" s="84"/>
      <c r="AD6" s="85"/>
      <c r="AE6" s="84"/>
      <c r="AF6" s="85"/>
      <c r="AG6" s="84"/>
      <c r="AH6" s="85"/>
      <c r="AI6" s="84"/>
      <c r="AJ6" s="85"/>
      <c r="AK6" s="84"/>
      <c r="AL6" s="85"/>
      <c r="AM6" s="84"/>
      <c r="AN6" s="85"/>
      <c r="AO6" s="84"/>
      <c r="AP6" s="85"/>
      <c r="AQ6" s="84"/>
      <c r="AR6" s="85"/>
      <c r="AS6" s="84"/>
      <c r="AT6" s="85"/>
      <c r="AU6" s="84"/>
      <c r="AV6" s="85"/>
      <c r="AW6" s="84"/>
      <c r="AX6" s="85"/>
      <c r="AY6" s="84"/>
      <c r="AZ6" s="85"/>
      <c r="BA6" s="84"/>
      <c r="BB6" s="85"/>
      <c r="BC6" s="84"/>
      <c r="BD6" s="85"/>
      <c r="BE6" s="306"/>
    </row>
    <row r="7" spans="1:57" s="10" customFormat="1" ht="12.75" customHeight="1">
      <c r="A7" s="307"/>
      <c r="B7" s="308" t="str">
        <f>Parameters!Q6</f>
        <v>A01</v>
      </c>
      <c r="C7" s="309"/>
      <c r="D7" s="495" t="str">
        <f>Parameters!S6</f>
        <v>Crop and animal production, hunting and related service activities</v>
      </c>
      <c r="E7" s="510"/>
      <c r="F7" s="70"/>
      <c r="G7" s="84"/>
      <c r="H7" s="86"/>
      <c r="I7" s="84"/>
      <c r="J7" s="86"/>
      <c r="K7" s="84"/>
      <c r="L7" s="86"/>
      <c r="M7" s="84"/>
      <c r="N7" s="86"/>
      <c r="O7" s="84"/>
      <c r="P7" s="86"/>
      <c r="Q7" s="84"/>
      <c r="R7" s="86"/>
      <c r="S7" s="84"/>
      <c r="T7" s="86"/>
      <c r="U7" s="84"/>
      <c r="V7" s="86"/>
      <c r="W7" s="84"/>
      <c r="X7" s="86"/>
      <c r="Y7" s="84"/>
      <c r="Z7" s="86"/>
      <c r="AA7" s="84"/>
      <c r="AB7" s="86"/>
      <c r="AC7" s="84"/>
      <c r="AD7" s="86"/>
      <c r="AE7" s="84"/>
      <c r="AF7" s="86"/>
      <c r="AG7" s="84"/>
      <c r="AH7" s="86"/>
      <c r="AI7" s="84"/>
      <c r="AJ7" s="86"/>
      <c r="AK7" s="84"/>
      <c r="AL7" s="86"/>
      <c r="AM7" s="84"/>
      <c r="AN7" s="86"/>
      <c r="AO7" s="84"/>
      <c r="AP7" s="86"/>
      <c r="AQ7" s="84"/>
      <c r="AR7" s="86"/>
      <c r="AS7" s="84"/>
      <c r="AT7" s="86"/>
      <c r="AU7" s="84"/>
      <c r="AV7" s="86"/>
      <c r="AW7" s="84"/>
      <c r="AX7" s="86"/>
      <c r="AY7" s="84"/>
      <c r="AZ7" s="86"/>
      <c r="BA7" s="84"/>
      <c r="BB7" s="86"/>
      <c r="BC7" s="84"/>
      <c r="BD7" s="86"/>
      <c r="BE7" s="306"/>
    </row>
    <row r="8" spans="1:57" s="11" customFormat="1" ht="12.75" customHeight="1">
      <c r="A8" s="307"/>
      <c r="B8" s="308" t="str">
        <f>Parameters!Q7</f>
        <v>A02</v>
      </c>
      <c r="C8" s="309"/>
      <c r="D8" s="495" t="str">
        <f>Parameters!S7</f>
        <v>Forestry and logging</v>
      </c>
      <c r="E8" s="530"/>
      <c r="F8" s="70"/>
      <c r="G8" s="84"/>
      <c r="H8" s="86"/>
      <c r="I8" s="84"/>
      <c r="J8" s="86"/>
      <c r="K8" s="84"/>
      <c r="L8" s="86"/>
      <c r="M8" s="84"/>
      <c r="N8" s="86"/>
      <c r="O8" s="84"/>
      <c r="P8" s="86"/>
      <c r="Q8" s="84"/>
      <c r="R8" s="86"/>
      <c r="S8" s="84"/>
      <c r="T8" s="86"/>
      <c r="U8" s="84"/>
      <c r="V8" s="86"/>
      <c r="W8" s="84"/>
      <c r="X8" s="86"/>
      <c r="Y8" s="84"/>
      <c r="Z8" s="86"/>
      <c r="AA8" s="84"/>
      <c r="AB8" s="86"/>
      <c r="AC8" s="84"/>
      <c r="AD8" s="86"/>
      <c r="AE8" s="84"/>
      <c r="AF8" s="86"/>
      <c r="AG8" s="84"/>
      <c r="AH8" s="86"/>
      <c r="AI8" s="84"/>
      <c r="AJ8" s="86"/>
      <c r="AK8" s="84"/>
      <c r="AL8" s="86"/>
      <c r="AM8" s="84"/>
      <c r="AN8" s="86"/>
      <c r="AO8" s="84"/>
      <c r="AP8" s="86"/>
      <c r="AQ8" s="84"/>
      <c r="AR8" s="86"/>
      <c r="AS8" s="84"/>
      <c r="AT8" s="86"/>
      <c r="AU8" s="84"/>
      <c r="AV8" s="86"/>
      <c r="AW8" s="84"/>
      <c r="AX8" s="86"/>
      <c r="AY8" s="84"/>
      <c r="AZ8" s="86"/>
      <c r="BA8" s="84"/>
      <c r="BB8" s="86"/>
      <c r="BC8" s="84"/>
      <c r="BD8" s="86"/>
      <c r="BE8" s="306"/>
    </row>
    <row r="9" spans="1:57" s="11" customFormat="1" ht="12.75" customHeight="1">
      <c r="A9" s="310"/>
      <c r="B9" s="308" t="str">
        <f>Parameters!Q8</f>
        <v>A03</v>
      </c>
      <c r="C9" s="309"/>
      <c r="D9" s="495" t="str">
        <f>Parameters!S8</f>
        <v>Fishing and aquaculture</v>
      </c>
      <c r="E9" s="497"/>
      <c r="F9" s="70"/>
      <c r="G9" s="84"/>
      <c r="H9" s="86"/>
      <c r="I9" s="84"/>
      <c r="J9" s="86"/>
      <c r="K9" s="84"/>
      <c r="L9" s="86"/>
      <c r="M9" s="84"/>
      <c r="N9" s="86"/>
      <c r="O9" s="84"/>
      <c r="P9" s="86"/>
      <c r="Q9" s="84"/>
      <c r="R9" s="86"/>
      <c r="S9" s="84"/>
      <c r="T9" s="86"/>
      <c r="U9" s="84"/>
      <c r="V9" s="86"/>
      <c r="W9" s="84"/>
      <c r="X9" s="86"/>
      <c r="Y9" s="84"/>
      <c r="Z9" s="86"/>
      <c r="AA9" s="84"/>
      <c r="AB9" s="86"/>
      <c r="AC9" s="84"/>
      <c r="AD9" s="86"/>
      <c r="AE9" s="84"/>
      <c r="AF9" s="86"/>
      <c r="AG9" s="84"/>
      <c r="AH9" s="86"/>
      <c r="AI9" s="84"/>
      <c r="AJ9" s="86"/>
      <c r="AK9" s="84"/>
      <c r="AL9" s="86"/>
      <c r="AM9" s="84"/>
      <c r="AN9" s="86"/>
      <c r="AO9" s="84"/>
      <c r="AP9" s="86"/>
      <c r="AQ9" s="84"/>
      <c r="AR9" s="86"/>
      <c r="AS9" s="84"/>
      <c r="AT9" s="86"/>
      <c r="AU9" s="84"/>
      <c r="AV9" s="86"/>
      <c r="AW9" s="84"/>
      <c r="AX9" s="86"/>
      <c r="AY9" s="84"/>
      <c r="AZ9" s="86"/>
      <c r="BA9" s="84"/>
      <c r="BB9" s="86"/>
      <c r="BC9" s="84"/>
      <c r="BD9" s="86"/>
      <c r="BE9" s="306"/>
    </row>
    <row r="10" spans="1:57" s="10" customFormat="1" ht="12.75" customHeight="1">
      <c r="A10" s="25"/>
      <c r="B10" s="87" t="str">
        <f>Parameters!Q9</f>
        <v>B</v>
      </c>
      <c r="C10" s="88"/>
      <c r="D10" s="498" t="str">
        <f>Parameters!S9</f>
        <v>Mining and quarrying</v>
      </c>
      <c r="E10" s="507"/>
      <c r="F10" s="69"/>
      <c r="G10" s="84"/>
      <c r="H10" s="85"/>
      <c r="I10" s="84"/>
      <c r="J10" s="85"/>
      <c r="K10" s="84"/>
      <c r="L10" s="85"/>
      <c r="M10" s="84"/>
      <c r="N10" s="85"/>
      <c r="O10" s="84"/>
      <c r="P10" s="85"/>
      <c r="Q10" s="84"/>
      <c r="R10" s="85"/>
      <c r="S10" s="84"/>
      <c r="T10" s="85"/>
      <c r="U10" s="84"/>
      <c r="V10" s="85"/>
      <c r="W10" s="84"/>
      <c r="X10" s="85"/>
      <c r="Y10" s="84"/>
      <c r="Z10" s="85"/>
      <c r="AA10" s="84"/>
      <c r="AB10" s="85"/>
      <c r="AC10" s="84"/>
      <c r="AD10" s="85"/>
      <c r="AE10" s="84"/>
      <c r="AF10" s="85"/>
      <c r="AG10" s="84"/>
      <c r="AH10" s="85"/>
      <c r="AI10" s="84"/>
      <c r="AJ10" s="85"/>
      <c r="AK10" s="84"/>
      <c r="AL10" s="85"/>
      <c r="AM10" s="84"/>
      <c r="AN10" s="85"/>
      <c r="AO10" s="84"/>
      <c r="AP10" s="85"/>
      <c r="AQ10" s="84"/>
      <c r="AR10" s="85"/>
      <c r="AS10" s="84"/>
      <c r="AT10" s="85"/>
      <c r="AU10" s="84"/>
      <c r="AV10" s="85"/>
      <c r="AW10" s="84"/>
      <c r="AX10" s="85"/>
      <c r="AY10" s="84"/>
      <c r="AZ10" s="85"/>
      <c r="BA10" s="84"/>
      <c r="BB10" s="85"/>
      <c r="BC10" s="84"/>
      <c r="BD10" s="85"/>
      <c r="BE10" s="306"/>
    </row>
    <row r="11" spans="1:57" s="10" customFormat="1" ht="12.75" customHeight="1">
      <c r="A11" s="25"/>
      <c r="B11" s="87" t="str">
        <f>Parameters!Q10</f>
        <v>C</v>
      </c>
      <c r="C11" s="88"/>
      <c r="D11" s="498" t="str">
        <f>Parameters!S10</f>
        <v>Manufacturing</v>
      </c>
      <c r="E11" s="499"/>
      <c r="F11" s="69"/>
      <c r="G11" s="84"/>
      <c r="H11" s="85"/>
      <c r="I11" s="84"/>
      <c r="J11" s="85"/>
      <c r="K11" s="84"/>
      <c r="L11" s="85"/>
      <c r="M11" s="84"/>
      <c r="N11" s="85"/>
      <c r="O11" s="84"/>
      <c r="P11" s="85"/>
      <c r="Q11" s="84"/>
      <c r="R11" s="85"/>
      <c r="S11" s="84"/>
      <c r="T11" s="85"/>
      <c r="U11" s="84"/>
      <c r="V11" s="85"/>
      <c r="W11" s="84"/>
      <c r="X11" s="85"/>
      <c r="Y11" s="84"/>
      <c r="Z11" s="85"/>
      <c r="AA11" s="84"/>
      <c r="AB11" s="85"/>
      <c r="AC11" s="84"/>
      <c r="AD11" s="85"/>
      <c r="AE11" s="84"/>
      <c r="AF11" s="85"/>
      <c r="AG11" s="84"/>
      <c r="AH11" s="85"/>
      <c r="AI11" s="84"/>
      <c r="AJ11" s="85"/>
      <c r="AK11" s="84"/>
      <c r="AL11" s="85"/>
      <c r="AM11" s="84"/>
      <c r="AN11" s="85"/>
      <c r="AO11" s="84"/>
      <c r="AP11" s="85"/>
      <c r="AQ11" s="84"/>
      <c r="AR11" s="85"/>
      <c r="AS11" s="84"/>
      <c r="AT11" s="85"/>
      <c r="AU11" s="84"/>
      <c r="AV11" s="85"/>
      <c r="AW11" s="84"/>
      <c r="AX11" s="85"/>
      <c r="AY11" s="84"/>
      <c r="AZ11" s="85"/>
      <c r="BA11" s="84"/>
      <c r="BB11" s="85"/>
      <c r="BC11" s="84"/>
      <c r="BD11" s="85"/>
      <c r="BE11" s="306"/>
    </row>
    <row r="12" spans="1:57" s="10" customFormat="1" ht="12.75" customHeight="1">
      <c r="A12" s="26"/>
      <c r="B12" s="89" t="str">
        <f>Parameters!Q11</f>
        <v>C10-C12</v>
      </c>
      <c r="C12" s="90"/>
      <c r="D12" s="504" t="str">
        <f>Parameters!S11</f>
        <v>Manufacture of food products, beverages and tobacco
products</v>
      </c>
      <c r="E12" s="505"/>
      <c r="F12" s="71"/>
      <c r="G12" s="84"/>
      <c r="H12" s="91"/>
      <c r="I12" s="84"/>
      <c r="J12" s="91"/>
      <c r="K12" s="84"/>
      <c r="L12" s="91"/>
      <c r="M12" s="84"/>
      <c r="N12" s="91"/>
      <c r="O12" s="84"/>
      <c r="P12" s="91"/>
      <c r="Q12" s="84"/>
      <c r="R12" s="91"/>
      <c r="S12" s="84"/>
      <c r="T12" s="91"/>
      <c r="U12" s="84"/>
      <c r="V12" s="91"/>
      <c r="W12" s="84"/>
      <c r="X12" s="91"/>
      <c r="Y12" s="84"/>
      <c r="Z12" s="91"/>
      <c r="AA12" s="84"/>
      <c r="AB12" s="91"/>
      <c r="AC12" s="84"/>
      <c r="AD12" s="91"/>
      <c r="AE12" s="84"/>
      <c r="AF12" s="91"/>
      <c r="AG12" s="84"/>
      <c r="AH12" s="91"/>
      <c r="AI12" s="84"/>
      <c r="AJ12" s="91"/>
      <c r="AK12" s="84"/>
      <c r="AL12" s="91"/>
      <c r="AM12" s="84"/>
      <c r="AN12" s="91"/>
      <c r="AO12" s="84"/>
      <c r="AP12" s="91"/>
      <c r="AQ12" s="84"/>
      <c r="AR12" s="91"/>
      <c r="AS12" s="84"/>
      <c r="AT12" s="91"/>
      <c r="AU12" s="84"/>
      <c r="AV12" s="91"/>
      <c r="AW12" s="84"/>
      <c r="AX12" s="91"/>
      <c r="AY12" s="84"/>
      <c r="AZ12" s="91"/>
      <c r="BA12" s="84"/>
      <c r="BB12" s="91"/>
      <c r="BC12" s="84"/>
      <c r="BD12" s="91"/>
      <c r="BE12" s="306"/>
    </row>
    <row r="13" spans="1:57" s="10" customFormat="1" ht="12.75" customHeight="1">
      <c r="A13" s="26"/>
      <c r="B13" s="89" t="str">
        <f>Parameters!Q12</f>
        <v>C13-C15</v>
      </c>
      <c r="C13" s="90"/>
      <c r="D13" s="504" t="str">
        <f>Parameters!S12</f>
        <v>Manufacture of textiles, wearing apparel and leather products</v>
      </c>
      <c r="E13" s="506"/>
      <c r="F13" s="71"/>
      <c r="G13" s="84"/>
      <c r="H13" s="91"/>
      <c r="I13" s="84"/>
      <c r="J13" s="91"/>
      <c r="K13" s="84"/>
      <c r="L13" s="91"/>
      <c r="M13" s="84"/>
      <c r="N13" s="91"/>
      <c r="O13" s="84"/>
      <c r="P13" s="91"/>
      <c r="Q13" s="84"/>
      <c r="R13" s="91"/>
      <c r="S13" s="84"/>
      <c r="T13" s="91"/>
      <c r="U13" s="84"/>
      <c r="V13" s="91"/>
      <c r="W13" s="84"/>
      <c r="X13" s="91"/>
      <c r="Y13" s="84"/>
      <c r="Z13" s="91"/>
      <c r="AA13" s="84"/>
      <c r="AB13" s="91"/>
      <c r="AC13" s="84"/>
      <c r="AD13" s="91"/>
      <c r="AE13" s="84"/>
      <c r="AF13" s="91"/>
      <c r="AG13" s="84"/>
      <c r="AH13" s="91"/>
      <c r="AI13" s="84"/>
      <c r="AJ13" s="91"/>
      <c r="AK13" s="84"/>
      <c r="AL13" s="91"/>
      <c r="AM13" s="84"/>
      <c r="AN13" s="91"/>
      <c r="AO13" s="84"/>
      <c r="AP13" s="91"/>
      <c r="AQ13" s="84"/>
      <c r="AR13" s="91"/>
      <c r="AS13" s="84"/>
      <c r="AT13" s="91"/>
      <c r="AU13" s="84"/>
      <c r="AV13" s="91"/>
      <c r="AW13" s="84"/>
      <c r="AX13" s="91"/>
      <c r="AY13" s="84"/>
      <c r="AZ13" s="91"/>
      <c r="BA13" s="84"/>
      <c r="BB13" s="91"/>
      <c r="BC13" s="84"/>
      <c r="BD13" s="91"/>
      <c r="BE13" s="306"/>
    </row>
    <row r="14" spans="1:57" s="10" customFormat="1">
      <c r="A14" s="26"/>
      <c r="B14" s="89" t="str">
        <f>Parameters!Q13</f>
        <v>C16-C18</v>
      </c>
      <c r="C14" s="90"/>
      <c r="D14" s="504" t="str">
        <f>Parameters!S13</f>
        <v>Manufacture of wood, paper, printing and reproduction</v>
      </c>
      <c r="E14" s="506"/>
      <c r="F14" s="76"/>
      <c r="G14" s="92"/>
      <c r="H14" s="93"/>
      <c r="I14" s="92"/>
      <c r="J14" s="93"/>
      <c r="K14" s="92"/>
      <c r="L14" s="93"/>
      <c r="M14" s="92"/>
      <c r="N14" s="93"/>
      <c r="O14" s="92"/>
      <c r="P14" s="93"/>
      <c r="Q14" s="92"/>
      <c r="R14" s="93"/>
      <c r="S14" s="92"/>
      <c r="T14" s="93"/>
      <c r="U14" s="92"/>
      <c r="V14" s="93"/>
      <c r="W14" s="92"/>
      <c r="X14" s="93"/>
      <c r="Y14" s="92"/>
      <c r="Z14" s="93"/>
      <c r="AA14" s="92"/>
      <c r="AB14" s="93"/>
      <c r="AC14" s="92"/>
      <c r="AD14" s="93"/>
      <c r="AE14" s="92"/>
      <c r="AF14" s="93"/>
      <c r="AG14" s="92"/>
      <c r="AH14" s="93"/>
      <c r="AI14" s="92"/>
      <c r="AJ14" s="93"/>
      <c r="AK14" s="92"/>
      <c r="AL14" s="93"/>
      <c r="AM14" s="92"/>
      <c r="AN14" s="93"/>
      <c r="AO14" s="92"/>
      <c r="AP14" s="93"/>
      <c r="AQ14" s="92"/>
      <c r="AR14" s="93"/>
      <c r="AS14" s="92"/>
      <c r="AT14" s="93"/>
      <c r="AU14" s="92"/>
      <c r="AV14" s="93"/>
      <c r="AW14" s="92"/>
      <c r="AX14" s="93"/>
      <c r="AY14" s="92"/>
      <c r="AZ14" s="93"/>
      <c r="BA14" s="92"/>
      <c r="BB14" s="93"/>
      <c r="BC14" s="92"/>
      <c r="BD14" s="93"/>
      <c r="BE14" s="311"/>
    </row>
    <row r="15" spans="1:57" s="12" customFormat="1" ht="22.5" customHeight="1">
      <c r="A15" s="310"/>
      <c r="B15" s="308" t="str">
        <f>Parameters!Q14</f>
        <v>C16</v>
      </c>
      <c r="C15" s="94"/>
      <c r="D15" s="495" t="str">
        <f>Parameters!S14</f>
        <v>Manufacture of wood and of products of wood and cork, except furniture; manufacture of articles of straw and plaiting materials</v>
      </c>
      <c r="E15" s="496"/>
      <c r="F15" s="70"/>
      <c r="G15" s="95"/>
      <c r="H15" s="86"/>
      <c r="I15" s="95"/>
      <c r="J15" s="86"/>
      <c r="K15" s="95"/>
      <c r="L15" s="86"/>
      <c r="M15" s="95"/>
      <c r="N15" s="86"/>
      <c r="O15" s="95"/>
      <c r="P15" s="86"/>
      <c r="Q15" s="95"/>
      <c r="R15" s="86"/>
      <c r="S15" s="95"/>
      <c r="T15" s="86"/>
      <c r="U15" s="95"/>
      <c r="V15" s="86"/>
      <c r="W15" s="95"/>
      <c r="X15" s="86"/>
      <c r="Y15" s="95"/>
      <c r="Z15" s="86"/>
      <c r="AA15" s="95"/>
      <c r="AB15" s="86"/>
      <c r="AC15" s="95"/>
      <c r="AD15" s="86"/>
      <c r="AE15" s="95"/>
      <c r="AF15" s="86"/>
      <c r="AG15" s="95"/>
      <c r="AH15" s="86"/>
      <c r="AI15" s="95"/>
      <c r="AJ15" s="86"/>
      <c r="AK15" s="95"/>
      <c r="AL15" s="86"/>
      <c r="AM15" s="95"/>
      <c r="AN15" s="86"/>
      <c r="AO15" s="95"/>
      <c r="AP15" s="86"/>
      <c r="AQ15" s="95"/>
      <c r="AR15" s="86"/>
      <c r="AS15" s="95"/>
      <c r="AT15" s="86"/>
      <c r="AU15" s="95"/>
      <c r="AV15" s="86"/>
      <c r="AW15" s="95"/>
      <c r="AX15" s="86"/>
      <c r="AY15" s="95"/>
      <c r="AZ15" s="86"/>
      <c r="BA15" s="95"/>
      <c r="BB15" s="86"/>
      <c r="BC15" s="95"/>
      <c r="BD15" s="86"/>
      <c r="BE15" s="312"/>
    </row>
    <row r="16" spans="1:57" s="11" customFormat="1" ht="12.75" customHeight="1">
      <c r="A16" s="310"/>
      <c r="B16" s="308" t="str">
        <f>Parameters!Q15</f>
        <v>C17</v>
      </c>
      <c r="C16" s="309"/>
      <c r="D16" s="495" t="str">
        <f>Parameters!S15</f>
        <v>Manufacture of paper and paper products</v>
      </c>
      <c r="E16" s="510"/>
      <c r="F16" s="70"/>
      <c r="G16" s="95"/>
      <c r="H16" s="86"/>
      <c r="I16" s="95"/>
      <c r="J16" s="86"/>
      <c r="K16" s="95"/>
      <c r="L16" s="86"/>
      <c r="M16" s="95"/>
      <c r="N16" s="86"/>
      <c r="O16" s="95"/>
      <c r="P16" s="86"/>
      <c r="Q16" s="95"/>
      <c r="R16" s="86"/>
      <c r="S16" s="95"/>
      <c r="T16" s="86"/>
      <c r="U16" s="95"/>
      <c r="V16" s="86"/>
      <c r="W16" s="95"/>
      <c r="X16" s="86"/>
      <c r="Y16" s="95"/>
      <c r="Z16" s="86"/>
      <c r="AA16" s="95"/>
      <c r="AB16" s="86"/>
      <c r="AC16" s="95"/>
      <c r="AD16" s="86"/>
      <c r="AE16" s="95"/>
      <c r="AF16" s="86"/>
      <c r="AG16" s="95"/>
      <c r="AH16" s="86"/>
      <c r="AI16" s="95"/>
      <c r="AJ16" s="86"/>
      <c r="AK16" s="95"/>
      <c r="AL16" s="86"/>
      <c r="AM16" s="95"/>
      <c r="AN16" s="86"/>
      <c r="AO16" s="95"/>
      <c r="AP16" s="86"/>
      <c r="AQ16" s="95"/>
      <c r="AR16" s="86"/>
      <c r="AS16" s="95"/>
      <c r="AT16" s="86"/>
      <c r="AU16" s="95"/>
      <c r="AV16" s="86"/>
      <c r="AW16" s="95"/>
      <c r="AX16" s="86"/>
      <c r="AY16" s="95"/>
      <c r="AZ16" s="86"/>
      <c r="BA16" s="95"/>
      <c r="BB16" s="86"/>
      <c r="BC16" s="95"/>
      <c r="BD16" s="86"/>
      <c r="BE16" s="312"/>
    </row>
    <row r="17" spans="1:57" s="11" customFormat="1" ht="12.75" customHeight="1">
      <c r="A17" s="310"/>
      <c r="B17" s="308" t="str">
        <f>Parameters!Q16</f>
        <v>C18</v>
      </c>
      <c r="C17" s="309"/>
      <c r="D17" s="495" t="str">
        <f>Parameters!S16</f>
        <v>Printing and reproduction of recorded media</v>
      </c>
      <c r="E17" s="510"/>
      <c r="F17" s="70"/>
      <c r="G17" s="95"/>
      <c r="H17" s="86"/>
      <c r="I17" s="95"/>
      <c r="J17" s="86"/>
      <c r="K17" s="95"/>
      <c r="L17" s="86"/>
      <c r="M17" s="95"/>
      <c r="N17" s="86"/>
      <c r="O17" s="95"/>
      <c r="P17" s="86"/>
      <c r="Q17" s="95"/>
      <c r="R17" s="86"/>
      <c r="S17" s="95"/>
      <c r="T17" s="86"/>
      <c r="U17" s="95"/>
      <c r="V17" s="86"/>
      <c r="W17" s="95"/>
      <c r="X17" s="86"/>
      <c r="Y17" s="95"/>
      <c r="Z17" s="86"/>
      <c r="AA17" s="95"/>
      <c r="AB17" s="86"/>
      <c r="AC17" s="95"/>
      <c r="AD17" s="86"/>
      <c r="AE17" s="95"/>
      <c r="AF17" s="86"/>
      <c r="AG17" s="95"/>
      <c r="AH17" s="86"/>
      <c r="AI17" s="95"/>
      <c r="AJ17" s="86"/>
      <c r="AK17" s="95"/>
      <c r="AL17" s="86"/>
      <c r="AM17" s="95"/>
      <c r="AN17" s="86"/>
      <c r="AO17" s="95"/>
      <c r="AP17" s="86"/>
      <c r="AQ17" s="95"/>
      <c r="AR17" s="86"/>
      <c r="AS17" s="95"/>
      <c r="AT17" s="86"/>
      <c r="AU17" s="95"/>
      <c r="AV17" s="86"/>
      <c r="AW17" s="95"/>
      <c r="AX17" s="86"/>
      <c r="AY17" s="95"/>
      <c r="AZ17" s="86"/>
      <c r="BA17" s="95"/>
      <c r="BB17" s="86"/>
      <c r="BC17" s="95"/>
      <c r="BD17" s="86"/>
      <c r="BE17" s="312"/>
    </row>
    <row r="18" spans="1:57" s="12" customFormat="1" ht="12.75" customHeight="1">
      <c r="A18" s="26"/>
      <c r="B18" s="89" t="str">
        <f>Parameters!Q17</f>
        <v>C19</v>
      </c>
      <c r="C18" s="90"/>
      <c r="D18" s="504" t="str">
        <f>Parameters!S17</f>
        <v>Manufacture of coke and refined petroleum products</v>
      </c>
      <c r="E18" s="505"/>
      <c r="F18" s="71"/>
      <c r="G18" s="95"/>
      <c r="H18" s="91"/>
      <c r="I18" s="95"/>
      <c r="J18" s="91"/>
      <c r="K18" s="95"/>
      <c r="L18" s="91"/>
      <c r="M18" s="95"/>
      <c r="N18" s="91"/>
      <c r="O18" s="95"/>
      <c r="P18" s="91"/>
      <c r="Q18" s="95"/>
      <c r="R18" s="91"/>
      <c r="S18" s="95"/>
      <c r="T18" s="91"/>
      <c r="U18" s="95"/>
      <c r="V18" s="91"/>
      <c r="W18" s="95"/>
      <c r="X18" s="91"/>
      <c r="Y18" s="95"/>
      <c r="Z18" s="91"/>
      <c r="AA18" s="95"/>
      <c r="AB18" s="91"/>
      <c r="AC18" s="95"/>
      <c r="AD18" s="91"/>
      <c r="AE18" s="95"/>
      <c r="AF18" s="91"/>
      <c r="AG18" s="95"/>
      <c r="AH18" s="91"/>
      <c r="AI18" s="95"/>
      <c r="AJ18" s="91"/>
      <c r="AK18" s="95"/>
      <c r="AL18" s="91"/>
      <c r="AM18" s="95"/>
      <c r="AN18" s="91"/>
      <c r="AO18" s="95"/>
      <c r="AP18" s="91"/>
      <c r="AQ18" s="95"/>
      <c r="AR18" s="91"/>
      <c r="AS18" s="95"/>
      <c r="AT18" s="91"/>
      <c r="AU18" s="95"/>
      <c r="AV18" s="91"/>
      <c r="AW18" s="95"/>
      <c r="AX18" s="91"/>
      <c r="AY18" s="95"/>
      <c r="AZ18" s="91"/>
      <c r="BA18" s="95"/>
      <c r="BB18" s="91"/>
      <c r="BC18" s="95"/>
      <c r="BD18" s="91"/>
      <c r="BE18" s="312"/>
    </row>
    <row r="19" spans="1:57" s="11" customFormat="1" ht="12.75" customHeight="1">
      <c r="A19" s="26"/>
      <c r="B19" s="89" t="str">
        <f>Parameters!Q18</f>
        <v>C20</v>
      </c>
      <c r="C19" s="90"/>
      <c r="D19" s="504" t="str">
        <f>Parameters!S18</f>
        <v>Manufacture of chemicals and chemical products</v>
      </c>
      <c r="E19" s="505"/>
      <c r="F19" s="71"/>
      <c r="G19" s="95"/>
      <c r="H19" s="91"/>
      <c r="I19" s="95"/>
      <c r="J19" s="91"/>
      <c r="K19" s="95"/>
      <c r="L19" s="91"/>
      <c r="M19" s="95"/>
      <c r="N19" s="91"/>
      <c r="O19" s="95"/>
      <c r="P19" s="91"/>
      <c r="Q19" s="95"/>
      <c r="R19" s="91"/>
      <c r="S19" s="95"/>
      <c r="T19" s="91"/>
      <c r="U19" s="95"/>
      <c r="V19" s="91"/>
      <c r="W19" s="95"/>
      <c r="X19" s="91"/>
      <c r="Y19" s="95"/>
      <c r="Z19" s="91"/>
      <c r="AA19" s="95"/>
      <c r="AB19" s="91"/>
      <c r="AC19" s="95"/>
      <c r="AD19" s="91"/>
      <c r="AE19" s="95"/>
      <c r="AF19" s="91"/>
      <c r="AG19" s="95"/>
      <c r="AH19" s="91"/>
      <c r="AI19" s="95"/>
      <c r="AJ19" s="91"/>
      <c r="AK19" s="95"/>
      <c r="AL19" s="91"/>
      <c r="AM19" s="95"/>
      <c r="AN19" s="91"/>
      <c r="AO19" s="95"/>
      <c r="AP19" s="91"/>
      <c r="AQ19" s="95"/>
      <c r="AR19" s="91"/>
      <c r="AS19" s="95"/>
      <c r="AT19" s="91"/>
      <c r="AU19" s="95"/>
      <c r="AV19" s="91"/>
      <c r="AW19" s="95"/>
      <c r="AX19" s="91"/>
      <c r="AY19" s="95"/>
      <c r="AZ19" s="91"/>
      <c r="BA19" s="95"/>
      <c r="BB19" s="91"/>
      <c r="BC19" s="95"/>
      <c r="BD19" s="91"/>
      <c r="BE19" s="312"/>
    </row>
    <row r="20" spans="1:57" s="11" customFormat="1" ht="12.75" customHeight="1">
      <c r="A20" s="26"/>
      <c r="B20" s="89" t="str">
        <f>Parameters!Q19</f>
        <v>C21</v>
      </c>
      <c r="C20" s="90"/>
      <c r="D20" s="504" t="str">
        <f>Parameters!S19</f>
        <v>Manufacture of basic pharmaceutical products and pharmaceutical preparations</v>
      </c>
      <c r="E20" s="505"/>
      <c r="F20" s="71"/>
      <c r="G20" s="95"/>
      <c r="H20" s="91"/>
      <c r="I20" s="95"/>
      <c r="J20" s="91"/>
      <c r="K20" s="95"/>
      <c r="L20" s="91"/>
      <c r="M20" s="95"/>
      <c r="N20" s="91"/>
      <c r="O20" s="95"/>
      <c r="P20" s="91"/>
      <c r="Q20" s="95"/>
      <c r="R20" s="91"/>
      <c r="S20" s="95"/>
      <c r="T20" s="91"/>
      <c r="U20" s="95"/>
      <c r="V20" s="91"/>
      <c r="W20" s="95"/>
      <c r="X20" s="91"/>
      <c r="Y20" s="95"/>
      <c r="Z20" s="91"/>
      <c r="AA20" s="95"/>
      <c r="AB20" s="91"/>
      <c r="AC20" s="95"/>
      <c r="AD20" s="91"/>
      <c r="AE20" s="95"/>
      <c r="AF20" s="91"/>
      <c r="AG20" s="95"/>
      <c r="AH20" s="91"/>
      <c r="AI20" s="95"/>
      <c r="AJ20" s="91"/>
      <c r="AK20" s="95"/>
      <c r="AL20" s="91"/>
      <c r="AM20" s="95"/>
      <c r="AN20" s="91"/>
      <c r="AO20" s="95"/>
      <c r="AP20" s="91"/>
      <c r="AQ20" s="95"/>
      <c r="AR20" s="91"/>
      <c r="AS20" s="95"/>
      <c r="AT20" s="91"/>
      <c r="AU20" s="95"/>
      <c r="AV20" s="91"/>
      <c r="AW20" s="95"/>
      <c r="AX20" s="91"/>
      <c r="AY20" s="95"/>
      <c r="AZ20" s="91"/>
      <c r="BA20" s="95"/>
      <c r="BB20" s="91"/>
      <c r="BC20" s="95"/>
      <c r="BD20" s="91"/>
      <c r="BE20" s="312"/>
    </row>
    <row r="21" spans="1:57" s="11" customFormat="1" ht="12.75" customHeight="1">
      <c r="A21" s="26"/>
      <c r="B21" s="89" t="str">
        <f>Parameters!Q20</f>
        <v>C22_C23</v>
      </c>
      <c r="C21" s="90"/>
      <c r="D21" s="504" t="str">
        <f>Parameters!S20</f>
        <v>Manufacture of rubber and plastic products and other non-metallic mineral products</v>
      </c>
      <c r="E21" s="506"/>
      <c r="F21" s="76"/>
      <c r="G21" s="92"/>
      <c r="H21" s="93"/>
      <c r="I21" s="92"/>
      <c r="J21" s="93"/>
      <c r="K21" s="92"/>
      <c r="L21" s="93"/>
      <c r="M21" s="92"/>
      <c r="N21" s="93"/>
      <c r="O21" s="92"/>
      <c r="P21" s="93"/>
      <c r="Q21" s="92"/>
      <c r="R21" s="93"/>
      <c r="S21" s="92"/>
      <c r="T21" s="93"/>
      <c r="U21" s="92"/>
      <c r="V21" s="93"/>
      <c r="W21" s="92"/>
      <c r="X21" s="93"/>
      <c r="Y21" s="92"/>
      <c r="Z21" s="93"/>
      <c r="AA21" s="92"/>
      <c r="AB21" s="93"/>
      <c r="AC21" s="92"/>
      <c r="AD21" s="93"/>
      <c r="AE21" s="92"/>
      <c r="AF21" s="93"/>
      <c r="AG21" s="92"/>
      <c r="AH21" s="93"/>
      <c r="AI21" s="92"/>
      <c r="AJ21" s="93"/>
      <c r="AK21" s="92"/>
      <c r="AL21" s="93"/>
      <c r="AM21" s="92"/>
      <c r="AN21" s="93"/>
      <c r="AO21" s="92"/>
      <c r="AP21" s="93"/>
      <c r="AQ21" s="92"/>
      <c r="AR21" s="93"/>
      <c r="AS21" s="92"/>
      <c r="AT21" s="93"/>
      <c r="AU21" s="92"/>
      <c r="AV21" s="93"/>
      <c r="AW21" s="92"/>
      <c r="AX21" s="93"/>
      <c r="AY21" s="92"/>
      <c r="AZ21" s="93"/>
      <c r="BA21" s="92"/>
      <c r="BB21" s="93"/>
      <c r="BC21" s="92"/>
      <c r="BD21" s="93"/>
      <c r="BE21" s="311"/>
    </row>
    <row r="22" spans="1:57" s="12" customFormat="1" ht="12.75" customHeight="1">
      <c r="A22" s="310"/>
      <c r="B22" s="308" t="str">
        <f>Parameters!Q21</f>
        <v>C22</v>
      </c>
      <c r="C22" s="96"/>
      <c r="D22" s="495" t="str">
        <f>Parameters!S21</f>
        <v>Manufacture of rubber and plastic products</v>
      </c>
      <c r="E22" s="496"/>
      <c r="F22" s="70"/>
      <c r="G22" s="95"/>
      <c r="H22" s="20"/>
      <c r="I22" s="95"/>
      <c r="J22" s="20"/>
      <c r="K22" s="95"/>
      <c r="L22" s="20"/>
      <c r="M22" s="95"/>
      <c r="N22" s="20"/>
      <c r="O22" s="95"/>
      <c r="P22" s="20"/>
      <c r="Q22" s="95"/>
      <c r="R22" s="20"/>
      <c r="S22" s="95"/>
      <c r="T22" s="20"/>
      <c r="U22" s="95"/>
      <c r="V22" s="20"/>
      <c r="W22" s="95"/>
      <c r="X22" s="20"/>
      <c r="Y22" s="95"/>
      <c r="Z22" s="20"/>
      <c r="AA22" s="95"/>
      <c r="AB22" s="20"/>
      <c r="AC22" s="95"/>
      <c r="AD22" s="20"/>
      <c r="AE22" s="95"/>
      <c r="AF22" s="20"/>
      <c r="AG22" s="95"/>
      <c r="AH22" s="20"/>
      <c r="AI22" s="95"/>
      <c r="AJ22" s="20"/>
      <c r="AK22" s="95"/>
      <c r="AL22" s="20"/>
      <c r="AM22" s="95"/>
      <c r="AN22" s="20"/>
      <c r="AO22" s="95"/>
      <c r="AP22" s="20"/>
      <c r="AQ22" s="95"/>
      <c r="AR22" s="20"/>
      <c r="AS22" s="95"/>
      <c r="AT22" s="20"/>
      <c r="AU22" s="95"/>
      <c r="AV22" s="86"/>
      <c r="AW22" s="95"/>
      <c r="AX22" s="86"/>
      <c r="AY22" s="95"/>
      <c r="AZ22" s="86"/>
      <c r="BA22" s="95"/>
      <c r="BB22" s="86"/>
      <c r="BC22" s="95"/>
      <c r="BD22" s="86"/>
      <c r="BE22" s="312"/>
    </row>
    <row r="23" spans="1:57" s="12" customFormat="1" ht="12.75" customHeight="1">
      <c r="A23" s="310"/>
      <c r="B23" s="308" t="str">
        <f>Parameters!Q22</f>
        <v>C23</v>
      </c>
      <c r="C23" s="96"/>
      <c r="D23" s="495" t="str">
        <f>Parameters!S22</f>
        <v>Manufacture of other non-metallic mineral products</v>
      </c>
      <c r="E23" s="510"/>
      <c r="F23" s="70"/>
      <c r="G23" s="95"/>
      <c r="H23" s="20"/>
      <c r="I23" s="95"/>
      <c r="J23" s="20"/>
      <c r="K23" s="95"/>
      <c r="L23" s="20"/>
      <c r="M23" s="95"/>
      <c r="N23" s="20"/>
      <c r="O23" s="95"/>
      <c r="P23" s="20"/>
      <c r="Q23" s="95"/>
      <c r="R23" s="20"/>
      <c r="S23" s="95"/>
      <c r="T23" s="20"/>
      <c r="U23" s="95"/>
      <c r="V23" s="20"/>
      <c r="W23" s="95"/>
      <c r="X23" s="20"/>
      <c r="Y23" s="95"/>
      <c r="Z23" s="20"/>
      <c r="AA23" s="95"/>
      <c r="AB23" s="20"/>
      <c r="AC23" s="95"/>
      <c r="AD23" s="20"/>
      <c r="AE23" s="95"/>
      <c r="AF23" s="20"/>
      <c r="AG23" s="95"/>
      <c r="AH23" s="20"/>
      <c r="AI23" s="95"/>
      <c r="AJ23" s="20"/>
      <c r="AK23" s="95"/>
      <c r="AL23" s="20"/>
      <c r="AM23" s="95"/>
      <c r="AN23" s="20"/>
      <c r="AO23" s="95"/>
      <c r="AP23" s="20"/>
      <c r="AQ23" s="95"/>
      <c r="AR23" s="20"/>
      <c r="AS23" s="95"/>
      <c r="AT23" s="20"/>
      <c r="AU23" s="95"/>
      <c r="AV23" s="86"/>
      <c r="AW23" s="95"/>
      <c r="AX23" s="86"/>
      <c r="AY23" s="95"/>
      <c r="AZ23" s="86"/>
      <c r="BA23" s="95"/>
      <c r="BB23" s="86"/>
      <c r="BC23" s="95"/>
      <c r="BD23" s="86"/>
      <c r="BE23" s="312"/>
    </row>
    <row r="24" spans="1:57" s="12" customFormat="1" ht="24.75" customHeight="1">
      <c r="A24" s="26"/>
      <c r="B24" s="89" t="str">
        <f>Parameters!Q23</f>
        <v>C24_C25</v>
      </c>
      <c r="C24" s="90"/>
      <c r="D24" s="504" t="str">
        <f>Parameters!S23</f>
        <v>Manufacture of basic metals and fabricated metal products, except machinery and equipment</v>
      </c>
      <c r="E24" s="506"/>
      <c r="F24" s="76"/>
      <c r="G24" s="92"/>
      <c r="H24" s="93"/>
      <c r="I24" s="92"/>
      <c r="J24" s="93"/>
      <c r="K24" s="92"/>
      <c r="L24" s="93"/>
      <c r="M24" s="92"/>
      <c r="N24" s="93"/>
      <c r="O24" s="92"/>
      <c r="P24" s="93"/>
      <c r="Q24" s="92"/>
      <c r="R24" s="93"/>
      <c r="S24" s="92"/>
      <c r="T24" s="93"/>
      <c r="U24" s="92"/>
      <c r="V24" s="93"/>
      <c r="W24" s="92"/>
      <c r="X24" s="93"/>
      <c r="Y24" s="92"/>
      <c r="Z24" s="93"/>
      <c r="AA24" s="92"/>
      <c r="AB24" s="93"/>
      <c r="AC24" s="92"/>
      <c r="AD24" s="93"/>
      <c r="AE24" s="92"/>
      <c r="AF24" s="93"/>
      <c r="AG24" s="92"/>
      <c r="AH24" s="93"/>
      <c r="AI24" s="92"/>
      <c r="AJ24" s="93"/>
      <c r="AK24" s="92"/>
      <c r="AL24" s="93"/>
      <c r="AM24" s="92"/>
      <c r="AN24" s="93"/>
      <c r="AO24" s="92"/>
      <c r="AP24" s="93"/>
      <c r="AQ24" s="92"/>
      <c r="AR24" s="93"/>
      <c r="AS24" s="92"/>
      <c r="AT24" s="93"/>
      <c r="AU24" s="92"/>
      <c r="AV24" s="93"/>
      <c r="AW24" s="92"/>
      <c r="AX24" s="93"/>
      <c r="AY24" s="92"/>
      <c r="AZ24" s="93"/>
      <c r="BA24" s="92"/>
      <c r="BB24" s="93"/>
      <c r="BC24" s="92"/>
      <c r="BD24" s="93"/>
      <c r="BE24" s="311"/>
    </row>
    <row r="25" spans="1:57" s="12" customFormat="1" ht="12.75" customHeight="1">
      <c r="A25" s="310"/>
      <c r="B25" s="308" t="str">
        <f>Parameters!Q24</f>
        <v>C24</v>
      </c>
      <c r="C25" s="96"/>
      <c r="D25" s="495" t="str">
        <f>Parameters!S24</f>
        <v>Manufacture of basic metals</v>
      </c>
      <c r="E25" s="496"/>
      <c r="F25" s="70"/>
      <c r="G25" s="95"/>
      <c r="H25" s="20"/>
      <c r="I25" s="95"/>
      <c r="J25" s="20"/>
      <c r="K25" s="95"/>
      <c r="L25" s="20"/>
      <c r="M25" s="95"/>
      <c r="N25" s="20"/>
      <c r="O25" s="95"/>
      <c r="P25" s="20"/>
      <c r="Q25" s="95"/>
      <c r="R25" s="20"/>
      <c r="S25" s="95"/>
      <c r="T25" s="20"/>
      <c r="U25" s="95"/>
      <c r="V25" s="20"/>
      <c r="W25" s="95"/>
      <c r="X25" s="20"/>
      <c r="Y25" s="95"/>
      <c r="Z25" s="20"/>
      <c r="AA25" s="95"/>
      <c r="AB25" s="20"/>
      <c r="AC25" s="95"/>
      <c r="AD25" s="20"/>
      <c r="AE25" s="95"/>
      <c r="AF25" s="20"/>
      <c r="AG25" s="95"/>
      <c r="AH25" s="20"/>
      <c r="AI25" s="95"/>
      <c r="AJ25" s="20"/>
      <c r="AK25" s="95"/>
      <c r="AL25" s="20"/>
      <c r="AM25" s="95"/>
      <c r="AN25" s="20"/>
      <c r="AO25" s="95"/>
      <c r="AP25" s="20"/>
      <c r="AQ25" s="95"/>
      <c r="AR25" s="20"/>
      <c r="AS25" s="95"/>
      <c r="AT25" s="20"/>
      <c r="AU25" s="95"/>
      <c r="AV25" s="86"/>
      <c r="AW25" s="95"/>
      <c r="AX25" s="86"/>
      <c r="AY25" s="95"/>
      <c r="AZ25" s="86"/>
      <c r="BA25" s="95"/>
      <c r="BB25" s="86"/>
      <c r="BC25" s="95"/>
      <c r="BD25" s="86"/>
      <c r="BE25" s="312"/>
    </row>
    <row r="26" spans="1:57" s="11" customFormat="1" ht="12.75" customHeight="1">
      <c r="A26" s="310"/>
      <c r="B26" s="308" t="str">
        <f>Parameters!Q25</f>
        <v>C25</v>
      </c>
      <c r="C26" s="309"/>
      <c r="D26" s="495" t="str">
        <f>Parameters!S25</f>
        <v>Manufacture of fabricated metal products, except machinery and equipment</v>
      </c>
      <c r="E26" s="510"/>
      <c r="F26" s="70"/>
      <c r="G26" s="95"/>
      <c r="H26" s="86"/>
      <c r="I26" s="95"/>
      <c r="J26" s="86"/>
      <c r="K26" s="95"/>
      <c r="L26" s="86"/>
      <c r="M26" s="95"/>
      <c r="N26" s="86"/>
      <c r="O26" s="95"/>
      <c r="P26" s="86"/>
      <c r="Q26" s="95"/>
      <c r="R26" s="86"/>
      <c r="S26" s="95"/>
      <c r="T26" s="86"/>
      <c r="U26" s="95"/>
      <c r="V26" s="86"/>
      <c r="W26" s="95"/>
      <c r="X26" s="86"/>
      <c r="Y26" s="95"/>
      <c r="Z26" s="86"/>
      <c r="AA26" s="95"/>
      <c r="AB26" s="86"/>
      <c r="AC26" s="95"/>
      <c r="AD26" s="86"/>
      <c r="AE26" s="95"/>
      <c r="AF26" s="86"/>
      <c r="AG26" s="95"/>
      <c r="AH26" s="86"/>
      <c r="AI26" s="95"/>
      <c r="AJ26" s="86"/>
      <c r="AK26" s="95"/>
      <c r="AL26" s="86"/>
      <c r="AM26" s="95"/>
      <c r="AN26" s="86"/>
      <c r="AO26" s="95"/>
      <c r="AP26" s="86"/>
      <c r="AQ26" s="95"/>
      <c r="AR26" s="86"/>
      <c r="AS26" s="95"/>
      <c r="AT26" s="86"/>
      <c r="AU26" s="95"/>
      <c r="AV26" s="86"/>
      <c r="AW26" s="95"/>
      <c r="AX26" s="86"/>
      <c r="AY26" s="95"/>
      <c r="AZ26" s="86"/>
      <c r="BA26" s="95"/>
      <c r="BB26" s="86"/>
      <c r="BC26" s="95"/>
      <c r="BD26" s="86"/>
      <c r="BE26" s="312"/>
    </row>
    <row r="27" spans="1:57" s="11" customFormat="1" ht="12.75" customHeight="1">
      <c r="A27" s="26"/>
      <c r="B27" s="89" t="str">
        <f>Parameters!Q26</f>
        <v>C26</v>
      </c>
      <c r="C27" s="90"/>
      <c r="D27" s="504" t="str">
        <f>Parameters!S26</f>
        <v>Manufacture of computer, electronic and optical products</v>
      </c>
      <c r="E27" s="505"/>
      <c r="F27" s="71"/>
      <c r="G27" s="95"/>
      <c r="H27" s="91"/>
      <c r="I27" s="95"/>
      <c r="J27" s="91"/>
      <c r="K27" s="95"/>
      <c r="L27" s="91"/>
      <c r="M27" s="95"/>
      <c r="N27" s="91"/>
      <c r="O27" s="95"/>
      <c r="P27" s="91"/>
      <c r="Q27" s="95"/>
      <c r="R27" s="91"/>
      <c r="S27" s="95"/>
      <c r="T27" s="91"/>
      <c r="U27" s="95"/>
      <c r="V27" s="91"/>
      <c r="W27" s="95"/>
      <c r="X27" s="91"/>
      <c r="Y27" s="95"/>
      <c r="Z27" s="91"/>
      <c r="AA27" s="95"/>
      <c r="AB27" s="91"/>
      <c r="AC27" s="95"/>
      <c r="AD27" s="91"/>
      <c r="AE27" s="95"/>
      <c r="AF27" s="91"/>
      <c r="AG27" s="95"/>
      <c r="AH27" s="91"/>
      <c r="AI27" s="95"/>
      <c r="AJ27" s="91"/>
      <c r="AK27" s="95"/>
      <c r="AL27" s="91"/>
      <c r="AM27" s="95"/>
      <c r="AN27" s="91"/>
      <c r="AO27" s="95"/>
      <c r="AP27" s="91"/>
      <c r="AQ27" s="95"/>
      <c r="AR27" s="91"/>
      <c r="AS27" s="95"/>
      <c r="AT27" s="91"/>
      <c r="AU27" s="95"/>
      <c r="AV27" s="91"/>
      <c r="AW27" s="95"/>
      <c r="AX27" s="91"/>
      <c r="AY27" s="95"/>
      <c r="AZ27" s="91"/>
      <c r="BA27" s="95"/>
      <c r="BB27" s="91"/>
      <c r="BC27" s="95"/>
      <c r="BD27" s="91"/>
      <c r="BE27" s="312"/>
    </row>
    <row r="28" spans="1:57" s="12" customFormat="1" ht="12.75" customHeight="1">
      <c r="A28" s="26"/>
      <c r="B28" s="89" t="str">
        <f>Parameters!Q27</f>
        <v>C27</v>
      </c>
      <c r="C28" s="90"/>
      <c r="D28" s="504" t="str">
        <f>Parameters!S27</f>
        <v>Manufacture of electrical equipment</v>
      </c>
      <c r="E28" s="505"/>
      <c r="F28" s="71"/>
      <c r="G28" s="95"/>
      <c r="H28" s="91"/>
      <c r="I28" s="95"/>
      <c r="J28" s="91"/>
      <c r="K28" s="95"/>
      <c r="L28" s="91"/>
      <c r="M28" s="95"/>
      <c r="N28" s="91"/>
      <c r="O28" s="95"/>
      <c r="P28" s="91"/>
      <c r="Q28" s="95"/>
      <c r="R28" s="91"/>
      <c r="S28" s="95"/>
      <c r="T28" s="91"/>
      <c r="U28" s="95"/>
      <c r="V28" s="91"/>
      <c r="W28" s="95"/>
      <c r="X28" s="91"/>
      <c r="Y28" s="95"/>
      <c r="Z28" s="91"/>
      <c r="AA28" s="95"/>
      <c r="AB28" s="91"/>
      <c r="AC28" s="95"/>
      <c r="AD28" s="91"/>
      <c r="AE28" s="95"/>
      <c r="AF28" s="91"/>
      <c r="AG28" s="95"/>
      <c r="AH28" s="91"/>
      <c r="AI28" s="95"/>
      <c r="AJ28" s="91"/>
      <c r="AK28" s="95"/>
      <c r="AL28" s="91"/>
      <c r="AM28" s="95"/>
      <c r="AN28" s="91"/>
      <c r="AO28" s="95"/>
      <c r="AP28" s="91"/>
      <c r="AQ28" s="95"/>
      <c r="AR28" s="91"/>
      <c r="AS28" s="95"/>
      <c r="AT28" s="91"/>
      <c r="AU28" s="95"/>
      <c r="AV28" s="91"/>
      <c r="AW28" s="95"/>
      <c r="AX28" s="91"/>
      <c r="AY28" s="95"/>
      <c r="AZ28" s="91"/>
      <c r="BA28" s="95"/>
      <c r="BB28" s="91"/>
      <c r="BC28" s="95"/>
      <c r="BD28" s="91"/>
      <c r="BE28" s="312"/>
    </row>
    <row r="29" spans="1:57" s="12" customFormat="1" ht="12.75" customHeight="1">
      <c r="A29" s="26"/>
      <c r="B29" s="89" t="str">
        <f>Parameters!Q28</f>
        <v>C28</v>
      </c>
      <c r="C29" s="90"/>
      <c r="D29" s="504" t="str">
        <f>Parameters!S28</f>
        <v>Manufacture of machinery and equipment n.e.c.</v>
      </c>
      <c r="E29" s="505"/>
      <c r="F29" s="71"/>
      <c r="G29" s="95"/>
      <c r="H29" s="91"/>
      <c r="I29" s="95"/>
      <c r="J29" s="91"/>
      <c r="K29" s="95"/>
      <c r="L29" s="91"/>
      <c r="M29" s="95"/>
      <c r="N29" s="91"/>
      <c r="O29" s="95"/>
      <c r="P29" s="91"/>
      <c r="Q29" s="95"/>
      <c r="R29" s="91"/>
      <c r="S29" s="95"/>
      <c r="T29" s="91"/>
      <c r="U29" s="95"/>
      <c r="V29" s="91"/>
      <c r="W29" s="95"/>
      <c r="X29" s="91"/>
      <c r="Y29" s="95"/>
      <c r="Z29" s="91"/>
      <c r="AA29" s="95"/>
      <c r="AB29" s="91"/>
      <c r="AC29" s="95"/>
      <c r="AD29" s="91"/>
      <c r="AE29" s="95"/>
      <c r="AF29" s="91"/>
      <c r="AG29" s="95"/>
      <c r="AH29" s="91"/>
      <c r="AI29" s="95"/>
      <c r="AJ29" s="91"/>
      <c r="AK29" s="95"/>
      <c r="AL29" s="91"/>
      <c r="AM29" s="95"/>
      <c r="AN29" s="91"/>
      <c r="AO29" s="95"/>
      <c r="AP29" s="91"/>
      <c r="AQ29" s="95"/>
      <c r="AR29" s="91"/>
      <c r="AS29" s="95"/>
      <c r="AT29" s="91"/>
      <c r="AU29" s="95"/>
      <c r="AV29" s="91"/>
      <c r="AW29" s="95"/>
      <c r="AX29" s="91"/>
      <c r="AY29" s="95"/>
      <c r="AZ29" s="91"/>
      <c r="BA29" s="95"/>
      <c r="BB29" s="91"/>
      <c r="BC29" s="95"/>
      <c r="BD29" s="91"/>
      <c r="BE29" s="312"/>
    </row>
    <row r="30" spans="1:57" s="12" customFormat="1" ht="12.75" customHeight="1">
      <c r="A30" s="26"/>
      <c r="B30" s="89" t="str">
        <f>Parameters!Q29</f>
        <v>C29_C30</v>
      </c>
      <c r="C30" s="90"/>
      <c r="D30" s="504" t="str">
        <f>Parameters!S29</f>
        <v>Manufacture of motor vehicles, trailers, semi-trailers and of other transport equipment</v>
      </c>
      <c r="E30" s="506"/>
      <c r="F30" s="76"/>
      <c r="G30" s="92"/>
      <c r="H30" s="93"/>
      <c r="I30" s="92"/>
      <c r="J30" s="93"/>
      <c r="K30" s="92"/>
      <c r="L30" s="93"/>
      <c r="M30" s="92"/>
      <c r="N30" s="93"/>
      <c r="O30" s="92"/>
      <c r="P30" s="93"/>
      <c r="Q30" s="92"/>
      <c r="R30" s="93"/>
      <c r="S30" s="92"/>
      <c r="T30" s="93"/>
      <c r="U30" s="92"/>
      <c r="V30" s="93"/>
      <c r="W30" s="92"/>
      <c r="X30" s="93"/>
      <c r="Y30" s="92"/>
      <c r="Z30" s="93"/>
      <c r="AA30" s="92"/>
      <c r="AB30" s="93"/>
      <c r="AC30" s="92"/>
      <c r="AD30" s="93"/>
      <c r="AE30" s="92"/>
      <c r="AF30" s="93"/>
      <c r="AG30" s="92"/>
      <c r="AH30" s="93"/>
      <c r="AI30" s="92"/>
      <c r="AJ30" s="93"/>
      <c r="AK30" s="92"/>
      <c r="AL30" s="93"/>
      <c r="AM30" s="92"/>
      <c r="AN30" s="93"/>
      <c r="AO30" s="92"/>
      <c r="AP30" s="93"/>
      <c r="AQ30" s="92"/>
      <c r="AR30" s="93"/>
      <c r="AS30" s="92"/>
      <c r="AT30" s="93"/>
      <c r="AU30" s="92"/>
      <c r="AV30" s="93"/>
      <c r="AW30" s="92"/>
      <c r="AX30" s="93"/>
      <c r="AY30" s="92"/>
      <c r="AZ30" s="93"/>
      <c r="BA30" s="92"/>
      <c r="BB30" s="93"/>
      <c r="BC30" s="92"/>
      <c r="BD30" s="93"/>
      <c r="BE30" s="311"/>
    </row>
    <row r="31" spans="1:57" s="12" customFormat="1" ht="12.75" customHeight="1">
      <c r="A31" s="310"/>
      <c r="B31" s="308" t="str">
        <f>Parameters!Q30</f>
        <v>C29</v>
      </c>
      <c r="C31" s="309"/>
      <c r="D31" s="495" t="str">
        <f>Parameters!S30</f>
        <v>Manufacture of motor vehicles, trailers and semi-trailers</v>
      </c>
      <c r="E31" s="496"/>
      <c r="F31" s="70"/>
      <c r="G31" s="95"/>
      <c r="H31" s="86"/>
      <c r="I31" s="95"/>
      <c r="J31" s="86"/>
      <c r="K31" s="95"/>
      <c r="L31" s="86"/>
      <c r="M31" s="95"/>
      <c r="N31" s="86"/>
      <c r="O31" s="95"/>
      <c r="P31" s="86"/>
      <c r="Q31" s="95"/>
      <c r="R31" s="86"/>
      <c r="S31" s="95"/>
      <c r="T31" s="86"/>
      <c r="U31" s="95"/>
      <c r="V31" s="86"/>
      <c r="W31" s="95"/>
      <c r="X31" s="86"/>
      <c r="Y31" s="95"/>
      <c r="Z31" s="86"/>
      <c r="AA31" s="95"/>
      <c r="AB31" s="86"/>
      <c r="AC31" s="95"/>
      <c r="AD31" s="86"/>
      <c r="AE31" s="95"/>
      <c r="AF31" s="86"/>
      <c r="AG31" s="95"/>
      <c r="AH31" s="86"/>
      <c r="AI31" s="95"/>
      <c r="AJ31" s="86"/>
      <c r="AK31" s="95"/>
      <c r="AL31" s="86"/>
      <c r="AM31" s="95"/>
      <c r="AN31" s="86"/>
      <c r="AO31" s="95"/>
      <c r="AP31" s="86"/>
      <c r="AQ31" s="95"/>
      <c r="AR31" s="86"/>
      <c r="AS31" s="95"/>
      <c r="AT31" s="86"/>
      <c r="AU31" s="95"/>
      <c r="AV31" s="86"/>
      <c r="AW31" s="95"/>
      <c r="AX31" s="86"/>
      <c r="AY31" s="95"/>
      <c r="AZ31" s="86"/>
      <c r="BA31" s="95"/>
      <c r="BB31" s="86"/>
      <c r="BC31" s="95"/>
      <c r="BD31" s="86"/>
      <c r="BE31" s="312"/>
    </row>
    <row r="32" spans="1:57" s="12" customFormat="1" ht="12.75" customHeight="1">
      <c r="A32" s="310"/>
      <c r="B32" s="308" t="str">
        <f>Parameters!Q31</f>
        <v>C30</v>
      </c>
      <c r="C32" s="309"/>
      <c r="D32" s="495" t="str">
        <f>Parameters!S31</f>
        <v>Manufacture of other transport equipment</v>
      </c>
      <c r="E32" s="496"/>
      <c r="F32" s="70"/>
      <c r="G32" s="95"/>
      <c r="H32" s="86"/>
      <c r="I32" s="95"/>
      <c r="J32" s="86"/>
      <c r="K32" s="95"/>
      <c r="L32" s="86"/>
      <c r="M32" s="95"/>
      <c r="N32" s="86"/>
      <c r="O32" s="95"/>
      <c r="P32" s="86"/>
      <c r="Q32" s="95"/>
      <c r="R32" s="86"/>
      <c r="S32" s="95"/>
      <c r="T32" s="86"/>
      <c r="U32" s="95"/>
      <c r="V32" s="86"/>
      <c r="W32" s="95"/>
      <c r="X32" s="86"/>
      <c r="Y32" s="95"/>
      <c r="Z32" s="86"/>
      <c r="AA32" s="95"/>
      <c r="AB32" s="86"/>
      <c r="AC32" s="95"/>
      <c r="AD32" s="86"/>
      <c r="AE32" s="95"/>
      <c r="AF32" s="86"/>
      <c r="AG32" s="95"/>
      <c r="AH32" s="86"/>
      <c r="AI32" s="95"/>
      <c r="AJ32" s="86"/>
      <c r="AK32" s="95"/>
      <c r="AL32" s="86"/>
      <c r="AM32" s="95"/>
      <c r="AN32" s="86"/>
      <c r="AO32" s="95"/>
      <c r="AP32" s="86"/>
      <c r="AQ32" s="95"/>
      <c r="AR32" s="86"/>
      <c r="AS32" s="95"/>
      <c r="AT32" s="86"/>
      <c r="AU32" s="95"/>
      <c r="AV32" s="86"/>
      <c r="AW32" s="95"/>
      <c r="AX32" s="86"/>
      <c r="AY32" s="95"/>
      <c r="AZ32" s="86"/>
      <c r="BA32" s="95"/>
      <c r="BB32" s="86"/>
      <c r="BC32" s="95"/>
      <c r="BD32" s="86"/>
      <c r="BE32" s="312"/>
    </row>
    <row r="33" spans="1:57" s="12" customFormat="1" ht="25.5" customHeight="1">
      <c r="A33" s="26"/>
      <c r="B33" s="89" t="str">
        <f>Parameters!Q32</f>
        <v>C31-C33</v>
      </c>
      <c r="C33" s="90"/>
      <c r="D33" s="504" t="str">
        <f>Parameters!S32</f>
        <v>Manufacture of furniture; jewellery, musical instruments, toys; repair and installation of machinery and equipment</v>
      </c>
      <c r="E33" s="506"/>
      <c r="F33" s="76"/>
      <c r="G33" s="92"/>
      <c r="H33" s="93"/>
      <c r="I33" s="92"/>
      <c r="J33" s="93"/>
      <c r="K33" s="92"/>
      <c r="L33" s="93"/>
      <c r="M33" s="92"/>
      <c r="N33" s="93"/>
      <c r="O33" s="92"/>
      <c r="P33" s="93"/>
      <c r="Q33" s="92"/>
      <c r="R33" s="93"/>
      <c r="S33" s="92"/>
      <c r="T33" s="93"/>
      <c r="U33" s="92"/>
      <c r="V33" s="93"/>
      <c r="W33" s="92"/>
      <c r="X33" s="93"/>
      <c r="Y33" s="92"/>
      <c r="Z33" s="93"/>
      <c r="AA33" s="92"/>
      <c r="AB33" s="93"/>
      <c r="AC33" s="92"/>
      <c r="AD33" s="93"/>
      <c r="AE33" s="92"/>
      <c r="AF33" s="93"/>
      <c r="AG33" s="92"/>
      <c r="AH33" s="93"/>
      <c r="AI33" s="92"/>
      <c r="AJ33" s="93"/>
      <c r="AK33" s="92"/>
      <c r="AL33" s="93"/>
      <c r="AM33" s="92"/>
      <c r="AN33" s="93"/>
      <c r="AO33" s="92"/>
      <c r="AP33" s="93"/>
      <c r="AQ33" s="92"/>
      <c r="AR33" s="93"/>
      <c r="AS33" s="92"/>
      <c r="AT33" s="93"/>
      <c r="AU33" s="92"/>
      <c r="AV33" s="93"/>
      <c r="AW33" s="92"/>
      <c r="AX33" s="93"/>
      <c r="AY33" s="92"/>
      <c r="AZ33" s="93"/>
      <c r="BA33" s="92"/>
      <c r="BB33" s="93"/>
      <c r="BC33" s="92"/>
      <c r="BD33" s="93"/>
      <c r="BE33" s="311"/>
    </row>
    <row r="34" spans="1:57" s="12" customFormat="1" ht="12.75" customHeight="1">
      <c r="A34" s="310"/>
      <c r="B34" s="308" t="str">
        <f>Parameters!Q33</f>
        <v>C31_C32</v>
      </c>
      <c r="C34" s="309"/>
      <c r="D34" s="495" t="str">
        <f>Parameters!S33</f>
        <v>Manufacture of furniture; other manufacturing</v>
      </c>
      <c r="E34" s="496"/>
      <c r="F34" s="70"/>
      <c r="G34" s="95"/>
      <c r="H34" s="86"/>
      <c r="I34" s="95"/>
      <c r="J34" s="86"/>
      <c r="K34" s="95"/>
      <c r="L34" s="86"/>
      <c r="M34" s="95"/>
      <c r="N34" s="86"/>
      <c r="O34" s="95"/>
      <c r="P34" s="86"/>
      <c r="Q34" s="95"/>
      <c r="R34" s="86"/>
      <c r="S34" s="95"/>
      <c r="T34" s="86"/>
      <c r="U34" s="95"/>
      <c r="V34" s="86"/>
      <c r="W34" s="95"/>
      <c r="X34" s="86"/>
      <c r="Y34" s="95"/>
      <c r="Z34" s="86"/>
      <c r="AA34" s="95"/>
      <c r="AB34" s="86"/>
      <c r="AC34" s="95"/>
      <c r="AD34" s="86"/>
      <c r="AE34" s="95"/>
      <c r="AF34" s="86"/>
      <c r="AG34" s="95"/>
      <c r="AH34" s="86"/>
      <c r="AI34" s="95"/>
      <c r="AJ34" s="86"/>
      <c r="AK34" s="95"/>
      <c r="AL34" s="86"/>
      <c r="AM34" s="95"/>
      <c r="AN34" s="86"/>
      <c r="AO34" s="95"/>
      <c r="AP34" s="86"/>
      <c r="AQ34" s="95"/>
      <c r="AR34" s="86"/>
      <c r="AS34" s="95"/>
      <c r="AT34" s="86"/>
      <c r="AU34" s="95"/>
      <c r="AV34" s="86"/>
      <c r="AW34" s="95"/>
      <c r="AX34" s="86"/>
      <c r="AY34" s="95"/>
      <c r="AZ34" s="86"/>
      <c r="BA34" s="95"/>
      <c r="BB34" s="86"/>
      <c r="BC34" s="95"/>
      <c r="BD34" s="86"/>
      <c r="BE34" s="312"/>
    </row>
    <row r="35" spans="1:57" s="11" customFormat="1" ht="12.75" customHeight="1">
      <c r="A35" s="310"/>
      <c r="B35" s="308" t="str">
        <f>Parameters!Q34</f>
        <v>C33</v>
      </c>
      <c r="C35" s="309"/>
      <c r="D35" s="495" t="str">
        <f>Parameters!S34</f>
        <v>Repair and installation of machinery and equipment</v>
      </c>
      <c r="E35" s="510"/>
      <c r="F35" s="70"/>
      <c r="G35" s="95"/>
      <c r="H35" s="86"/>
      <c r="I35" s="95"/>
      <c r="J35" s="86"/>
      <c r="K35" s="95"/>
      <c r="L35" s="86"/>
      <c r="M35" s="95"/>
      <c r="N35" s="86"/>
      <c r="O35" s="95"/>
      <c r="P35" s="86"/>
      <c r="Q35" s="95"/>
      <c r="R35" s="86"/>
      <c r="S35" s="95"/>
      <c r="T35" s="86"/>
      <c r="U35" s="95"/>
      <c r="V35" s="86"/>
      <c r="W35" s="95"/>
      <c r="X35" s="86"/>
      <c r="Y35" s="95"/>
      <c r="Z35" s="86"/>
      <c r="AA35" s="95"/>
      <c r="AB35" s="86"/>
      <c r="AC35" s="95"/>
      <c r="AD35" s="86"/>
      <c r="AE35" s="95"/>
      <c r="AF35" s="86"/>
      <c r="AG35" s="95"/>
      <c r="AH35" s="86"/>
      <c r="AI35" s="95"/>
      <c r="AJ35" s="86"/>
      <c r="AK35" s="95"/>
      <c r="AL35" s="86"/>
      <c r="AM35" s="95"/>
      <c r="AN35" s="86"/>
      <c r="AO35" s="95"/>
      <c r="AP35" s="86"/>
      <c r="AQ35" s="95"/>
      <c r="AR35" s="86"/>
      <c r="AS35" s="95"/>
      <c r="AT35" s="86"/>
      <c r="AU35" s="95"/>
      <c r="AV35" s="86"/>
      <c r="AW35" s="95"/>
      <c r="AX35" s="86"/>
      <c r="AY35" s="95"/>
      <c r="AZ35" s="86"/>
      <c r="BA35" s="95"/>
      <c r="BB35" s="86"/>
      <c r="BC35" s="95"/>
      <c r="BD35" s="86"/>
      <c r="BE35" s="312"/>
    </row>
    <row r="36" spans="1:57" s="10" customFormat="1" ht="12.75" customHeight="1">
      <c r="A36" s="25"/>
      <c r="B36" s="87" t="str">
        <f>Parameters!Q35</f>
        <v>D</v>
      </c>
      <c r="C36" s="88"/>
      <c r="D36" s="498" t="str">
        <f>Parameters!S35</f>
        <v>Electricity, gas, steam and air conditioning supply</v>
      </c>
      <c r="E36" s="496"/>
      <c r="F36" s="69"/>
      <c r="G36" s="95"/>
      <c r="H36" s="85"/>
      <c r="I36" s="95"/>
      <c r="J36" s="85"/>
      <c r="K36" s="95"/>
      <c r="L36" s="85"/>
      <c r="M36" s="95"/>
      <c r="N36" s="85"/>
      <c r="O36" s="95"/>
      <c r="P36" s="85"/>
      <c r="Q36" s="95"/>
      <c r="R36" s="85"/>
      <c r="S36" s="95"/>
      <c r="T36" s="85"/>
      <c r="U36" s="95"/>
      <c r="V36" s="85"/>
      <c r="W36" s="95"/>
      <c r="X36" s="85"/>
      <c r="Y36" s="95"/>
      <c r="Z36" s="85"/>
      <c r="AA36" s="95"/>
      <c r="AB36" s="85"/>
      <c r="AC36" s="95"/>
      <c r="AD36" s="85"/>
      <c r="AE36" s="95"/>
      <c r="AF36" s="85"/>
      <c r="AG36" s="95"/>
      <c r="AH36" s="85"/>
      <c r="AI36" s="95"/>
      <c r="AJ36" s="85"/>
      <c r="AK36" s="95"/>
      <c r="AL36" s="85"/>
      <c r="AM36" s="95"/>
      <c r="AN36" s="85"/>
      <c r="AO36" s="95"/>
      <c r="AP36" s="85"/>
      <c r="AQ36" s="95"/>
      <c r="AR36" s="85"/>
      <c r="AS36" s="95"/>
      <c r="AT36" s="85"/>
      <c r="AU36" s="95"/>
      <c r="AV36" s="85"/>
      <c r="AW36" s="95"/>
      <c r="AX36" s="85"/>
      <c r="AY36" s="95"/>
      <c r="AZ36" s="85"/>
      <c r="BA36" s="95"/>
      <c r="BB36" s="85"/>
      <c r="BC36" s="95"/>
      <c r="BD36" s="85"/>
      <c r="BE36" s="312"/>
    </row>
    <row r="37" spans="1:57" s="10" customFormat="1">
      <c r="A37" s="25"/>
      <c r="B37" s="87" t="str">
        <f>Parameters!Q36</f>
        <v>E</v>
      </c>
      <c r="C37" s="88"/>
      <c r="D37" s="498" t="str">
        <f>Parameters!S36</f>
        <v>Water supply; sewerage, waste management and remediation activities</v>
      </c>
      <c r="E37" s="499"/>
      <c r="F37" s="69"/>
      <c r="G37" s="95"/>
      <c r="H37" s="85"/>
      <c r="I37" s="95"/>
      <c r="J37" s="85"/>
      <c r="K37" s="95"/>
      <c r="L37" s="85"/>
      <c r="M37" s="95"/>
      <c r="N37" s="85"/>
      <c r="O37" s="95"/>
      <c r="P37" s="85"/>
      <c r="Q37" s="95"/>
      <c r="R37" s="85"/>
      <c r="S37" s="95"/>
      <c r="T37" s="85"/>
      <c r="U37" s="95"/>
      <c r="V37" s="85"/>
      <c r="W37" s="95"/>
      <c r="X37" s="85"/>
      <c r="Y37" s="95"/>
      <c r="Z37" s="85"/>
      <c r="AA37" s="95"/>
      <c r="AB37" s="85"/>
      <c r="AC37" s="95"/>
      <c r="AD37" s="85"/>
      <c r="AE37" s="95"/>
      <c r="AF37" s="85"/>
      <c r="AG37" s="95"/>
      <c r="AH37" s="85"/>
      <c r="AI37" s="95"/>
      <c r="AJ37" s="85"/>
      <c r="AK37" s="95"/>
      <c r="AL37" s="85"/>
      <c r="AM37" s="95"/>
      <c r="AN37" s="85"/>
      <c r="AO37" s="95"/>
      <c r="AP37" s="85"/>
      <c r="AQ37" s="95"/>
      <c r="AR37" s="85"/>
      <c r="AS37" s="95"/>
      <c r="AT37" s="85"/>
      <c r="AU37" s="95"/>
      <c r="AV37" s="85"/>
      <c r="AW37" s="95"/>
      <c r="AX37" s="85"/>
      <c r="AY37" s="95"/>
      <c r="AZ37" s="85"/>
      <c r="BA37" s="95"/>
      <c r="BB37" s="85"/>
      <c r="BC37" s="95"/>
      <c r="BD37" s="85"/>
      <c r="BE37" s="312"/>
    </row>
    <row r="38" spans="1:57" s="11" customFormat="1" ht="12.75" customHeight="1">
      <c r="A38" s="310"/>
      <c r="B38" s="308" t="str">
        <f>Parameters!Q37</f>
        <v>E36</v>
      </c>
      <c r="C38" s="309"/>
      <c r="D38" s="495" t="str">
        <f>Parameters!S37</f>
        <v>Water collection, treatment and supply</v>
      </c>
      <c r="E38" s="510"/>
      <c r="F38" s="70"/>
      <c r="G38" s="95"/>
      <c r="H38" s="86"/>
      <c r="I38" s="95"/>
      <c r="J38" s="86"/>
      <c r="K38" s="95"/>
      <c r="L38" s="86"/>
      <c r="M38" s="95"/>
      <c r="N38" s="86"/>
      <c r="O38" s="95"/>
      <c r="P38" s="86"/>
      <c r="Q38" s="95"/>
      <c r="R38" s="86"/>
      <c r="S38" s="95"/>
      <c r="T38" s="86"/>
      <c r="U38" s="95"/>
      <c r="V38" s="86"/>
      <c r="W38" s="95"/>
      <c r="X38" s="86"/>
      <c r="Y38" s="95"/>
      <c r="Z38" s="86"/>
      <c r="AA38" s="95"/>
      <c r="AB38" s="86"/>
      <c r="AC38" s="95"/>
      <c r="AD38" s="86"/>
      <c r="AE38" s="95"/>
      <c r="AF38" s="86"/>
      <c r="AG38" s="95"/>
      <c r="AH38" s="86"/>
      <c r="AI38" s="95"/>
      <c r="AJ38" s="86"/>
      <c r="AK38" s="95"/>
      <c r="AL38" s="86"/>
      <c r="AM38" s="95"/>
      <c r="AN38" s="86"/>
      <c r="AO38" s="95"/>
      <c r="AP38" s="86"/>
      <c r="AQ38" s="95"/>
      <c r="AR38" s="86"/>
      <c r="AS38" s="95"/>
      <c r="AT38" s="86"/>
      <c r="AU38" s="95"/>
      <c r="AV38" s="86"/>
      <c r="AW38" s="95"/>
      <c r="AX38" s="86"/>
      <c r="AY38" s="95"/>
      <c r="AZ38" s="86"/>
      <c r="BA38" s="95"/>
      <c r="BB38" s="86"/>
      <c r="BC38" s="95"/>
      <c r="BD38" s="86"/>
      <c r="BE38" s="312"/>
    </row>
    <row r="39" spans="1:57" s="11" customFormat="1" ht="12.75" customHeight="1">
      <c r="A39" s="310"/>
      <c r="B39" s="308" t="str">
        <f>Parameters!Q38</f>
        <v>E37-E39</v>
      </c>
      <c r="C39" s="309"/>
      <c r="D39" s="495" t="str">
        <f>Parameters!S38</f>
        <v>Sewerage, waste management, remediation activities</v>
      </c>
      <c r="E39" s="510"/>
      <c r="F39" s="70"/>
      <c r="G39" s="95"/>
      <c r="H39" s="86"/>
      <c r="I39" s="95"/>
      <c r="J39" s="86"/>
      <c r="K39" s="95"/>
      <c r="L39" s="86"/>
      <c r="M39" s="95"/>
      <c r="N39" s="86"/>
      <c r="O39" s="95"/>
      <c r="P39" s="86"/>
      <c r="Q39" s="95"/>
      <c r="R39" s="86"/>
      <c r="S39" s="95"/>
      <c r="T39" s="86"/>
      <c r="U39" s="95"/>
      <c r="V39" s="86"/>
      <c r="W39" s="95"/>
      <c r="X39" s="86"/>
      <c r="Y39" s="95"/>
      <c r="Z39" s="86"/>
      <c r="AA39" s="95"/>
      <c r="AB39" s="86"/>
      <c r="AC39" s="95"/>
      <c r="AD39" s="86"/>
      <c r="AE39" s="95"/>
      <c r="AF39" s="86"/>
      <c r="AG39" s="95"/>
      <c r="AH39" s="86"/>
      <c r="AI39" s="95"/>
      <c r="AJ39" s="86"/>
      <c r="AK39" s="95"/>
      <c r="AL39" s="86"/>
      <c r="AM39" s="95"/>
      <c r="AN39" s="86"/>
      <c r="AO39" s="95"/>
      <c r="AP39" s="86"/>
      <c r="AQ39" s="95"/>
      <c r="AR39" s="86"/>
      <c r="AS39" s="95"/>
      <c r="AT39" s="86"/>
      <c r="AU39" s="95"/>
      <c r="AV39" s="86"/>
      <c r="AW39" s="95"/>
      <c r="AX39" s="86"/>
      <c r="AY39" s="95"/>
      <c r="AZ39" s="86"/>
      <c r="BA39" s="95"/>
      <c r="BB39" s="86"/>
      <c r="BC39" s="95"/>
      <c r="BD39" s="86"/>
      <c r="BE39" s="312"/>
    </row>
    <row r="40" spans="1:57" s="10" customFormat="1" ht="12.75" customHeight="1">
      <c r="A40" s="27"/>
      <c r="B40" s="87" t="str">
        <f>Parameters!Q39</f>
        <v>F</v>
      </c>
      <c r="C40" s="88"/>
      <c r="D40" s="498" t="str">
        <f>Parameters!S39</f>
        <v>Construction</v>
      </c>
      <c r="E40" s="496"/>
      <c r="F40" s="69"/>
      <c r="G40" s="95"/>
      <c r="H40" s="85"/>
      <c r="I40" s="95"/>
      <c r="J40" s="85"/>
      <c r="K40" s="95"/>
      <c r="L40" s="85"/>
      <c r="M40" s="95"/>
      <c r="N40" s="85"/>
      <c r="O40" s="95"/>
      <c r="P40" s="85"/>
      <c r="Q40" s="95"/>
      <c r="R40" s="85"/>
      <c r="S40" s="95"/>
      <c r="T40" s="85"/>
      <c r="U40" s="95"/>
      <c r="V40" s="85"/>
      <c r="W40" s="95"/>
      <c r="X40" s="85"/>
      <c r="Y40" s="95"/>
      <c r="Z40" s="85"/>
      <c r="AA40" s="95"/>
      <c r="AB40" s="85"/>
      <c r="AC40" s="95"/>
      <c r="AD40" s="85"/>
      <c r="AE40" s="95"/>
      <c r="AF40" s="85"/>
      <c r="AG40" s="95"/>
      <c r="AH40" s="85"/>
      <c r="AI40" s="95"/>
      <c r="AJ40" s="85"/>
      <c r="AK40" s="95"/>
      <c r="AL40" s="85"/>
      <c r="AM40" s="95"/>
      <c r="AN40" s="85"/>
      <c r="AO40" s="95"/>
      <c r="AP40" s="85"/>
      <c r="AQ40" s="95"/>
      <c r="AR40" s="85"/>
      <c r="AS40" s="95"/>
      <c r="AT40" s="85"/>
      <c r="AU40" s="95"/>
      <c r="AV40" s="85"/>
      <c r="AW40" s="95"/>
      <c r="AX40" s="85"/>
      <c r="AY40" s="95"/>
      <c r="AZ40" s="85"/>
      <c r="BA40" s="95"/>
      <c r="BB40" s="85"/>
      <c r="BC40" s="95"/>
      <c r="BD40" s="85"/>
      <c r="BE40" s="312"/>
    </row>
    <row r="41" spans="1:57" s="10" customFormat="1">
      <c r="A41" s="25"/>
      <c r="B41" s="87" t="str">
        <f>Parameters!Q40</f>
        <v>G</v>
      </c>
      <c r="C41" s="88"/>
      <c r="D41" s="498" t="str">
        <f>Parameters!S40</f>
        <v>Wholesale and retail trade; repair of motor vehicles and motorcycles</v>
      </c>
      <c r="E41" s="499"/>
      <c r="F41" s="69"/>
      <c r="G41" s="95"/>
      <c r="H41" s="85"/>
      <c r="I41" s="95"/>
      <c r="J41" s="85"/>
      <c r="K41" s="95"/>
      <c r="L41" s="85"/>
      <c r="M41" s="95"/>
      <c r="N41" s="85"/>
      <c r="O41" s="95"/>
      <c r="P41" s="85"/>
      <c r="Q41" s="95"/>
      <c r="R41" s="85"/>
      <c r="S41" s="95"/>
      <c r="T41" s="85"/>
      <c r="U41" s="95"/>
      <c r="V41" s="85"/>
      <c r="W41" s="95"/>
      <c r="X41" s="85"/>
      <c r="Y41" s="95"/>
      <c r="Z41" s="85"/>
      <c r="AA41" s="95"/>
      <c r="AB41" s="85"/>
      <c r="AC41" s="95"/>
      <c r="AD41" s="85"/>
      <c r="AE41" s="95"/>
      <c r="AF41" s="85"/>
      <c r="AG41" s="95"/>
      <c r="AH41" s="85"/>
      <c r="AI41" s="95"/>
      <c r="AJ41" s="85"/>
      <c r="AK41" s="95"/>
      <c r="AL41" s="85"/>
      <c r="AM41" s="95"/>
      <c r="AN41" s="85"/>
      <c r="AO41" s="95"/>
      <c r="AP41" s="85"/>
      <c r="AQ41" s="95"/>
      <c r="AR41" s="85"/>
      <c r="AS41" s="95"/>
      <c r="AT41" s="85"/>
      <c r="AU41" s="95"/>
      <c r="AV41" s="85"/>
      <c r="AW41" s="95"/>
      <c r="AX41" s="85"/>
      <c r="AY41" s="95"/>
      <c r="AZ41" s="85"/>
      <c r="BA41" s="95"/>
      <c r="BB41" s="85"/>
      <c r="BC41" s="95"/>
      <c r="BD41" s="85"/>
      <c r="BE41" s="312"/>
    </row>
    <row r="42" spans="1:57" s="10" customFormat="1" ht="12.75" customHeight="1">
      <c r="A42" s="310"/>
      <c r="B42" s="308" t="str">
        <f>Parameters!Q41</f>
        <v>G45</v>
      </c>
      <c r="C42" s="309"/>
      <c r="D42" s="495" t="str">
        <f>Parameters!S41</f>
        <v>Wholesale and retail trade and repair of motor vehicles and motorcycles</v>
      </c>
      <c r="E42" s="496"/>
      <c r="F42" s="70"/>
      <c r="G42" s="95"/>
      <c r="H42" s="86"/>
      <c r="I42" s="95"/>
      <c r="J42" s="86"/>
      <c r="K42" s="95"/>
      <c r="L42" s="86"/>
      <c r="M42" s="95"/>
      <c r="N42" s="86"/>
      <c r="O42" s="95"/>
      <c r="P42" s="86"/>
      <c r="Q42" s="95"/>
      <c r="R42" s="86"/>
      <c r="S42" s="95"/>
      <c r="T42" s="86"/>
      <c r="U42" s="95"/>
      <c r="V42" s="86"/>
      <c r="W42" s="95"/>
      <c r="X42" s="86"/>
      <c r="Y42" s="95"/>
      <c r="Z42" s="86"/>
      <c r="AA42" s="95"/>
      <c r="AB42" s="86"/>
      <c r="AC42" s="95"/>
      <c r="AD42" s="86"/>
      <c r="AE42" s="95"/>
      <c r="AF42" s="86"/>
      <c r="AG42" s="95"/>
      <c r="AH42" s="86"/>
      <c r="AI42" s="95"/>
      <c r="AJ42" s="86"/>
      <c r="AK42" s="95"/>
      <c r="AL42" s="86"/>
      <c r="AM42" s="95"/>
      <c r="AN42" s="86"/>
      <c r="AO42" s="95"/>
      <c r="AP42" s="86"/>
      <c r="AQ42" s="95"/>
      <c r="AR42" s="86"/>
      <c r="AS42" s="95"/>
      <c r="AT42" s="86"/>
      <c r="AU42" s="95"/>
      <c r="AV42" s="86"/>
      <c r="AW42" s="95"/>
      <c r="AX42" s="86"/>
      <c r="AY42" s="95"/>
      <c r="AZ42" s="86"/>
      <c r="BA42" s="95"/>
      <c r="BB42" s="86"/>
      <c r="BC42" s="95"/>
      <c r="BD42" s="86"/>
      <c r="BE42" s="312"/>
    </row>
    <row r="43" spans="1:57" s="11" customFormat="1" ht="12.75" customHeight="1">
      <c r="A43" s="310"/>
      <c r="B43" s="308" t="str">
        <f>Parameters!Q42</f>
        <v>G46</v>
      </c>
      <c r="C43" s="309"/>
      <c r="D43" s="495" t="str">
        <f>Parameters!S42</f>
        <v>Wholesale trade, except of motor vehicles and motorcycles</v>
      </c>
      <c r="E43" s="496"/>
      <c r="F43" s="70"/>
      <c r="G43" s="95"/>
      <c r="H43" s="86"/>
      <c r="I43" s="95"/>
      <c r="J43" s="86"/>
      <c r="K43" s="95"/>
      <c r="L43" s="86"/>
      <c r="M43" s="95"/>
      <c r="N43" s="86"/>
      <c r="O43" s="95"/>
      <c r="P43" s="86"/>
      <c r="Q43" s="95"/>
      <c r="R43" s="86"/>
      <c r="S43" s="95"/>
      <c r="T43" s="86"/>
      <c r="U43" s="95"/>
      <c r="V43" s="86"/>
      <c r="W43" s="95"/>
      <c r="X43" s="86"/>
      <c r="Y43" s="95"/>
      <c r="Z43" s="86"/>
      <c r="AA43" s="95"/>
      <c r="AB43" s="86"/>
      <c r="AC43" s="95"/>
      <c r="AD43" s="86"/>
      <c r="AE43" s="95"/>
      <c r="AF43" s="86"/>
      <c r="AG43" s="95"/>
      <c r="AH43" s="86"/>
      <c r="AI43" s="95"/>
      <c r="AJ43" s="86"/>
      <c r="AK43" s="95"/>
      <c r="AL43" s="86"/>
      <c r="AM43" s="95"/>
      <c r="AN43" s="86"/>
      <c r="AO43" s="95"/>
      <c r="AP43" s="86"/>
      <c r="AQ43" s="95"/>
      <c r="AR43" s="86"/>
      <c r="AS43" s="95"/>
      <c r="AT43" s="86"/>
      <c r="AU43" s="95"/>
      <c r="AV43" s="86"/>
      <c r="AW43" s="95"/>
      <c r="AX43" s="86"/>
      <c r="AY43" s="95"/>
      <c r="AZ43" s="86"/>
      <c r="BA43" s="95"/>
      <c r="BB43" s="86"/>
      <c r="BC43" s="95"/>
      <c r="BD43" s="86"/>
      <c r="BE43" s="312"/>
    </row>
    <row r="44" spans="1:57" s="11" customFormat="1" ht="12.75" customHeight="1">
      <c r="A44" s="310"/>
      <c r="B44" s="308" t="str">
        <f>Parameters!Q43</f>
        <v>G47</v>
      </c>
      <c r="C44" s="309"/>
      <c r="D44" s="495" t="str">
        <f>Parameters!S43</f>
        <v>Retail trade, except of motor vehicles and motorcycles</v>
      </c>
      <c r="E44" s="496"/>
      <c r="F44" s="70"/>
      <c r="G44" s="95"/>
      <c r="H44" s="86"/>
      <c r="I44" s="95"/>
      <c r="J44" s="86"/>
      <c r="K44" s="95"/>
      <c r="L44" s="86"/>
      <c r="M44" s="95"/>
      <c r="N44" s="86"/>
      <c r="O44" s="95"/>
      <c r="P44" s="86"/>
      <c r="Q44" s="95"/>
      <c r="R44" s="86"/>
      <c r="S44" s="95"/>
      <c r="T44" s="86"/>
      <c r="U44" s="95"/>
      <c r="V44" s="86"/>
      <c r="W44" s="95"/>
      <c r="X44" s="86"/>
      <c r="Y44" s="95"/>
      <c r="Z44" s="86"/>
      <c r="AA44" s="95"/>
      <c r="AB44" s="86"/>
      <c r="AC44" s="95"/>
      <c r="AD44" s="86"/>
      <c r="AE44" s="95"/>
      <c r="AF44" s="86"/>
      <c r="AG44" s="95"/>
      <c r="AH44" s="86"/>
      <c r="AI44" s="95"/>
      <c r="AJ44" s="86"/>
      <c r="AK44" s="95"/>
      <c r="AL44" s="86"/>
      <c r="AM44" s="95"/>
      <c r="AN44" s="86"/>
      <c r="AO44" s="95"/>
      <c r="AP44" s="86"/>
      <c r="AQ44" s="95"/>
      <c r="AR44" s="86"/>
      <c r="AS44" s="95"/>
      <c r="AT44" s="86"/>
      <c r="AU44" s="95"/>
      <c r="AV44" s="86"/>
      <c r="AW44" s="95"/>
      <c r="AX44" s="86"/>
      <c r="AY44" s="95"/>
      <c r="AZ44" s="86"/>
      <c r="BA44" s="95"/>
      <c r="BB44" s="86"/>
      <c r="BC44" s="95"/>
      <c r="BD44" s="86"/>
      <c r="BE44" s="312"/>
    </row>
    <row r="45" spans="1:57" s="11" customFormat="1" ht="12.75" customHeight="1">
      <c r="A45" s="25"/>
      <c r="B45" s="87" t="str">
        <f>Parameters!Q44</f>
        <v>H</v>
      </c>
      <c r="C45" s="88"/>
      <c r="D45" s="498" t="str">
        <f>Parameters!S44</f>
        <v>Transportation and storage</v>
      </c>
      <c r="E45" s="499"/>
      <c r="F45" s="69"/>
      <c r="G45" s="95"/>
      <c r="H45" s="85"/>
      <c r="I45" s="95"/>
      <c r="J45" s="85"/>
      <c r="K45" s="95"/>
      <c r="L45" s="85"/>
      <c r="M45" s="95"/>
      <c r="N45" s="85"/>
      <c r="O45" s="95"/>
      <c r="P45" s="85"/>
      <c r="Q45" s="95"/>
      <c r="R45" s="85"/>
      <c r="S45" s="95"/>
      <c r="T45" s="85"/>
      <c r="U45" s="95"/>
      <c r="V45" s="85"/>
      <c r="W45" s="95"/>
      <c r="X45" s="85"/>
      <c r="Y45" s="95"/>
      <c r="Z45" s="85"/>
      <c r="AA45" s="95"/>
      <c r="AB45" s="85"/>
      <c r="AC45" s="95"/>
      <c r="AD45" s="85"/>
      <c r="AE45" s="95"/>
      <c r="AF45" s="85"/>
      <c r="AG45" s="95"/>
      <c r="AH45" s="85"/>
      <c r="AI45" s="95"/>
      <c r="AJ45" s="85"/>
      <c r="AK45" s="95"/>
      <c r="AL45" s="85"/>
      <c r="AM45" s="95"/>
      <c r="AN45" s="85"/>
      <c r="AO45" s="95"/>
      <c r="AP45" s="85"/>
      <c r="AQ45" s="95"/>
      <c r="AR45" s="85"/>
      <c r="AS45" s="95"/>
      <c r="AT45" s="85"/>
      <c r="AU45" s="95"/>
      <c r="AV45" s="85"/>
      <c r="AW45" s="95"/>
      <c r="AX45" s="85"/>
      <c r="AY45" s="95"/>
      <c r="AZ45" s="85"/>
      <c r="BA45" s="95"/>
      <c r="BB45" s="85"/>
      <c r="BC45" s="95"/>
      <c r="BD45" s="85"/>
      <c r="BE45" s="312"/>
    </row>
    <row r="46" spans="1:57" s="10" customFormat="1" ht="12.75" customHeight="1">
      <c r="A46" s="310"/>
      <c r="B46" s="308" t="str">
        <f>Parameters!Q45</f>
        <v>H49</v>
      </c>
      <c r="C46" s="309"/>
      <c r="D46" s="495" t="str">
        <f>Parameters!S45</f>
        <v>Land transport and transport via pipelines</v>
      </c>
      <c r="E46" s="496"/>
      <c r="F46" s="70"/>
      <c r="G46" s="95"/>
      <c r="H46" s="86"/>
      <c r="I46" s="95"/>
      <c r="J46" s="86"/>
      <c r="K46" s="95"/>
      <c r="L46" s="86"/>
      <c r="M46" s="95"/>
      <c r="N46" s="86"/>
      <c r="O46" s="95"/>
      <c r="P46" s="86"/>
      <c r="Q46" s="95"/>
      <c r="R46" s="86"/>
      <c r="S46" s="95"/>
      <c r="T46" s="86"/>
      <c r="U46" s="95"/>
      <c r="V46" s="86"/>
      <c r="W46" s="95"/>
      <c r="X46" s="86"/>
      <c r="Y46" s="95"/>
      <c r="Z46" s="86"/>
      <c r="AA46" s="95"/>
      <c r="AB46" s="86"/>
      <c r="AC46" s="95"/>
      <c r="AD46" s="86"/>
      <c r="AE46" s="95"/>
      <c r="AF46" s="86"/>
      <c r="AG46" s="95"/>
      <c r="AH46" s="86"/>
      <c r="AI46" s="95"/>
      <c r="AJ46" s="86"/>
      <c r="AK46" s="95"/>
      <c r="AL46" s="86"/>
      <c r="AM46" s="95"/>
      <c r="AN46" s="86"/>
      <c r="AO46" s="95"/>
      <c r="AP46" s="86"/>
      <c r="AQ46" s="95"/>
      <c r="AR46" s="86"/>
      <c r="AS46" s="95"/>
      <c r="AT46" s="86"/>
      <c r="AU46" s="95"/>
      <c r="AV46" s="86"/>
      <c r="AW46" s="95"/>
      <c r="AX46" s="86"/>
      <c r="AY46" s="95"/>
      <c r="AZ46" s="86"/>
      <c r="BA46" s="95"/>
      <c r="BB46" s="86"/>
      <c r="BC46" s="95"/>
      <c r="BD46" s="86"/>
      <c r="BE46" s="312"/>
    </row>
    <row r="47" spans="1:57" s="10" customFormat="1" ht="12.75" customHeight="1">
      <c r="A47" s="310"/>
      <c r="B47" s="308" t="str">
        <f>Parameters!Q46</f>
        <v>H50</v>
      </c>
      <c r="C47" s="309"/>
      <c r="D47" s="495" t="str">
        <f>Parameters!S46</f>
        <v>Water transport</v>
      </c>
      <c r="E47" s="497"/>
      <c r="F47" s="70"/>
      <c r="G47" s="95"/>
      <c r="H47" s="86"/>
      <c r="I47" s="95"/>
      <c r="J47" s="86"/>
      <c r="K47" s="95"/>
      <c r="L47" s="86"/>
      <c r="M47" s="95"/>
      <c r="N47" s="86"/>
      <c r="O47" s="95"/>
      <c r="P47" s="86"/>
      <c r="Q47" s="95"/>
      <c r="R47" s="86"/>
      <c r="S47" s="95"/>
      <c r="T47" s="86"/>
      <c r="U47" s="95"/>
      <c r="V47" s="86"/>
      <c r="W47" s="95"/>
      <c r="X47" s="86"/>
      <c r="Y47" s="95"/>
      <c r="Z47" s="86"/>
      <c r="AA47" s="95"/>
      <c r="AB47" s="86"/>
      <c r="AC47" s="95"/>
      <c r="AD47" s="86"/>
      <c r="AE47" s="95"/>
      <c r="AF47" s="86"/>
      <c r="AG47" s="95"/>
      <c r="AH47" s="86"/>
      <c r="AI47" s="95"/>
      <c r="AJ47" s="86"/>
      <c r="AK47" s="95"/>
      <c r="AL47" s="86"/>
      <c r="AM47" s="95"/>
      <c r="AN47" s="86"/>
      <c r="AO47" s="95"/>
      <c r="AP47" s="86"/>
      <c r="AQ47" s="95"/>
      <c r="AR47" s="86"/>
      <c r="AS47" s="95"/>
      <c r="AT47" s="86"/>
      <c r="AU47" s="95"/>
      <c r="AV47" s="86"/>
      <c r="AW47" s="95"/>
      <c r="AX47" s="86"/>
      <c r="AY47" s="95"/>
      <c r="AZ47" s="86"/>
      <c r="BA47" s="95"/>
      <c r="BB47" s="86"/>
      <c r="BC47" s="95"/>
      <c r="BD47" s="86"/>
      <c r="BE47" s="312"/>
    </row>
    <row r="48" spans="1:57" s="11" customFormat="1" ht="12.75" customHeight="1">
      <c r="A48" s="310"/>
      <c r="B48" s="308" t="str">
        <f>Parameters!Q47</f>
        <v>H51</v>
      </c>
      <c r="C48" s="309"/>
      <c r="D48" s="495" t="str">
        <f>Parameters!S47</f>
        <v>Air transport</v>
      </c>
      <c r="E48" s="510"/>
      <c r="F48" s="70"/>
      <c r="G48" s="95"/>
      <c r="H48" s="86"/>
      <c r="I48" s="95"/>
      <c r="J48" s="86"/>
      <c r="K48" s="95"/>
      <c r="L48" s="86"/>
      <c r="M48" s="95"/>
      <c r="N48" s="86"/>
      <c r="O48" s="95"/>
      <c r="P48" s="86"/>
      <c r="Q48" s="95"/>
      <c r="R48" s="86"/>
      <c r="S48" s="95"/>
      <c r="T48" s="86"/>
      <c r="U48" s="95"/>
      <c r="V48" s="86"/>
      <c r="W48" s="95"/>
      <c r="X48" s="86"/>
      <c r="Y48" s="95"/>
      <c r="Z48" s="86"/>
      <c r="AA48" s="95"/>
      <c r="AB48" s="86"/>
      <c r="AC48" s="95"/>
      <c r="AD48" s="86"/>
      <c r="AE48" s="95"/>
      <c r="AF48" s="86"/>
      <c r="AG48" s="95"/>
      <c r="AH48" s="86"/>
      <c r="AI48" s="95"/>
      <c r="AJ48" s="86"/>
      <c r="AK48" s="95"/>
      <c r="AL48" s="86"/>
      <c r="AM48" s="95"/>
      <c r="AN48" s="86"/>
      <c r="AO48" s="95"/>
      <c r="AP48" s="86"/>
      <c r="AQ48" s="95"/>
      <c r="AR48" s="86"/>
      <c r="AS48" s="95"/>
      <c r="AT48" s="86"/>
      <c r="AU48" s="95"/>
      <c r="AV48" s="86"/>
      <c r="AW48" s="95"/>
      <c r="AX48" s="86"/>
      <c r="AY48" s="95"/>
      <c r="AZ48" s="86"/>
      <c r="BA48" s="95"/>
      <c r="BB48" s="86"/>
      <c r="BC48" s="95"/>
      <c r="BD48" s="86"/>
      <c r="BE48" s="312"/>
    </row>
    <row r="49" spans="1:57" s="11" customFormat="1" ht="12.75" customHeight="1">
      <c r="A49" s="310"/>
      <c r="B49" s="308" t="str">
        <f>Parameters!Q48</f>
        <v>H52</v>
      </c>
      <c r="C49" s="309"/>
      <c r="D49" s="495" t="str">
        <f>Parameters!S48</f>
        <v>Warehousing and support activities for transportation</v>
      </c>
      <c r="E49" s="510"/>
      <c r="F49" s="70"/>
      <c r="G49" s="95"/>
      <c r="H49" s="86"/>
      <c r="I49" s="95"/>
      <c r="J49" s="86"/>
      <c r="K49" s="95"/>
      <c r="L49" s="86"/>
      <c r="M49" s="95"/>
      <c r="N49" s="86"/>
      <c r="O49" s="95"/>
      <c r="P49" s="86"/>
      <c r="Q49" s="95"/>
      <c r="R49" s="86"/>
      <c r="S49" s="95"/>
      <c r="T49" s="86"/>
      <c r="U49" s="95"/>
      <c r="V49" s="86"/>
      <c r="W49" s="95"/>
      <c r="X49" s="86"/>
      <c r="Y49" s="95"/>
      <c r="Z49" s="86"/>
      <c r="AA49" s="95"/>
      <c r="AB49" s="86"/>
      <c r="AC49" s="95"/>
      <c r="AD49" s="86"/>
      <c r="AE49" s="95"/>
      <c r="AF49" s="86"/>
      <c r="AG49" s="95"/>
      <c r="AH49" s="86"/>
      <c r="AI49" s="95"/>
      <c r="AJ49" s="86"/>
      <c r="AK49" s="95"/>
      <c r="AL49" s="86"/>
      <c r="AM49" s="95"/>
      <c r="AN49" s="86"/>
      <c r="AO49" s="95"/>
      <c r="AP49" s="86"/>
      <c r="AQ49" s="95"/>
      <c r="AR49" s="86"/>
      <c r="AS49" s="95"/>
      <c r="AT49" s="86"/>
      <c r="AU49" s="95"/>
      <c r="AV49" s="86"/>
      <c r="AW49" s="95"/>
      <c r="AX49" s="86"/>
      <c r="AY49" s="95"/>
      <c r="AZ49" s="86"/>
      <c r="BA49" s="95"/>
      <c r="BB49" s="86"/>
      <c r="BC49" s="95"/>
      <c r="BD49" s="86"/>
      <c r="BE49" s="312"/>
    </row>
    <row r="50" spans="1:57" s="11" customFormat="1" ht="12.75" customHeight="1">
      <c r="A50" s="310"/>
      <c r="B50" s="308" t="str">
        <f>Parameters!Q49</f>
        <v>H53</v>
      </c>
      <c r="C50" s="309"/>
      <c r="D50" s="495" t="str">
        <f>Parameters!S49</f>
        <v>Postal and courier activities</v>
      </c>
      <c r="E50" s="510"/>
      <c r="F50" s="70"/>
      <c r="G50" s="95"/>
      <c r="H50" s="86"/>
      <c r="I50" s="95"/>
      <c r="J50" s="86"/>
      <c r="K50" s="95"/>
      <c r="L50" s="86"/>
      <c r="M50" s="95"/>
      <c r="N50" s="86"/>
      <c r="O50" s="95"/>
      <c r="P50" s="86"/>
      <c r="Q50" s="95"/>
      <c r="R50" s="86"/>
      <c r="S50" s="95"/>
      <c r="T50" s="86"/>
      <c r="U50" s="95"/>
      <c r="V50" s="86"/>
      <c r="W50" s="95"/>
      <c r="X50" s="86"/>
      <c r="Y50" s="95"/>
      <c r="Z50" s="86"/>
      <c r="AA50" s="95"/>
      <c r="AB50" s="86"/>
      <c r="AC50" s="95"/>
      <c r="AD50" s="86"/>
      <c r="AE50" s="95"/>
      <c r="AF50" s="86"/>
      <c r="AG50" s="95"/>
      <c r="AH50" s="86"/>
      <c r="AI50" s="95"/>
      <c r="AJ50" s="86"/>
      <c r="AK50" s="95"/>
      <c r="AL50" s="86"/>
      <c r="AM50" s="95"/>
      <c r="AN50" s="86"/>
      <c r="AO50" s="95"/>
      <c r="AP50" s="86"/>
      <c r="AQ50" s="95"/>
      <c r="AR50" s="86"/>
      <c r="AS50" s="95"/>
      <c r="AT50" s="86"/>
      <c r="AU50" s="95"/>
      <c r="AV50" s="86"/>
      <c r="AW50" s="95"/>
      <c r="AX50" s="86"/>
      <c r="AY50" s="95"/>
      <c r="AZ50" s="86"/>
      <c r="BA50" s="95"/>
      <c r="BB50" s="86"/>
      <c r="BC50" s="95"/>
      <c r="BD50" s="86"/>
      <c r="BE50" s="312"/>
    </row>
    <row r="51" spans="1:57" s="10" customFormat="1" ht="12.75" customHeight="1">
      <c r="A51" s="25"/>
      <c r="B51" s="87" t="str">
        <f>Parameters!Q50</f>
        <v>I</v>
      </c>
      <c r="C51" s="88"/>
      <c r="D51" s="498" t="str">
        <f>Parameters!S50</f>
        <v>Accommodation and food service activities</v>
      </c>
      <c r="E51" s="496"/>
      <c r="F51" s="69"/>
      <c r="G51" s="95"/>
      <c r="H51" s="85"/>
      <c r="I51" s="95"/>
      <c r="J51" s="85"/>
      <c r="K51" s="95"/>
      <c r="L51" s="85"/>
      <c r="M51" s="95"/>
      <c r="N51" s="85"/>
      <c r="O51" s="95"/>
      <c r="P51" s="85"/>
      <c r="Q51" s="95"/>
      <c r="R51" s="85"/>
      <c r="S51" s="95"/>
      <c r="T51" s="85"/>
      <c r="U51" s="95"/>
      <c r="V51" s="85"/>
      <c r="W51" s="95"/>
      <c r="X51" s="85"/>
      <c r="Y51" s="95"/>
      <c r="Z51" s="85"/>
      <c r="AA51" s="95"/>
      <c r="AB51" s="85"/>
      <c r="AC51" s="95"/>
      <c r="AD51" s="85"/>
      <c r="AE51" s="95"/>
      <c r="AF51" s="85"/>
      <c r="AG51" s="95"/>
      <c r="AH51" s="85"/>
      <c r="AI51" s="95"/>
      <c r="AJ51" s="85"/>
      <c r="AK51" s="95"/>
      <c r="AL51" s="85"/>
      <c r="AM51" s="95"/>
      <c r="AN51" s="85"/>
      <c r="AO51" s="95"/>
      <c r="AP51" s="85"/>
      <c r="AQ51" s="95"/>
      <c r="AR51" s="85"/>
      <c r="AS51" s="95"/>
      <c r="AT51" s="85"/>
      <c r="AU51" s="95"/>
      <c r="AV51" s="85"/>
      <c r="AW51" s="95"/>
      <c r="AX51" s="85"/>
      <c r="AY51" s="95"/>
      <c r="AZ51" s="85"/>
      <c r="BA51" s="95"/>
      <c r="BB51" s="85"/>
      <c r="BC51" s="95"/>
      <c r="BD51" s="85"/>
      <c r="BE51" s="312"/>
    </row>
    <row r="52" spans="1:57" s="10" customFormat="1" ht="12.75" customHeight="1">
      <c r="A52" s="25"/>
      <c r="B52" s="87" t="str">
        <f>Parameters!Q51</f>
        <v>J</v>
      </c>
      <c r="C52" s="88"/>
      <c r="D52" s="498" t="str">
        <f>Parameters!S51</f>
        <v>Information and communication</v>
      </c>
      <c r="E52" s="499"/>
      <c r="F52" s="69"/>
      <c r="G52" s="95"/>
      <c r="H52" s="85"/>
      <c r="I52" s="95"/>
      <c r="J52" s="85"/>
      <c r="K52" s="95"/>
      <c r="L52" s="85"/>
      <c r="M52" s="95"/>
      <c r="N52" s="85"/>
      <c r="O52" s="95"/>
      <c r="P52" s="85"/>
      <c r="Q52" s="95"/>
      <c r="R52" s="85"/>
      <c r="S52" s="95"/>
      <c r="T52" s="85"/>
      <c r="U52" s="95"/>
      <c r="V52" s="85"/>
      <c r="W52" s="95"/>
      <c r="X52" s="85"/>
      <c r="Y52" s="95"/>
      <c r="Z52" s="85"/>
      <c r="AA52" s="95"/>
      <c r="AB52" s="85"/>
      <c r="AC52" s="95"/>
      <c r="AD52" s="85"/>
      <c r="AE52" s="95"/>
      <c r="AF52" s="85"/>
      <c r="AG52" s="95"/>
      <c r="AH52" s="85"/>
      <c r="AI52" s="95"/>
      <c r="AJ52" s="85"/>
      <c r="AK52" s="95"/>
      <c r="AL52" s="85"/>
      <c r="AM52" s="95"/>
      <c r="AN52" s="85"/>
      <c r="AO52" s="95"/>
      <c r="AP52" s="85"/>
      <c r="AQ52" s="95"/>
      <c r="AR52" s="85"/>
      <c r="AS52" s="95"/>
      <c r="AT52" s="85"/>
      <c r="AU52" s="95"/>
      <c r="AV52" s="85"/>
      <c r="AW52" s="95"/>
      <c r="AX52" s="85"/>
      <c r="AY52" s="95"/>
      <c r="AZ52" s="85"/>
      <c r="BA52" s="95"/>
      <c r="BB52" s="85"/>
      <c r="BC52" s="95"/>
      <c r="BD52" s="85"/>
      <c r="BE52" s="312"/>
    </row>
    <row r="53" spans="1:57" s="10" customFormat="1" ht="27" customHeight="1">
      <c r="A53" s="26"/>
      <c r="B53" s="89" t="str">
        <f>Parameters!Q52</f>
        <v>J58-J60</v>
      </c>
      <c r="C53" s="90"/>
      <c r="D53" s="504" t="str">
        <f>Parameters!S52</f>
        <v>Publishing, motion picture, video, television programme production; sound recording, programming and broadcasting activities</v>
      </c>
      <c r="E53" s="506"/>
      <c r="F53" s="76"/>
      <c r="G53" s="92"/>
      <c r="H53" s="93"/>
      <c r="I53" s="92"/>
      <c r="J53" s="93"/>
      <c r="K53" s="92"/>
      <c r="L53" s="93"/>
      <c r="M53" s="92"/>
      <c r="N53" s="93"/>
      <c r="O53" s="92"/>
      <c r="P53" s="93"/>
      <c r="Q53" s="92"/>
      <c r="R53" s="93"/>
      <c r="S53" s="92"/>
      <c r="T53" s="93"/>
      <c r="U53" s="92"/>
      <c r="V53" s="93"/>
      <c r="W53" s="92"/>
      <c r="X53" s="93"/>
      <c r="Y53" s="92"/>
      <c r="Z53" s="93"/>
      <c r="AA53" s="92"/>
      <c r="AB53" s="93"/>
      <c r="AC53" s="92"/>
      <c r="AD53" s="93"/>
      <c r="AE53" s="92"/>
      <c r="AF53" s="93"/>
      <c r="AG53" s="92"/>
      <c r="AH53" s="93"/>
      <c r="AI53" s="92"/>
      <c r="AJ53" s="93"/>
      <c r="AK53" s="92"/>
      <c r="AL53" s="93"/>
      <c r="AM53" s="92"/>
      <c r="AN53" s="93"/>
      <c r="AO53" s="92"/>
      <c r="AP53" s="93"/>
      <c r="AQ53" s="92"/>
      <c r="AR53" s="93"/>
      <c r="AS53" s="92"/>
      <c r="AT53" s="93"/>
      <c r="AU53" s="92"/>
      <c r="AV53" s="93"/>
      <c r="AW53" s="92"/>
      <c r="AX53" s="93"/>
      <c r="AY53" s="92"/>
      <c r="AZ53" s="93"/>
      <c r="BA53" s="92"/>
      <c r="BB53" s="93"/>
      <c r="BC53" s="92"/>
      <c r="BD53" s="93"/>
      <c r="BE53" s="311"/>
    </row>
    <row r="54" spans="1:57" s="11" customFormat="1" ht="12.75" customHeight="1">
      <c r="A54" s="310"/>
      <c r="B54" s="308" t="str">
        <f>Parameters!Q53</f>
        <v>J58</v>
      </c>
      <c r="C54" s="309"/>
      <c r="D54" s="495" t="str">
        <f>Parameters!S53</f>
        <v>Publishing activities</v>
      </c>
      <c r="E54" s="510"/>
      <c r="F54" s="70"/>
      <c r="G54" s="95"/>
      <c r="H54" s="86"/>
      <c r="I54" s="95"/>
      <c r="J54" s="86"/>
      <c r="K54" s="95"/>
      <c r="L54" s="86"/>
      <c r="M54" s="95"/>
      <c r="N54" s="86"/>
      <c r="O54" s="95"/>
      <c r="P54" s="86"/>
      <c r="Q54" s="95"/>
      <c r="R54" s="86"/>
      <c r="S54" s="95"/>
      <c r="T54" s="86"/>
      <c r="U54" s="95"/>
      <c r="V54" s="86"/>
      <c r="W54" s="95"/>
      <c r="X54" s="86"/>
      <c r="Y54" s="95"/>
      <c r="Z54" s="86"/>
      <c r="AA54" s="95"/>
      <c r="AB54" s="86"/>
      <c r="AC54" s="95"/>
      <c r="AD54" s="86"/>
      <c r="AE54" s="95"/>
      <c r="AF54" s="86"/>
      <c r="AG54" s="95"/>
      <c r="AH54" s="86"/>
      <c r="AI54" s="95"/>
      <c r="AJ54" s="86"/>
      <c r="AK54" s="95"/>
      <c r="AL54" s="86"/>
      <c r="AM54" s="95"/>
      <c r="AN54" s="86"/>
      <c r="AO54" s="95"/>
      <c r="AP54" s="86"/>
      <c r="AQ54" s="95"/>
      <c r="AR54" s="86"/>
      <c r="AS54" s="95"/>
      <c r="AT54" s="86"/>
      <c r="AU54" s="95"/>
      <c r="AV54" s="86"/>
      <c r="AW54" s="95"/>
      <c r="AX54" s="86"/>
      <c r="AY54" s="95"/>
      <c r="AZ54" s="86"/>
      <c r="BA54" s="95"/>
      <c r="BB54" s="86"/>
      <c r="BC54" s="95"/>
      <c r="BD54" s="86"/>
      <c r="BE54" s="312"/>
    </row>
    <row r="55" spans="1:57" s="11" customFormat="1">
      <c r="A55" s="310"/>
      <c r="B55" s="308" t="str">
        <f>Parameters!Q54</f>
        <v>J59_J60</v>
      </c>
      <c r="C55" s="309"/>
      <c r="D55" s="495" t="str">
        <f>Parameters!S54</f>
        <v>Motion picture, video, television programme production; programming and broadcasting activities</v>
      </c>
      <c r="E55" s="510"/>
      <c r="F55" s="70"/>
      <c r="G55" s="95"/>
      <c r="H55" s="86"/>
      <c r="I55" s="95"/>
      <c r="J55" s="86"/>
      <c r="K55" s="95"/>
      <c r="L55" s="86"/>
      <c r="M55" s="95"/>
      <c r="N55" s="86"/>
      <c r="O55" s="95"/>
      <c r="P55" s="86"/>
      <c r="Q55" s="95"/>
      <c r="R55" s="86"/>
      <c r="S55" s="95"/>
      <c r="T55" s="86"/>
      <c r="U55" s="95"/>
      <c r="V55" s="86"/>
      <c r="W55" s="95"/>
      <c r="X55" s="86"/>
      <c r="Y55" s="95"/>
      <c r="Z55" s="86"/>
      <c r="AA55" s="95"/>
      <c r="AB55" s="86"/>
      <c r="AC55" s="95"/>
      <c r="AD55" s="86"/>
      <c r="AE55" s="95"/>
      <c r="AF55" s="86"/>
      <c r="AG55" s="95"/>
      <c r="AH55" s="86"/>
      <c r="AI55" s="95"/>
      <c r="AJ55" s="86"/>
      <c r="AK55" s="95"/>
      <c r="AL55" s="86"/>
      <c r="AM55" s="95"/>
      <c r="AN55" s="86"/>
      <c r="AO55" s="95"/>
      <c r="AP55" s="86"/>
      <c r="AQ55" s="95"/>
      <c r="AR55" s="86"/>
      <c r="AS55" s="95"/>
      <c r="AT55" s="86"/>
      <c r="AU55" s="95"/>
      <c r="AV55" s="86"/>
      <c r="AW55" s="95"/>
      <c r="AX55" s="86"/>
      <c r="AY55" s="95"/>
      <c r="AZ55" s="86"/>
      <c r="BA55" s="95"/>
      <c r="BB55" s="86"/>
      <c r="BC55" s="95"/>
      <c r="BD55" s="86"/>
      <c r="BE55" s="312"/>
    </row>
    <row r="56" spans="1:57" s="11" customFormat="1" ht="12.75" customHeight="1">
      <c r="A56" s="26"/>
      <c r="B56" s="89" t="str">
        <f>Parameters!Q55</f>
        <v>J61</v>
      </c>
      <c r="C56" s="90"/>
      <c r="D56" s="504" t="str">
        <f>Parameters!S55</f>
        <v>Telecommunications</v>
      </c>
      <c r="E56" s="505"/>
      <c r="F56" s="71"/>
      <c r="G56" s="95"/>
      <c r="H56" s="91"/>
      <c r="I56" s="95"/>
      <c r="J56" s="91"/>
      <c r="K56" s="95"/>
      <c r="L56" s="91"/>
      <c r="M56" s="95"/>
      <c r="N56" s="91"/>
      <c r="O56" s="95"/>
      <c r="P56" s="91"/>
      <c r="Q56" s="95"/>
      <c r="R56" s="91"/>
      <c r="S56" s="95"/>
      <c r="T56" s="91"/>
      <c r="U56" s="95"/>
      <c r="V56" s="91"/>
      <c r="W56" s="95"/>
      <c r="X56" s="91"/>
      <c r="Y56" s="95"/>
      <c r="Z56" s="91"/>
      <c r="AA56" s="95"/>
      <c r="AB56" s="91"/>
      <c r="AC56" s="95"/>
      <c r="AD56" s="91"/>
      <c r="AE56" s="95"/>
      <c r="AF56" s="91"/>
      <c r="AG56" s="95"/>
      <c r="AH56" s="91"/>
      <c r="AI56" s="95"/>
      <c r="AJ56" s="91"/>
      <c r="AK56" s="95"/>
      <c r="AL56" s="91"/>
      <c r="AM56" s="95"/>
      <c r="AN56" s="91"/>
      <c r="AO56" s="95"/>
      <c r="AP56" s="91"/>
      <c r="AQ56" s="95"/>
      <c r="AR56" s="91"/>
      <c r="AS56" s="95"/>
      <c r="AT56" s="91"/>
      <c r="AU56" s="95"/>
      <c r="AV56" s="91"/>
      <c r="AW56" s="95"/>
      <c r="AX56" s="91"/>
      <c r="AY56" s="95"/>
      <c r="AZ56" s="91"/>
      <c r="BA56" s="95"/>
      <c r="BB56" s="91"/>
      <c r="BC56" s="95"/>
      <c r="BD56" s="91"/>
      <c r="BE56" s="312"/>
    </row>
    <row r="57" spans="1:57" s="10" customFormat="1" ht="12.75" customHeight="1">
      <c r="A57" s="26"/>
      <c r="B57" s="89" t="str">
        <f>Parameters!Q56</f>
        <v>J62_J63</v>
      </c>
      <c r="C57" s="90"/>
      <c r="D57" s="504" t="str">
        <f>Parameters!S56</f>
        <v>Computer programming, consultancy, and information service activities</v>
      </c>
      <c r="E57" s="505"/>
      <c r="F57" s="71"/>
      <c r="G57" s="95"/>
      <c r="H57" s="91"/>
      <c r="I57" s="95"/>
      <c r="J57" s="91"/>
      <c r="K57" s="95"/>
      <c r="L57" s="91"/>
      <c r="M57" s="95"/>
      <c r="N57" s="91"/>
      <c r="O57" s="95"/>
      <c r="P57" s="91"/>
      <c r="Q57" s="95"/>
      <c r="R57" s="91"/>
      <c r="S57" s="95"/>
      <c r="T57" s="91"/>
      <c r="U57" s="95"/>
      <c r="V57" s="91"/>
      <c r="W57" s="95"/>
      <c r="X57" s="91"/>
      <c r="Y57" s="95"/>
      <c r="Z57" s="91"/>
      <c r="AA57" s="95"/>
      <c r="AB57" s="91"/>
      <c r="AC57" s="95"/>
      <c r="AD57" s="91"/>
      <c r="AE57" s="95"/>
      <c r="AF57" s="91"/>
      <c r="AG57" s="95"/>
      <c r="AH57" s="91"/>
      <c r="AI57" s="95"/>
      <c r="AJ57" s="91"/>
      <c r="AK57" s="95"/>
      <c r="AL57" s="91"/>
      <c r="AM57" s="95"/>
      <c r="AN57" s="91"/>
      <c r="AO57" s="95"/>
      <c r="AP57" s="91"/>
      <c r="AQ57" s="95"/>
      <c r="AR57" s="91"/>
      <c r="AS57" s="95"/>
      <c r="AT57" s="91"/>
      <c r="AU57" s="95"/>
      <c r="AV57" s="91"/>
      <c r="AW57" s="95"/>
      <c r="AX57" s="91"/>
      <c r="AY57" s="95"/>
      <c r="AZ57" s="91"/>
      <c r="BA57" s="95"/>
      <c r="BB57" s="91"/>
      <c r="BC57" s="95"/>
      <c r="BD57" s="91"/>
      <c r="BE57" s="312"/>
    </row>
    <row r="58" spans="1:57" s="10" customFormat="1" ht="12.75" customHeight="1">
      <c r="A58" s="25"/>
      <c r="B58" s="87" t="str">
        <f>Parameters!Q57</f>
        <v>K</v>
      </c>
      <c r="C58" s="88"/>
      <c r="D58" s="498" t="str">
        <f>Parameters!S57</f>
        <v>Financial and insurance activities</v>
      </c>
      <c r="E58" s="499"/>
      <c r="F58" s="69"/>
      <c r="G58" s="95"/>
      <c r="H58" s="85"/>
      <c r="I58" s="95"/>
      <c r="J58" s="85"/>
      <c r="K58" s="95"/>
      <c r="L58" s="85"/>
      <c r="M58" s="95"/>
      <c r="N58" s="85"/>
      <c r="O58" s="95"/>
      <c r="P58" s="85"/>
      <c r="Q58" s="95"/>
      <c r="R58" s="85"/>
      <c r="S58" s="95"/>
      <c r="T58" s="85"/>
      <c r="U58" s="95"/>
      <c r="V58" s="85"/>
      <c r="W58" s="95"/>
      <c r="X58" s="85"/>
      <c r="Y58" s="95"/>
      <c r="Z58" s="85"/>
      <c r="AA58" s="95"/>
      <c r="AB58" s="85"/>
      <c r="AC58" s="95"/>
      <c r="AD58" s="85"/>
      <c r="AE58" s="95"/>
      <c r="AF58" s="85"/>
      <c r="AG58" s="95"/>
      <c r="AH58" s="85"/>
      <c r="AI58" s="95"/>
      <c r="AJ58" s="85"/>
      <c r="AK58" s="95"/>
      <c r="AL58" s="85"/>
      <c r="AM58" s="95"/>
      <c r="AN58" s="85"/>
      <c r="AO58" s="95"/>
      <c r="AP58" s="85"/>
      <c r="AQ58" s="95"/>
      <c r="AR58" s="85"/>
      <c r="AS58" s="95"/>
      <c r="AT58" s="85"/>
      <c r="AU58" s="95"/>
      <c r="AV58" s="85"/>
      <c r="AW58" s="95"/>
      <c r="AX58" s="85"/>
      <c r="AY58" s="95"/>
      <c r="AZ58" s="85"/>
      <c r="BA58" s="95"/>
      <c r="BB58" s="85"/>
      <c r="BC58" s="95"/>
      <c r="BD58" s="85"/>
      <c r="BE58" s="312"/>
    </row>
    <row r="59" spans="1:57" s="11" customFormat="1" ht="12.75" customHeight="1">
      <c r="A59" s="310"/>
      <c r="B59" s="308" t="str">
        <f>Parameters!Q58</f>
        <v>K64</v>
      </c>
      <c r="C59" s="309"/>
      <c r="D59" s="495" t="str">
        <f>Parameters!S58</f>
        <v>Financial service activities, except insurance and pension funding</v>
      </c>
      <c r="E59" s="496"/>
      <c r="F59" s="70"/>
      <c r="G59" s="95"/>
      <c r="H59" s="86"/>
      <c r="I59" s="95"/>
      <c r="J59" s="86"/>
      <c r="K59" s="95"/>
      <c r="L59" s="86"/>
      <c r="M59" s="95"/>
      <c r="N59" s="86"/>
      <c r="O59" s="95"/>
      <c r="P59" s="86"/>
      <c r="Q59" s="95"/>
      <c r="R59" s="86"/>
      <c r="S59" s="95"/>
      <c r="T59" s="86"/>
      <c r="U59" s="95"/>
      <c r="V59" s="86"/>
      <c r="W59" s="95"/>
      <c r="X59" s="86"/>
      <c r="Y59" s="95"/>
      <c r="Z59" s="86"/>
      <c r="AA59" s="95"/>
      <c r="AB59" s="86"/>
      <c r="AC59" s="95"/>
      <c r="AD59" s="86"/>
      <c r="AE59" s="95"/>
      <c r="AF59" s="86"/>
      <c r="AG59" s="95"/>
      <c r="AH59" s="86"/>
      <c r="AI59" s="95"/>
      <c r="AJ59" s="86"/>
      <c r="AK59" s="95"/>
      <c r="AL59" s="86"/>
      <c r="AM59" s="95"/>
      <c r="AN59" s="86"/>
      <c r="AO59" s="95"/>
      <c r="AP59" s="86"/>
      <c r="AQ59" s="95"/>
      <c r="AR59" s="86"/>
      <c r="AS59" s="95"/>
      <c r="AT59" s="86"/>
      <c r="AU59" s="95"/>
      <c r="AV59" s="86"/>
      <c r="AW59" s="95"/>
      <c r="AX59" s="86"/>
      <c r="AY59" s="95"/>
      <c r="AZ59" s="86"/>
      <c r="BA59" s="95"/>
      <c r="BB59" s="86"/>
      <c r="BC59" s="95"/>
      <c r="BD59" s="86"/>
      <c r="BE59" s="312"/>
    </row>
    <row r="60" spans="1:57" s="11" customFormat="1" ht="12.75" customHeight="1">
      <c r="A60" s="310"/>
      <c r="B60" s="308" t="str">
        <f>Parameters!Q59</f>
        <v>K65</v>
      </c>
      <c r="C60" s="309"/>
      <c r="D60" s="495" t="str">
        <f>Parameters!S59</f>
        <v>Insurance, reinsurance and pension funding, except compulsory social security</v>
      </c>
      <c r="E60" s="496"/>
      <c r="F60" s="70"/>
      <c r="G60" s="95"/>
      <c r="H60" s="86"/>
      <c r="I60" s="95"/>
      <c r="J60" s="86"/>
      <c r="K60" s="95"/>
      <c r="L60" s="86"/>
      <c r="M60" s="95"/>
      <c r="N60" s="86"/>
      <c r="O60" s="95"/>
      <c r="P60" s="86"/>
      <c r="Q60" s="95"/>
      <c r="R60" s="86"/>
      <c r="S60" s="95"/>
      <c r="T60" s="86"/>
      <c r="U60" s="95"/>
      <c r="V60" s="86"/>
      <c r="W60" s="95"/>
      <c r="X60" s="86"/>
      <c r="Y60" s="95"/>
      <c r="Z60" s="86"/>
      <c r="AA60" s="95"/>
      <c r="AB60" s="86"/>
      <c r="AC60" s="95"/>
      <c r="AD60" s="86"/>
      <c r="AE60" s="95"/>
      <c r="AF60" s="86"/>
      <c r="AG60" s="95"/>
      <c r="AH60" s="86"/>
      <c r="AI60" s="95"/>
      <c r="AJ60" s="86"/>
      <c r="AK60" s="95"/>
      <c r="AL60" s="86"/>
      <c r="AM60" s="95"/>
      <c r="AN60" s="86"/>
      <c r="AO60" s="95"/>
      <c r="AP60" s="86"/>
      <c r="AQ60" s="95"/>
      <c r="AR60" s="86"/>
      <c r="AS60" s="95"/>
      <c r="AT60" s="86"/>
      <c r="AU60" s="95"/>
      <c r="AV60" s="86"/>
      <c r="AW60" s="95"/>
      <c r="AX60" s="86"/>
      <c r="AY60" s="95"/>
      <c r="AZ60" s="86"/>
      <c r="BA60" s="95"/>
      <c r="BB60" s="86"/>
      <c r="BC60" s="95"/>
      <c r="BD60" s="86"/>
      <c r="BE60" s="312"/>
    </row>
    <row r="61" spans="1:57" s="11" customFormat="1" ht="12.75" customHeight="1">
      <c r="A61" s="310"/>
      <c r="B61" s="308" t="str">
        <f>Parameters!Q60</f>
        <v>K66</v>
      </c>
      <c r="C61" s="309"/>
      <c r="D61" s="495" t="str">
        <f>Parameters!S60</f>
        <v>Activities auxiliary to financial services and insurance activities</v>
      </c>
      <c r="E61" s="510"/>
      <c r="F61" s="70"/>
      <c r="G61" s="95"/>
      <c r="H61" s="86"/>
      <c r="I61" s="95"/>
      <c r="J61" s="86"/>
      <c r="K61" s="95"/>
      <c r="L61" s="86"/>
      <c r="M61" s="95"/>
      <c r="N61" s="86"/>
      <c r="O61" s="95"/>
      <c r="P61" s="86"/>
      <c r="Q61" s="95"/>
      <c r="R61" s="86"/>
      <c r="S61" s="95"/>
      <c r="T61" s="86"/>
      <c r="U61" s="95"/>
      <c r="V61" s="86"/>
      <c r="W61" s="95"/>
      <c r="X61" s="86"/>
      <c r="Y61" s="95"/>
      <c r="Z61" s="86"/>
      <c r="AA61" s="95"/>
      <c r="AB61" s="86"/>
      <c r="AC61" s="95"/>
      <c r="AD61" s="86"/>
      <c r="AE61" s="95"/>
      <c r="AF61" s="86"/>
      <c r="AG61" s="95"/>
      <c r="AH61" s="86"/>
      <c r="AI61" s="95"/>
      <c r="AJ61" s="86"/>
      <c r="AK61" s="95"/>
      <c r="AL61" s="86"/>
      <c r="AM61" s="95"/>
      <c r="AN61" s="86"/>
      <c r="AO61" s="95"/>
      <c r="AP61" s="86"/>
      <c r="AQ61" s="95"/>
      <c r="AR61" s="86"/>
      <c r="AS61" s="95"/>
      <c r="AT61" s="86"/>
      <c r="AU61" s="95"/>
      <c r="AV61" s="86"/>
      <c r="AW61" s="95"/>
      <c r="AX61" s="86"/>
      <c r="AY61" s="95"/>
      <c r="AZ61" s="86"/>
      <c r="BA61" s="95"/>
      <c r="BB61" s="86"/>
      <c r="BC61" s="95"/>
      <c r="BD61" s="86"/>
      <c r="BE61" s="312"/>
    </row>
    <row r="62" spans="1:57" s="11" customFormat="1" ht="12.75" customHeight="1">
      <c r="A62" s="25"/>
      <c r="B62" s="87" t="str">
        <f>Parameters!Q61</f>
        <v>L</v>
      </c>
      <c r="C62" s="88"/>
      <c r="D62" s="498" t="str">
        <f>Parameters!S61</f>
        <v>Real estate activities</v>
      </c>
      <c r="E62" s="507"/>
      <c r="F62" s="69"/>
      <c r="G62" s="95"/>
      <c r="H62" s="85"/>
      <c r="I62" s="95"/>
      <c r="J62" s="85"/>
      <c r="K62" s="95"/>
      <c r="L62" s="85"/>
      <c r="M62" s="95"/>
      <c r="N62" s="85"/>
      <c r="O62" s="95"/>
      <c r="P62" s="85"/>
      <c r="Q62" s="95"/>
      <c r="R62" s="85"/>
      <c r="S62" s="95"/>
      <c r="T62" s="85"/>
      <c r="U62" s="95"/>
      <c r="V62" s="85"/>
      <c r="W62" s="95"/>
      <c r="X62" s="85"/>
      <c r="Y62" s="95"/>
      <c r="Z62" s="85"/>
      <c r="AA62" s="95"/>
      <c r="AB62" s="85"/>
      <c r="AC62" s="95"/>
      <c r="AD62" s="85"/>
      <c r="AE62" s="95"/>
      <c r="AF62" s="85"/>
      <c r="AG62" s="95"/>
      <c r="AH62" s="85"/>
      <c r="AI62" s="95"/>
      <c r="AJ62" s="85"/>
      <c r="AK62" s="95"/>
      <c r="AL62" s="85"/>
      <c r="AM62" s="95"/>
      <c r="AN62" s="85"/>
      <c r="AO62" s="95"/>
      <c r="AP62" s="85"/>
      <c r="AQ62" s="95"/>
      <c r="AR62" s="85"/>
      <c r="AS62" s="95"/>
      <c r="AT62" s="85"/>
      <c r="AU62" s="95"/>
      <c r="AV62" s="85"/>
      <c r="AW62" s="95"/>
      <c r="AX62" s="85"/>
      <c r="AY62" s="95"/>
      <c r="AZ62" s="85"/>
      <c r="BA62" s="95"/>
      <c r="BB62" s="85"/>
      <c r="BC62" s="95"/>
      <c r="BD62" s="85"/>
      <c r="BE62" s="312"/>
    </row>
    <row r="63" spans="1:57" s="11" customFormat="1" ht="12.75" customHeight="1">
      <c r="A63" s="310"/>
      <c r="B63" s="308" t="str">
        <f>Parameters!Q62</f>
        <v>L68A</v>
      </c>
      <c r="C63" s="309"/>
      <c r="D63" s="508" t="str">
        <f>Parameters!S62</f>
        <v>Imputed rents of owner-occupied dwellings</v>
      </c>
      <c r="E63" s="509"/>
      <c r="F63" s="72"/>
      <c r="G63" s="95"/>
      <c r="H63" s="97"/>
      <c r="I63" s="95"/>
      <c r="J63" s="97"/>
      <c r="K63" s="95"/>
      <c r="L63" s="97"/>
      <c r="M63" s="95"/>
      <c r="N63" s="97"/>
      <c r="O63" s="95"/>
      <c r="P63" s="97"/>
      <c r="Q63" s="95"/>
      <c r="R63" s="97"/>
      <c r="S63" s="95"/>
      <c r="T63" s="97"/>
      <c r="U63" s="95"/>
      <c r="V63" s="97"/>
      <c r="W63" s="95"/>
      <c r="X63" s="97"/>
      <c r="Y63" s="95"/>
      <c r="Z63" s="97"/>
      <c r="AA63" s="95"/>
      <c r="AB63" s="97"/>
      <c r="AC63" s="95"/>
      <c r="AD63" s="97"/>
      <c r="AE63" s="95"/>
      <c r="AF63" s="97"/>
      <c r="AG63" s="95"/>
      <c r="AH63" s="97"/>
      <c r="AI63" s="95"/>
      <c r="AJ63" s="97"/>
      <c r="AK63" s="95"/>
      <c r="AL63" s="97"/>
      <c r="AM63" s="95"/>
      <c r="AN63" s="97"/>
      <c r="AO63" s="95"/>
      <c r="AP63" s="97"/>
      <c r="AQ63" s="95"/>
      <c r="AR63" s="97"/>
      <c r="AS63" s="95"/>
      <c r="AT63" s="97"/>
      <c r="AU63" s="95"/>
      <c r="AV63" s="97"/>
      <c r="AW63" s="95"/>
      <c r="AX63" s="97"/>
      <c r="AY63" s="95"/>
      <c r="AZ63" s="97"/>
      <c r="BA63" s="95"/>
      <c r="BB63" s="97"/>
      <c r="BC63" s="95"/>
      <c r="BD63" s="97"/>
      <c r="BE63" s="312"/>
    </row>
    <row r="64" spans="1:57" s="11" customFormat="1" ht="12.75" customHeight="1">
      <c r="A64" s="25"/>
      <c r="B64" s="87" t="str">
        <f>Parameters!Q63</f>
        <v>M</v>
      </c>
      <c r="C64" s="88"/>
      <c r="D64" s="498" t="str">
        <f>Parameters!S63</f>
        <v>Professional, scientific and technical activities</v>
      </c>
      <c r="E64" s="499"/>
      <c r="F64" s="69"/>
      <c r="G64" s="95"/>
      <c r="H64" s="85"/>
      <c r="I64" s="95"/>
      <c r="J64" s="85"/>
      <c r="K64" s="95"/>
      <c r="L64" s="85"/>
      <c r="M64" s="95"/>
      <c r="N64" s="85"/>
      <c r="O64" s="95"/>
      <c r="P64" s="85"/>
      <c r="Q64" s="95"/>
      <c r="R64" s="85"/>
      <c r="S64" s="95"/>
      <c r="T64" s="85"/>
      <c r="U64" s="95"/>
      <c r="V64" s="85"/>
      <c r="W64" s="95"/>
      <c r="X64" s="85"/>
      <c r="Y64" s="95"/>
      <c r="Z64" s="85"/>
      <c r="AA64" s="95"/>
      <c r="AB64" s="85"/>
      <c r="AC64" s="95"/>
      <c r="AD64" s="85"/>
      <c r="AE64" s="95"/>
      <c r="AF64" s="85"/>
      <c r="AG64" s="95"/>
      <c r="AH64" s="85"/>
      <c r="AI64" s="95"/>
      <c r="AJ64" s="85"/>
      <c r="AK64" s="95"/>
      <c r="AL64" s="85"/>
      <c r="AM64" s="95"/>
      <c r="AN64" s="85"/>
      <c r="AO64" s="95"/>
      <c r="AP64" s="85"/>
      <c r="AQ64" s="95"/>
      <c r="AR64" s="85"/>
      <c r="AS64" s="95"/>
      <c r="AT64" s="85"/>
      <c r="AU64" s="95"/>
      <c r="AV64" s="85"/>
      <c r="AW64" s="95"/>
      <c r="AX64" s="85"/>
      <c r="AY64" s="95"/>
      <c r="AZ64" s="85"/>
      <c r="BA64" s="95"/>
      <c r="BB64" s="85"/>
      <c r="BC64" s="95"/>
      <c r="BD64" s="85"/>
      <c r="BE64" s="312"/>
    </row>
    <row r="65" spans="1:57" s="11" customFormat="1" ht="26.25" customHeight="1">
      <c r="A65" s="26"/>
      <c r="B65" s="89" t="str">
        <f>Parameters!Q64</f>
        <v>M69-M71</v>
      </c>
      <c r="C65" s="90"/>
      <c r="D65" s="504" t="str">
        <f>Parameters!S64</f>
        <v>Legal and accounting activities; activities of head offices; management consultancy activities; architectural and engineering activities; technical testing and analysis</v>
      </c>
      <c r="E65" s="506"/>
      <c r="F65" s="76"/>
      <c r="G65" s="92"/>
      <c r="H65" s="93"/>
      <c r="I65" s="92"/>
      <c r="J65" s="93"/>
      <c r="K65" s="92"/>
      <c r="L65" s="93"/>
      <c r="M65" s="92"/>
      <c r="N65" s="93"/>
      <c r="O65" s="92"/>
      <c r="P65" s="93"/>
      <c r="Q65" s="92"/>
      <c r="R65" s="93"/>
      <c r="S65" s="92"/>
      <c r="T65" s="93"/>
      <c r="U65" s="92"/>
      <c r="V65" s="93"/>
      <c r="W65" s="92"/>
      <c r="X65" s="93"/>
      <c r="Y65" s="92"/>
      <c r="Z65" s="93"/>
      <c r="AA65" s="92"/>
      <c r="AB65" s="93"/>
      <c r="AC65" s="92"/>
      <c r="AD65" s="93"/>
      <c r="AE65" s="92"/>
      <c r="AF65" s="93"/>
      <c r="AG65" s="92"/>
      <c r="AH65" s="93"/>
      <c r="AI65" s="92"/>
      <c r="AJ65" s="93"/>
      <c r="AK65" s="92"/>
      <c r="AL65" s="93"/>
      <c r="AM65" s="92"/>
      <c r="AN65" s="93"/>
      <c r="AO65" s="92"/>
      <c r="AP65" s="93"/>
      <c r="AQ65" s="92"/>
      <c r="AR65" s="93"/>
      <c r="AS65" s="92"/>
      <c r="AT65" s="93"/>
      <c r="AU65" s="92"/>
      <c r="AV65" s="93"/>
      <c r="AW65" s="92"/>
      <c r="AX65" s="93"/>
      <c r="AY65" s="92"/>
      <c r="AZ65" s="93"/>
      <c r="BA65" s="92"/>
      <c r="BB65" s="93"/>
      <c r="BC65" s="92"/>
      <c r="BD65" s="93"/>
      <c r="BE65" s="311"/>
    </row>
    <row r="66" spans="1:57" s="10" customFormat="1">
      <c r="A66" s="310"/>
      <c r="B66" s="308" t="str">
        <f>Parameters!Q65</f>
        <v>M69_M70</v>
      </c>
      <c r="C66" s="309"/>
      <c r="D66" s="495" t="str">
        <f>Parameters!S65</f>
        <v>Legal and accounting activities; activities of head offices; management consultancy activities</v>
      </c>
      <c r="E66" s="496"/>
      <c r="F66" s="70"/>
      <c r="G66" s="95"/>
      <c r="H66" s="86"/>
      <c r="I66" s="95"/>
      <c r="J66" s="86"/>
      <c r="K66" s="95"/>
      <c r="L66" s="86"/>
      <c r="M66" s="95"/>
      <c r="N66" s="86"/>
      <c r="O66" s="95"/>
      <c r="P66" s="86"/>
      <c r="Q66" s="95"/>
      <c r="R66" s="86"/>
      <c r="S66" s="95"/>
      <c r="T66" s="86"/>
      <c r="U66" s="95"/>
      <c r="V66" s="86"/>
      <c r="W66" s="95"/>
      <c r="X66" s="86"/>
      <c r="Y66" s="95"/>
      <c r="Z66" s="86"/>
      <c r="AA66" s="95"/>
      <c r="AB66" s="86"/>
      <c r="AC66" s="95"/>
      <c r="AD66" s="86"/>
      <c r="AE66" s="95"/>
      <c r="AF66" s="86"/>
      <c r="AG66" s="95"/>
      <c r="AH66" s="86"/>
      <c r="AI66" s="95"/>
      <c r="AJ66" s="86"/>
      <c r="AK66" s="95"/>
      <c r="AL66" s="86"/>
      <c r="AM66" s="95"/>
      <c r="AN66" s="86"/>
      <c r="AO66" s="95"/>
      <c r="AP66" s="86"/>
      <c r="AQ66" s="95"/>
      <c r="AR66" s="86"/>
      <c r="AS66" s="95"/>
      <c r="AT66" s="86"/>
      <c r="AU66" s="95"/>
      <c r="AV66" s="86"/>
      <c r="AW66" s="95"/>
      <c r="AX66" s="86"/>
      <c r="AY66" s="95"/>
      <c r="AZ66" s="86"/>
      <c r="BA66" s="95"/>
      <c r="BB66" s="86"/>
      <c r="BC66" s="95"/>
      <c r="BD66" s="86"/>
      <c r="BE66" s="312"/>
    </row>
    <row r="67" spans="1:57" s="10" customFormat="1" ht="12.75" customHeight="1">
      <c r="A67" s="310"/>
      <c r="B67" s="308" t="str">
        <f>Parameters!Q66</f>
        <v>M71</v>
      </c>
      <c r="C67" s="309"/>
      <c r="D67" s="495" t="str">
        <f>Parameters!S66</f>
        <v>Architectural and engineering activities; technical testing and analysis</v>
      </c>
      <c r="E67" s="496"/>
      <c r="F67" s="70"/>
      <c r="G67" s="95"/>
      <c r="H67" s="86"/>
      <c r="I67" s="95"/>
      <c r="J67" s="86"/>
      <c r="K67" s="95"/>
      <c r="L67" s="86"/>
      <c r="M67" s="95"/>
      <c r="N67" s="86"/>
      <c r="O67" s="95"/>
      <c r="P67" s="86"/>
      <c r="Q67" s="95"/>
      <c r="R67" s="86"/>
      <c r="S67" s="95"/>
      <c r="T67" s="86"/>
      <c r="U67" s="95"/>
      <c r="V67" s="86"/>
      <c r="W67" s="95"/>
      <c r="X67" s="86"/>
      <c r="Y67" s="95"/>
      <c r="Z67" s="86"/>
      <c r="AA67" s="95"/>
      <c r="AB67" s="86"/>
      <c r="AC67" s="95"/>
      <c r="AD67" s="86"/>
      <c r="AE67" s="95"/>
      <c r="AF67" s="86"/>
      <c r="AG67" s="95"/>
      <c r="AH67" s="86"/>
      <c r="AI67" s="95"/>
      <c r="AJ67" s="86"/>
      <c r="AK67" s="95"/>
      <c r="AL67" s="86"/>
      <c r="AM67" s="95"/>
      <c r="AN67" s="86"/>
      <c r="AO67" s="95"/>
      <c r="AP67" s="86"/>
      <c r="AQ67" s="95"/>
      <c r="AR67" s="86"/>
      <c r="AS67" s="95"/>
      <c r="AT67" s="86"/>
      <c r="AU67" s="95"/>
      <c r="AV67" s="86"/>
      <c r="AW67" s="95"/>
      <c r="AX67" s="86"/>
      <c r="AY67" s="95"/>
      <c r="AZ67" s="86"/>
      <c r="BA67" s="95"/>
      <c r="BB67" s="86"/>
      <c r="BC67" s="95"/>
      <c r="BD67" s="86"/>
      <c r="BE67" s="312"/>
    </row>
    <row r="68" spans="1:57" s="10" customFormat="1" ht="12.75" customHeight="1">
      <c r="A68" s="26"/>
      <c r="B68" s="89" t="str">
        <f>Parameters!Q67</f>
        <v>M72</v>
      </c>
      <c r="C68" s="90"/>
      <c r="D68" s="504" t="str">
        <f>Parameters!S67</f>
        <v>Scientific research and development</v>
      </c>
      <c r="E68" s="505"/>
      <c r="F68" s="71"/>
      <c r="G68" s="95"/>
      <c r="H68" s="91"/>
      <c r="I68" s="95"/>
      <c r="J68" s="91"/>
      <c r="K68" s="95"/>
      <c r="L68" s="91"/>
      <c r="M68" s="95"/>
      <c r="N68" s="91"/>
      <c r="O68" s="95"/>
      <c r="P68" s="91"/>
      <c r="Q68" s="95"/>
      <c r="R68" s="91"/>
      <c r="S68" s="95"/>
      <c r="T68" s="91"/>
      <c r="U68" s="95"/>
      <c r="V68" s="91"/>
      <c r="W68" s="95"/>
      <c r="X68" s="91"/>
      <c r="Y68" s="95"/>
      <c r="Z68" s="91"/>
      <c r="AA68" s="95"/>
      <c r="AB68" s="91"/>
      <c r="AC68" s="95"/>
      <c r="AD68" s="91"/>
      <c r="AE68" s="95"/>
      <c r="AF68" s="91"/>
      <c r="AG68" s="95"/>
      <c r="AH68" s="91"/>
      <c r="AI68" s="95"/>
      <c r="AJ68" s="91"/>
      <c r="AK68" s="95"/>
      <c r="AL68" s="91"/>
      <c r="AM68" s="95"/>
      <c r="AN68" s="91"/>
      <c r="AO68" s="95"/>
      <c r="AP68" s="91"/>
      <c r="AQ68" s="95"/>
      <c r="AR68" s="91"/>
      <c r="AS68" s="95"/>
      <c r="AT68" s="91"/>
      <c r="AU68" s="95"/>
      <c r="AV68" s="91"/>
      <c r="AW68" s="95"/>
      <c r="AX68" s="91"/>
      <c r="AY68" s="95"/>
      <c r="AZ68" s="91"/>
      <c r="BA68" s="95"/>
      <c r="BB68" s="91"/>
      <c r="BC68" s="95"/>
      <c r="BD68" s="91"/>
      <c r="BE68" s="312"/>
    </row>
    <row r="69" spans="1:57" s="10" customFormat="1" ht="24" customHeight="1">
      <c r="A69" s="26"/>
      <c r="B69" s="89" t="str">
        <f>Parameters!Q68</f>
        <v>M73-M75</v>
      </c>
      <c r="C69" s="90"/>
      <c r="D69" s="504" t="str">
        <f>Parameters!S68</f>
        <v>Advertising and market research; other professional, scientific and technical activities; veterinary activities</v>
      </c>
      <c r="E69" s="506"/>
      <c r="F69" s="76"/>
      <c r="G69" s="92"/>
      <c r="H69" s="93"/>
      <c r="I69" s="92"/>
      <c r="J69" s="93"/>
      <c r="K69" s="92"/>
      <c r="L69" s="93"/>
      <c r="M69" s="92"/>
      <c r="N69" s="93"/>
      <c r="O69" s="92"/>
      <c r="P69" s="93"/>
      <c r="Q69" s="92"/>
      <c r="R69" s="93"/>
      <c r="S69" s="92"/>
      <c r="T69" s="93"/>
      <c r="U69" s="92"/>
      <c r="V69" s="93"/>
      <c r="W69" s="92"/>
      <c r="X69" s="93"/>
      <c r="Y69" s="92"/>
      <c r="Z69" s="93"/>
      <c r="AA69" s="92"/>
      <c r="AB69" s="93"/>
      <c r="AC69" s="92"/>
      <c r="AD69" s="93"/>
      <c r="AE69" s="92"/>
      <c r="AF69" s="93"/>
      <c r="AG69" s="92"/>
      <c r="AH69" s="93"/>
      <c r="AI69" s="92"/>
      <c r="AJ69" s="93"/>
      <c r="AK69" s="92"/>
      <c r="AL69" s="93"/>
      <c r="AM69" s="92"/>
      <c r="AN69" s="93"/>
      <c r="AO69" s="92"/>
      <c r="AP69" s="93"/>
      <c r="AQ69" s="92"/>
      <c r="AR69" s="93"/>
      <c r="AS69" s="92"/>
      <c r="AT69" s="93"/>
      <c r="AU69" s="92"/>
      <c r="AV69" s="93"/>
      <c r="AW69" s="92"/>
      <c r="AX69" s="93"/>
      <c r="AY69" s="92"/>
      <c r="AZ69" s="93"/>
      <c r="BA69" s="92"/>
      <c r="BB69" s="93"/>
      <c r="BC69" s="92"/>
      <c r="BD69" s="93"/>
      <c r="BE69" s="311"/>
    </row>
    <row r="70" spans="1:57" s="10" customFormat="1" ht="12.75" customHeight="1">
      <c r="A70" s="310"/>
      <c r="B70" s="308" t="str">
        <f>Parameters!Q69</f>
        <v>M73</v>
      </c>
      <c r="C70" s="309"/>
      <c r="D70" s="495" t="str">
        <f>Parameters!S69</f>
        <v>Advertising and market research</v>
      </c>
      <c r="E70" s="496"/>
      <c r="F70" s="70"/>
      <c r="G70" s="95"/>
      <c r="H70" s="86"/>
      <c r="I70" s="95"/>
      <c r="J70" s="86"/>
      <c r="K70" s="95"/>
      <c r="L70" s="86"/>
      <c r="M70" s="95"/>
      <c r="N70" s="86"/>
      <c r="O70" s="95"/>
      <c r="P70" s="86"/>
      <c r="Q70" s="95"/>
      <c r="R70" s="86"/>
      <c r="S70" s="95"/>
      <c r="T70" s="86"/>
      <c r="U70" s="95"/>
      <c r="V70" s="86"/>
      <c r="W70" s="95"/>
      <c r="X70" s="86"/>
      <c r="Y70" s="95"/>
      <c r="Z70" s="86"/>
      <c r="AA70" s="95"/>
      <c r="AB70" s="86"/>
      <c r="AC70" s="95"/>
      <c r="AD70" s="86"/>
      <c r="AE70" s="95"/>
      <c r="AF70" s="86"/>
      <c r="AG70" s="95"/>
      <c r="AH70" s="86"/>
      <c r="AI70" s="95"/>
      <c r="AJ70" s="86"/>
      <c r="AK70" s="95"/>
      <c r="AL70" s="86"/>
      <c r="AM70" s="95"/>
      <c r="AN70" s="86"/>
      <c r="AO70" s="95"/>
      <c r="AP70" s="86"/>
      <c r="AQ70" s="95"/>
      <c r="AR70" s="86"/>
      <c r="AS70" s="95"/>
      <c r="AT70" s="86"/>
      <c r="AU70" s="95"/>
      <c r="AV70" s="86"/>
      <c r="AW70" s="95"/>
      <c r="AX70" s="86"/>
      <c r="AY70" s="95"/>
      <c r="AZ70" s="86"/>
      <c r="BA70" s="95"/>
      <c r="BB70" s="86"/>
      <c r="BC70" s="95"/>
      <c r="BD70" s="86"/>
      <c r="BE70" s="312"/>
    </row>
    <row r="71" spans="1:57" s="11" customFormat="1" ht="12.75" customHeight="1">
      <c r="A71" s="310"/>
      <c r="B71" s="308" t="str">
        <f>Parameters!Q70</f>
        <v>M74_M75</v>
      </c>
      <c r="C71" s="309"/>
      <c r="D71" s="495" t="str">
        <f>Parameters!S70</f>
        <v>Other professional, scientific and technical activities; veterinary activities</v>
      </c>
      <c r="E71" s="496"/>
      <c r="F71" s="70"/>
      <c r="G71" s="95"/>
      <c r="H71" s="86"/>
      <c r="I71" s="95"/>
      <c r="J71" s="86"/>
      <c r="K71" s="95"/>
      <c r="L71" s="86"/>
      <c r="M71" s="95"/>
      <c r="N71" s="86"/>
      <c r="O71" s="95"/>
      <c r="P71" s="86"/>
      <c r="Q71" s="95"/>
      <c r="R71" s="86"/>
      <c r="S71" s="95"/>
      <c r="T71" s="86"/>
      <c r="U71" s="95"/>
      <c r="V71" s="86"/>
      <c r="W71" s="95"/>
      <c r="X71" s="86"/>
      <c r="Y71" s="95"/>
      <c r="Z71" s="86"/>
      <c r="AA71" s="95"/>
      <c r="AB71" s="86"/>
      <c r="AC71" s="95"/>
      <c r="AD71" s="86"/>
      <c r="AE71" s="95"/>
      <c r="AF71" s="86"/>
      <c r="AG71" s="95"/>
      <c r="AH71" s="86"/>
      <c r="AI71" s="95"/>
      <c r="AJ71" s="86"/>
      <c r="AK71" s="95"/>
      <c r="AL71" s="86"/>
      <c r="AM71" s="95"/>
      <c r="AN71" s="86"/>
      <c r="AO71" s="95"/>
      <c r="AP71" s="86"/>
      <c r="AQ71" s="95"/>
      <c r="AR71" s="86"/>
      <c r="AS71" s="95"/>
      <c r="AT71" s="86"/>
      <c r="AU71" s="95"/>
      <c r="AV71" s="86"/>
      <c r="AW71" s="95"/>
      <c r="AX71" s="86"/>
      <c r="AY71" s="95"/>
      <c r="AZ71" s="86"/>
      <c r="BA71" s="95"/>
      <c r="BB71" s="86"/>
      <c r="BC71" s="95"/>
      <c r="BD71" s="86"/>
      <c r="BE71" s="312"/>
    </row>
    <row r="72" spans="1:57" s="11" customFormat="1" ht="12.75" customHeight="1">
      <c r="A72" s="25"/>
      <c r="B72" s="87" t="str">
        <f>Parameters!Q71</f>
        <v>N</v>
      </c>
      <c r="C72" s="88"/>
      <c r="D72" s="498" t="str">
        <f>Parameters!S71</f>
        <v>Administrative and support service activities</v>
      </c>
      <c r="E72" s="499"/>
      <c r="F72" s="69"/>
      <c r="G72" s="95"/>
      <c r="H72" s="85"/>
      <c r="I72" s="95"/>
      <c r="J72" s="85"/>
      <c r="K72" s="95"/>
      <c r="L72" s="85"/>
      <c r="M72" s="95"/>
      <c r="N72" s="85"/>
      <c r="O72" s="95"/>
      <c r="P72" s="85"/>
      <c r="Q72" s="95"/>
      <c r="R72" s="85"/>
      <c r="S72" s="95"/>
      <c r="T72" s="85"/>
      <c r="U72" s="95"/>
      <c r="V72" s="85"/>
      <c r="W72" s="95"/>
      <c r="X72" s="85"/>
      <c r="Y72" s="95"/>
      <c r="Z72" s="85"/>
      <c r="AA72" s="95"/>
      <c r="AB72" s="85"/>
      <c r="AC72" s="95"/>
      <c r="AD72" s="85"/>
      <c r="AE72" s="95"/>
      <c r="AF72" s="85"/>
      <c r="AG72" s="95"/>
      <c r="AH72" s="85"/>
      <c r="AI72" s="95"/>
      <c r="AJ72" s="85"/>
      <c r="AK72" s="95"/>
      <c r="AL72" s="85"/>
      <c r="AM72" s="95"/>
      <c r="AN72" s="85"/>
      <c r="AO72" s="95"/>
      <c r="AP72" s="85"/>
      <c r="AQ72" s="95"/>
      <c r="AR72" s="85"/>
      <c r="AS72" s="95"/>
      <c r="AT72" s="85"/>
      <c r="AU72" s="95"/>
      <c r="AV72" s="85"/>
      <c r="AW72" s="95"/>
      <c r="AX72" s="85"/>
      <c r="AY72" s="95"/>
      <c r="AZ72" s="85"/>
      <c r="BA72" s="95"/>
      <c r="BB72" s="85"/>
      <c r="BC72" s="95"/>
      <c r="BD72" s="85"/>
      <c r="BE72" s="312"/>
    </row>
    <row r="73" spans="1:57" s="11" customFormat="1" ht="12.75" customHeight="1">
      <c r="A73" s="310"/>
      <c r="B73" s="308" t="str">
        <f>Parameters!Q72</f>
        <v>N77</v>
      </c>
      <c r="C73" s="309"/>
      <c r="D73" s="495" t="str">
        <f>Parameters!S72</f>
        <v>Rental and leasing activities</v>
      </c>
      <c r="E73" s="496"/>
      <c r="F73" s="70"/>
      <c r="G73" s="95"/>
      <c r="H73" s="86"/>
      <c r="I73" s="95"/>
      <c r="J73" s="86"/>
      <c r="K73" s="95"/>
      <c r="L73" s="86"/>
      <c r="M73" s="95"/>
      <c r="N73" s="86"/>
      <c r="O73" s="95"/>
      <c r="P73" s="86"/>
      <c r="Q73" s="95"/>
      <c r="R73" s="86"/>
      <c r="S73" s="95"/>
      <c r="T73" s="86"/>
      <c r="U73" s="95"/>
      <c r="V73" s="86"/>
      <c r="W73" s="95"/>
      <c r="X73" s="86"/>
      <c r="Y73" s="95"/>
      <c r="Z73" s="86"/>
      <c r="AA73" s="95"/>
      <c r="AB73" s="86"/>
      <c r="AC73" s="95"/>
      <c r="AD73" s="86"/>
      <c r="AE73" s="95"/>
      <c r="AF73" s="86"/>
      <c r="AG73" s="95"/>
      <c r="AH73" s="86"/>
      <c r="AI73" s="95"/>
      <c r="AJ73" s="86"/>
      <c r="AK73" s="95"/>
      <c r="AL73" s="86"/>
      <c r="AM73" s="95"/>
      <c r="AN73" s="86"/>
      <c r="AO73" s="95"/>
      <c r="AP73" s="86"/>
      <c r="AQ73" s="95"/>
      <c r="AR73" s="86"/>
      <c r="AS73" s="95"/>
      <c r="AT73" s="86"/>
      <c r="AU73" s="95"/>
      <c r="AV73" s="86"/>
      <c r="AW73" s="95"/>
      <c r="AX73" s="86"/>
      <c r="AY73" s="95"/>
      <c r="AZ73" s="86"/>
      <c r="BA73" s="95"/>
      <c r="BB73" s="86"/>
      <c r="BC73" s="95"/>
      <c r="BD73" s="86"/>
      <c r="BE73" s="312"/>
    </row>
    <row r="74" spans="1:57" s="11" customFormat="1" ht="12.75" customHeight="1">
      <c r="A74" s="310"/>
      <c r="B74" s="308" t="str">
        <f>Parameters!Q73</f>
        <v>N78</v>
      </c>
      <c r="C74" s="309"/>
      <c r="D74" s="495" t="str">
        <f>Parameters!S73</f>
        <v>Employment activities</v>
      </c>
      <c r="E74" s="496"/>
      <c r="F74" s="70"/>
      <c r="G74" s="95"/>
      <c r="H74" s="86"/>
      <c r="I74" s="95"/>
      <c r="J74" s="86"/>
      <c r="K74" s="95"/>
      <c r="L74" s="86"/>
      <c r="M74" s="95"/>
      <c r="N74" s="86"/>
      <c r="O74" s="95"/>
      <c r="P74" s="86"/>
      <c r="Q74" s="95"/>
      <c r="R74" s="86"/>
      <c r="S74" s="95"/>
      <c r="T74" s="86"/>
      <c r="U74" s="95"/>
      <c r="V74" s="86"/>
      <c r="W74" s="95"/>
      <c r="X74" s="86"/>
      <c r="Y74" s="95"/>
      <c r="Z74" s="86"/>
      <c r="AA74" s="95"/>
      <c r="AB74" s="86"/>
      <c r="AC74" s="95"/>
      <c r="AD74" s="86"/>
      <c r="AE74" s="95"/>
      <c r="AF74" s="86"/>
      <c r="AG74" s="95"/>
      <c r="AH74" s="86"/>
      <c r="AI74" s="95"/>
      <c r="AJ74" s="86"/>
      <c r="AK74" s="95"/>
      <c r="AL74" s="86"/>
      <c r="AM74" s="95"/>
      <c r="AN74" s="86"/>
      <c r="AO74" s="95"/>
      <c r="AP74" s="86"/>
      <c r="AQ74" s="95"/>
      <c r="AR74" s="86"/>
      <c r="AS74" s="95"/>
      <c r="AT74" s="86"/>
      <c r="AU74" s="95"/>
      <c r="AV74" s="86"/>
      <c r="AW74" s="95"/>
      <c r="AX74" s="86"/>
      <c r="AY74" s="95"/>
      <c r="AZ74" s="86"/>
      <c r="BA74" s="95"/>
      <c r="BB74" s="86"/>
      <c r="BC74" s="95"/>
      <c r="BD74" s="86"/>
      <c r="BE74" s="312"/>
    </row>
    <row r="75" spans="1:57" s="11" customFormat="1" ht="12.75" customHeight="1">
      <c r="A75" s="310"/>
      <c r="B75" s="308" t="str">
        <f>Parameters!Q74</f>
        <v>N79</v>
      </c>
      <c r="C75" s="309"/>
      <c r="D75" s="495" t="str">
        <f>Parameters!S74</f>
        <v>Travel agency, tour operator reservation service and related activities</v>
      </c>
      <c r="E75" s="496"/>
      <c r="F75" s="70"/>
      <c r="G75" s="95"/>
      <c r="H75" s="86"/>
      <c r="I75" s="95"/>
      <c r="J75" s="86"/>
      <c r="K75" s="95"/>
      <c r="L75" s="86"/>
      <c r="M75" s="95"/>
      <c r="N75" s="86"/>
      <c r="O75" s="95"/>
      <c r="P75" s="86"/>
      <c r="Q75" s="95"/>
      <c r="R75" s="86"/>
      <c r="S75" s="95"/>
      <c r="T75" s="86"/>
      <c r="U75" s="95"/>
      <c r="V75" s="86"/>
      <c r="W75" s="95"/>
      <c r="X75" s="86"/>
      <c r="Y75" s="95"/>
      <c r="Z75" s="86"/>
      <c r="AA75" s="95"/>
      <c r="AB75" s="86"/>
      <c r="AC75" s="95"/>
      <c r="AD75" s="86"/>
      <c r="AE75" s="95"/>
      <c r="AF75" s="86"/>
      <c r="AG75" s="95"/>
      <c r="AH75" s="86"/>
      <c r="AI75" s="95"/>
      <c r="AJ75" s="86"/>
      <c r="AK75" s="95"/>
      <c r="AL75" s="86"/>
      <c r="AM75" s="95"/>
      <c r="AN75" s="86"/>
      <c r="AO75" s="95"/>
      <c r="AP75" s="86"/>
      <c r="AQ75" s="95"/>
      <c r="AR75" s="86"/>
      <c r="AS75" s="95"/>
      <c r="AT75" s="86"/>
      <c r="AU75" s="95"/>
      <c r="AV75" s="86"/>
      <c r="AW75" s="95"/>
      <c r="AX75" s="86"/>
      <c r="AY75" s="95"/>
      <c r="AZ75" s="86"/>
      <c r="BA75" s="95"/>
      <c r="BB75" s="86"/>
      <c r="BC75" s="95"/>
      <c r="BD75" s="86"/>
      <c r="BE75" s="312"/>
    </row>
    <row r="76" spans="1:57" s="11" customFormat="1">
      <c r="A76" s="310"/>
      <c r="B76" s="308" t="str">
        <f>Parameters!Q75</f>
        <v>N80-N82</v>
      </c>
      <c r="C76" s="309"/>
      <c r="D76" s="495" t="str">
        <f>Parameters!S75</f>
        <v>Security and investigation, service and landscape, office administrative and support activities</v>
      </c>
      <c r="E76" s="497"/>
      <c r="F76" s="70"/>
      <c r="G76" s="95"/>
      <c r="H76" s="86"/>
      <c r="I76" s="95"/>
      <c r="J76" s="86"/>
      <c r="K76" s="95"/>
      <c r="L76" s="86"/>
      <c r="M76" s="95"/>
      <c r="N76" s="86"/>
      <c r="O76" s="95"/>
      <c r="P76" s="86"/>
      <c r="Q76" s="95"/>
      <c r="R76" s="86"/>
      <c r="S76" s="95"/>
      <c r="T76" s="86"/>
      <c r="U76" s="95"/>
      <c r="V76" s="86"/>
      <c r="W76" s="95"/>
      <c r="X76" s="86"/>
      <c r="Y76" s="95"/>
      <c r="Z76" s="86"/>
      <c r="AA76" s="95"/>
      <c r="AB76" s="86"/>
      <c r="AC76" s="95"/>
      <c r="AD76" s="86"/>
      <c r="AE76" s="95"/>
      <c r="AF76" s="86"/>
      <c r="AG76" s="95"/>
      <c r="AH76" s="86"/>
      <c r="AI76" s="95"/>
      <c r="AJ76" s="86"/>
      <c r="AK76" s="95"/>
      <c r="AL76" s="86"/>
      <c r="AM76" s="95"/>
      <c r="AN76" s="86"/>
      <c r="AO76" s="95"/>
      <c r="AP76" s="86"/>
      <c r="AQ76" s="95"/>
      <c r="AR76" s="86"/>
      <c r="AS76" s="95"/>
      <c r="AT76" s="86"/>
      <c r="AU76" s="95"/>
      <c r="AV76" s="86"/>
      <c r="AW76" s="95"/>
      <c r="AX76" s="86"/>
      <c r="AY76" s="95"/>
      <c r="AZ76" s="86"/>
      <c r="BA76" s="95"/>
      <c r="BB76" s="86"/>
      <c r="BC76" s="95"/>
      <c r="BD76" s="86"/>
      <c r="BE76" s="312"/>
    </row>
    <row r="77" spans="1:57" s="11" customFormat="1" ht="12.75" customHeight="1">
      <c r="A77" s="25"/>
      <c r="B77" s="87" t="str">
        <f>Parameters!Q76</f>
        <v>O</v>
      </c>
      <c r="C77" s="88"/>
      <c r="D77" s="498" t="str">
        <f>Parameters!S76</f>
        <v>Public administration and defence; compulsory social security</v>
      </c>
      <c r="E77" s="499"/>
      <c r="F77" s="69"/>
      <c r="G77" s="95"/>
      <c r="H77" s="85"/>
      <c r="I77" s="95"/>
      <c r="J77" s="85"/>
      <c r="K77" s="95"/>
      <c r="L77" s="85"/>
      <c r="M77" s="95"/>
      <c r="N77" s="85"/>
      <c r="O77" s="95"/>
      <c r="P77" s="85"/>
      <c r="Q77" s="95"/>
      <c r="R77" s="85"/>
      <c r="S77" s="95"/>
      <c r="T77" s="85"/>
      <c r="U77" s="95"/>
      <c r="V77" s="85"/>
      <c r="W77" s="95"/>
      <c r="X77" s="85"/>
      <c r="Y77" s="95"/>
      <c r="Z77" s="85"/>
      <c r="AA77" s="95"/>
      <c r="AB77" s="85"/>
      <c r="AC77" s="95"/>
      <c r="AD77" s="85"/>
      <c r="AE77" s="95"/>
      <c r="AF77" s="85"/>
      <c r="AG77" s="95"/>
      <c r="AH77" s="85"/>
      <c r="AI77" s="95"/>
      <c r="AJ77" s="85"/>
      <c r="AK77" s="95"/>
      <c r="AL77" s="85"/>
      <c r="AM77" s="95"/>
      <c r="AN77" s="85"/>
      <c r="AO77" s="95"/>
      <c r="AP77" s="85"/>
      <c r="AQ77" s="95"/>
      <c r="AR77" s="85"/>
      <c r="AS77" s="95"/>
      <c r="AT77" s="85"/>
      <c r="AU77" s="95"/>
      <c r="AV77" s="85"/>
      <c r="AW77" s="95"/>
      <c r="AX77" s="85"/>
      <c r="AY77" s="95"/>
      <c r="AZ77" s="85"/>
      <c r="BA77" s="95"/>
      <c r="BB77" s="85"/>
      <c r="BC77" s="95"/>
      <c r="BD77" s="85"/>
      <c r="BE77" s="312"/>
    </row>
    <row r="78" spans="1:57" s="11" customFormat="1" ht="12.75" customHeight="1">
      <c r="A78" s="25"/>
      <c r="B78" s="87" t="str">
        <f>Parameters!Q77</f>
        <v>P</v>
      </c>
      <c r="C78" s="88"/>
      <c r="D78" s="498" t="str">
        <f>Parameters!S77</f>
        <v>Education</v>
      </c>
      <c r="E78" s="499"/>
      <c r="F78" s="69"/>
      <c r="G78" s="95"/>
      <c r="H78" s="85"/>
      <c r="I78" s="95"/>
      <c r="J78" s="85"/>
      <c r="K78" s="95"/>
      <c r="L78" s="85"/>
      <c r="M78" s="95"/>
      <c r="N78" s="85"/>
      <c r="O78" s="95"/>
      <c r="P78" s="85"/>
      <c r="Q78" s="95"/>
      <c r="R78" s="85"/>
      <c r="S78" s="95"/>
      <c r="T78" s="85"/>
      <c r="U78" s="95"/>
      <c r="V78" s="85"/>
      <c r="W78" s="95"/>
      <c r="X78" s="85"/>
      <c r="Y78" s="95"/>
      <c r="Z78" s="85"/>
      <c r="AA78" s="95"/>
      <c r="AB78" s="85"/>
      <c r="AC78" s="95"/>
      <c r="AD78" s="85"/>
      <c r="AE78" s="95"/>
      <c r="AF78" s="85"/>
      <c r="AG78" s="95"/>
      <c r="AH78" s="85"/>
      <c r="AI78" s="95"/>
      <c r="AJ78" s="85"/>
      <c r="AK78" s="95"/>
      <c r="AL78" s="85"/>
      <c r="AM78" s="95"/>
      <c r="AN78" s="85"/>
      <c r="AO78" s="95"/>
      <c r="AP78" s="85"/>
      <c r="AQ78" s="95"/>
      <c r="AR78" s="85"/>
      <c r="AS78" s="95"/>
      <c r="AT78" s="85"/>
      <c r="AU78" s="95"/>
      <c r="AV78" s="85"/>
      <c r="AW78" s="95"/>
      <c r="AX78" s="85"/>
      <c r="AY78" s="95"/>
      <c r="AZ78" s="85"/>
      <c r="BA78" s="95"/>
      <c r="BB78" s="85"/>
      <c r="BC78" s="95"/>
      <c r="BD78" s="85"/>
      <c r="BE78" s="312"/>
    </row>
    <row r="79" spans="1:57" s="11" customFormat="1" ht="12.75" customHeight="1">
      <c r="A79" s="25"/>
      <c r="B79" s="87" t="str">
        <f>Parameters!Q78</f>
        <v>Q</v>
      </c>
      <c r="C79" s="88"/>
      <c r="D79" s="498" t="str">
        <f>Parameters!S78</f>
        <v>Human health and social work activities</v>
      </c>
      <c r="E79" s="499"/>
      <c r="F79" s="69"/>
      <c r="G79" s="95"/>
      <c r="H79" s="85"/>
      <c r="I79" s="95"/>
      <c r="J79" s="85"/>
      <c r="K79" s="95"/>
      <c r="L79" s="85"/>
      <c r="M79" s="95"/>
      <c r="N79" s="85"/>
      <c r="O79" s="95"/>
      <c r="P79" s="85"/>
      <c r="Q79" s="95"/>
      <c r="R79" s="85"/>
      <c r="S79" s="95"/>
      <c r="T79" s="85"/>
      <c r="U79" s="95"/>
      <c r="V79" s="85"/>
      <c r="W79" s="95"/>
      <c r="X79" s="85"/>
      <c r="Y79" s="95"/>
      <c r="Z79" s="85"/>
      <c r="AA79" s="95"/>
      <c r="AB79" s="85"/>
      <c r="AC79" s="95"/>
      <c r="AD79" s="85"/>
      <c r="AE79" s="95"/>
      <c r="AF79" s="85"/>
      <c r="AG79" s="95"/>
      <c r="AH79" s="85"/>
      <c r="AI79" s="95"/>
      <c r="AJ79" s="85"/>
      <c r="AK79" s="95"/>
      <c r="AL79" s="85"/>
      <c r="AM79" s="95"/>
      <c r="AN79" s="85"/>
      <c r="AO79" s="95"/>
      <c r="AP79" s="85"/>
      <c r="AQ79" s="95"/>
      <c r="AR79" s="85"/>
      <c r="AS79" s="95"/>
      <c r="AT79" s="85"/>
      <c r="AU79" s="95"/>
      <c r="AV79" s="85"/>
      <c r="AW79" s="95"/>
      <c r="AX79" s="85"/>
      <c r="AY79" s="95"/>
      <c r="AZ79" s="85"/>
      <c r="BA79" s="95"/>
      <c r="BB79" s="85"/>
      <c r="BC79" s="95"/>
      <c r="BD79" s="85"/>
      <c r="BE79" s="312"/>
    </row>
    <row r="80" spans="1:57" s="11" customFormat="1" ht="12.75" customHeight="1">
      <c r="A80" s="310"/>
      <c r="B80" s="308" t="str">
        <f>Parameters!Q79</f>
        <v>Q86</v>
      </c>
      <c r="C80" s="309"/>
      <c r="D80" s="495" t="str">
        <f>Parameters!S79</f>
        <v>Human health activities</v>
      </c>
      <c r="E80" s="497"/>
      <c r="F80" s="70"/>
      <c r="G80" s="95"/>
      <c r="H80" s="86"/>
      <c r="I80" s="95"/>
      <c r="J80" s="86"/>
      <c r="K80" s="95"/>
      <c r="L80" s="86"/>
      <c r="M80" s="95"/>
      <c r="N80" s="86"/>
      <c r="O80" s="95"/>
      <c r="P80" s="86"/>
      <c r="Q80" s="95"/>
      <c r="R80" s="86"/>
      <c r="S80" s="95"/>
      <c r="T80" s="86"/>
      <c r="U80" s="95"/>
      <c r="V80" s="86"/>
      <c r="W80" s="95"/>
      <c r="X80" s="86"/>
      <c r="Y80" s="95"/>
      <c r="Z80" s="86"/>
      <c r="AA80" s="95"/>
      <c r="AB80" s="86"/>
      <c r="AC80" s="95"/>
      <c r="AD80" s="86"/>
      <c r="AE80" s="95"/>
      <c r="AF80" s="86"/>
      <c r="AG80" s="95"/>
      <c r="AH80" s="86"/>
      <c r="AI80" s="95"/>
      <c r="AJ80" s="86"/>
      <c r="AK80" s="95"/>
      <c r="AL80" s="86"/>
      <c r="AM80" s="95"/>
      <c r="AN80" s="86"/>
      <c r="AO80" s="95"/>
      <c r="AP80" s="86"/>
      <c r="AQ80" s="95"/>
      <c r="AR80" s="86"/>
      <c r="AS80" s="95"/>
      <c r="AT80" s="86"/>
      <c r="AU80" s="95"/>
      <c r="AV80" s="86"/>
      <c r="AW80" s="95"/>
      <c r="AX80" s="86"/>
      <c r="AY80" s="95"/>
      <c r="AZ80" s="86"/>
      <c r="BA80" s="95"/>
      <c r="BB80" s="86"/>
      <c r="BC80" s="95"/>
      <c r="BD80" s="86"/>
      <c r="BE80" s="312"/>
    </row>
    <row r="81" spans="1:57" s="11" customFormat="1" ht="12.75" customHeight="1">
      <c r="A81" s="310"/>
      <c r="B81" s="308" t="str">
        <f>Parameters!Q80</f>
        <v>Q87_Q88</v>
      </c>
      <c r="C81" s="309"/>
      <c r="D81" s="495" t="str">
        <f>Parameters!S80</f>
        <v>Residential care activities and social work activities without accommodation</v>
      </c>
      <c r="E81" s="497"/>
      <c r="F81" s="70"/>
      <c r="G81" s="95"/>
      <c r="H81" s="86"/>
      <c r="I81" s="95"/>
      <c r="J81" s="86"/>
      <c r="K81" s="95"/>
      <c r="L81" s="86"/>
      <c r="M81" s="95"/>
      <c r="N81" s="86"/>
      <c r="O81" s="95"/>
      <c r="P81" s="86"/>
      <c r="Q81" s="95"/>
      <c r="R81" s="86"/>
      <c r="S81" s="95"/>
      <c r="T81" s="86"/>
      <c r="U81" s="95"/>
      <c r="V81" s="86"/>
      <c r="W81" s="95"/>
      <c r="X81" s="86"/>
      <c r="Y81" s="95"/>
      <c r="Z81" s="86"/>
      <c r="AA81" s="95"/>
      <c r="AB81" s="86"/>
      <c r="AC81" s="95"/>
      <c r="AD81" s="86"/>
      <c r="AE81" s="95"/>
      <c r="AF81" s="86"/>
      <c r="AG81" s="95"/>
      <c r="AH81" s="86"/>
      <c r="AI81" s="95"/>
      <c r="AJ81" s="86"/>
      <c r="AK81" s="95"/>
      <c r="AL81" s="86"/>
      <c r="AM81" s="95"/>
      <c r="AN81" s="86"/>
      <c r="AO81" s="95"/>
      <c r="AP81" s="86"/>
      <c r="AQ81" s="95"/>
      <c r="AR81" s="86"/>
      <c r="AS81" s="95"/>
      <c r="AT81" s="86"/>
      <c r="AU81" s="95"/>
      <c r="AV81" s="86"/>
      <c r="AW81" s="95"/>
      <c r="AX81" s="86"/>
      <c r="AY81" s="95"/>
      <c r="AZ81" s="86"/>
      <c r="BA81" s="95"/>
      <c r="BB81" s="86"/>
      <c r="BC81" s="95"/>
      <c r="BD81" s="86"/>
      <c r="BE81" s="312"/>
    </row>
    <row r="82" spans="1:57" s="11" customFormat="1" ht="12.75" customHeight="1">
      <c r="A82" s="25"/>
      <c r="B82" s="87" t="str">
        <f>Parameters!Q81</f>
        <v>R</v>
      </c>
      <c r="C82" s="88"/>
      <c r="D82" s="498" t="str">
        <f>Parameters!S81</f>
        <v>Arts, entertainment and recreation</v>
      </c>
      <c r="E82" s="499"/>
      <c r="F82" s="69"/>
      <c r="G82" s="95"/>
      <c r="H82" s="85"/>
      <c r="I82" s="95"/>
      <c r="J82" s="85"/>
      <c r="K82" s="95"/>
      <c r="L82" s="85"/>
      <c r="M82" s="95"/>
      <c r="N82" s="85"/>
      <c r="O82" s="95"/>
      <c r="P82" s="85"/>
      <c r="Q82" s="95"/>
      <c r="R82" s="85"/>
      <c r="S82" s="95"/>
      <c r="T82" s="85"/>
      <c r="U82" s="95"/>
      <c r="V82" s="85"/>
      <c r="W82" s="95"/>
      <c r="X82" s="85"/>
      <c r="Y82" s="95"/>
      <c r="Z82" s="85"/>
      <c r="AA82" s="95"/>
      <c r="AB82" s="85"/>
      <c r="AC82" s="95"/>
      <c r="AD82" s="85"/>
      <c r="AE82" s="95"/>
      <c r="AF82" s="85"/>
      <c r="AG82" s="95"/>
      <c r="AH82" s="85"/>
      <c r="AI82" s="95"/>
      <c r="AJ82" s="85"/>
      <c r="AK82" s="95"/>
      <c r="AL82" s="85"/>
      <c r="AM82" s="95"/>
      <c r="AN82" s="85"/>
      <c r="AO82" s="95"/>
      <c r="AP82" s="85"/>
      <c r="AQ82" s="95"/>
      <c r="AR82" s="85"/>
      <c r="AS82" s="95"/>
      <c r="AT82" s="85"/>
      <c r="AU82" s="95"/>
      <c r="AV82" s="85"/>
      <c r="AW82" s="95"/>
      <c r="AX82" s="85"/>
      <c r="AY82" s="95"/>
      <c r="AZ82" s="85"/>
      <c r="BA82" s="95"/>
      <c r="BB82" s="85"/>
      <c r="BC82" s="95"/>
      <c r="BD82" s="85"/>
      <c r="BE82" s="312"/>
    </row>
    <row r="83" spans="1:57" s="11" customFormat="1" ht="25.5" customHeight="1">
      <c r="A83" s="310"/>
      <c r="B83" s="308" t="str">
        <f>Parameters!Q82</f>
        <v>R90-R92</v>
      </c>
      <c r="C83" s="309"/>
      <c r="D83" s="495" t="str">
        <f>Parameters!S82</f>
        <v>Creative, arts and entertainment activities; libraries, archives, museums and other cultural activities; gambling and betting activities</v>
      </c>
      <c r="E83" s="497"/>
      <c r="F83" s="70"/>
      <c r="G83" s="95"/>
      <c r="H83" s="86"/>
      <c r="I83" s="95"/>
      <c r="J83" s="86"/>
      <c r="K83" s="95"/>
      <c r="L83" s="86"/>
      <c r="M83" s="95"/>
      <c r="N83" s="86"/>
      <c r="O83" s="95"/>
      <c r="P83" s="86"/>
      <c r="Q83" s="95"/>
      <c r="R83" s="86"/>
      <c r="S83" s="95"/>
      <c r="T83" s="86"/>
      <c r="U83" s="95"/>
      <c r="V83" s="86"/>
      <c r="W83" s="95"/>
      <c r="X83" s="86"/>
      <c r="Y83" s="95"/>
      <c r="Z83" s="86"/>
      <c r="AA83" s="95"/>
      <c r="AB83" s="86"/>
      <c r="AC83" s="95"/>
      <c r="AD83" s="86"/>
      <c r="AE83" s="95"/>
      <c r="AF83" s="86"/>
      <c r="AG83" s="95"/>
      <c r="AH83" s="86"/>
      <c r="AI83" s="95"/>
      <c r="AJ83" s="86"/>
      <c r="AK83" s="95"/>
      <c r="AL83" s="86"/>
      <c r="AM83" s="95"/>
      <c r="AN83" s="86"/>
      <c r="AO83" s="95"/>
      <c r="AP83" s="86"/>
      <c r="AQ83" s="95"/>
      <c r="AR83" s="86"/>
      <c r="AS83" s="95"/>
      <c r="AT83" s="86"/>
      <c r="AU83" s="95"/>
      <c r="AV83" s="86"/>
      <c r="AW83" s="95"/>
      <c r="AX83" s="86"/>
      <c r="AY83" s="95"/>
      <c r="AZ83" s="86"/>
      <c r="BA83" s="95"/>
      <c r="BB83" s="86"/>
      <c r="BC83" s="95"/>
      <c r="BD83" s="86"/>
      <c r="BE83" s="312"/>
    </row>
    <row r="84" spans="1:57" s="11" customFormat="1" ht="12.75" customHeight="1">
      <c r="A84" s="310"/>
      <c r="B84" s="308" t="str">
        <f>Parameters!Q83</f>
        <v>R93</v>
      </c>
      <c r="C84" s="309"/>
      <c r="D84" s="495" t="str">
        <f>Parameters!S83</f>
        <v>Sports activities and amusement and recreation activities</v>
      </c>
      <c r="E84" s="497"/>
      <c r="F84" s="70"/>
      <c r="G84" s="95"/>
      <c r="H84" s="86"/>
      <c r="I84" s="95"/>
      <c r="J84" s="86"/>
      <c r="K84" s="95"/>
      <c r="L84" s="86"/>
      <c r="M84" s="95"/>
      <c r="N84" s="86"/>
      <c r="O84" s="95"/>
      <c r="P84" s="86"/>
      <c r="Q84" s="95"/>
      <c r="R84" s="86"/>
      <c r="S84" s="95"/>
      <c r="T84" s="86"/>
      <c r="U84" s="95"/>
      <c r="V84" s="86"/>
      <c r="W84" s="95"/>
      <c r="X84" s="86"/>
      <c r="Y84" s="95"/>
      <c r="Z84" s="86"/>
      <c r="AA84" s="95"/>
      <c r="AB84" s="86"/>
      <c r="AC84" s="95"/>
      <c r="AD84" s="86"/>
      <c r="AE84" s="95"/>
      <c r="AF84" s="86"/>
      <c r="AG84" s="95"/>
      <c r="AH84" s="86"/>
      <c r="AI84" s="95"/>
      <c r="AJ84" s="86"/>
      <c r="AK84" s="95"/>
      <c r="AL84" s="86"/>
      <c r="AM84" s="95"/>
      <c r="AN84" s="86"/>
      <c r="AO84" s="95"/>
      <c r="AP84" s="86"/>
      <c r="AQ84" s="95"/>
      <c r="AR84" s="86"/>
      <c r="AS84" s="95"/>
      <c r="AT84" s="86"/>
      <c r="AU84" s="95"/>
      <c r="AV84" s="86"/>
      <c r="AW84" s="95"/>
      <c r="AX84" s="86"/>
      <c r="AY84" s="95"/>
      <c r="AZ84" s="86"/>
      <c r="BA84" s="95"/>
      <c r="BB84" s="86"/>
      <c r="BC84" s="95"/>
      <c r="BD84" s="86"/>
      <c r="BE84" s="312"/>
    </row>
    <row r="85" spans="1:57" s="11" customFormat="1" ht="12.75" customHeight="1">
      <c r="A85" s="25"/>
      <c r="B85" s="87" t="str">
        <f>Parameters!Q84</f>
        <v>S</v>
      </c>
      <c r="C85" s="88"/>
      <c r="D85" s="498" t="str">
        <f>Parameters!S84</f>
        <v>Other service activities</v>
      </c>
      <c r="E85" s="499"/>
      <c r="F85" s="69"/>
      <c r="G85" s="95"/>
      <c r="H85" s="85"/>
      <c r="I85" s="95"/>
      <c r="J85" s="85"/>
      <c r="K85" s="95"/>
      <c r="L85" s="85"/>
      <c r="M85" s="95"/>
      <c r="N85" s="85"/>
      <c r="O85" s="95"/>
      <c r="P85" s="85"/>
      <c r="Q85" s="95"/>
      <c r="R85" s="85"/>
      <c r="S85" s="95"/>
      <c r="T85" s="85"/>
      <c r="U85" s="95"/>
      <c r="V85" s="85"/>
      <c r="W85" s="95"/>
      <c r="X85" s="85"/>
      <c r="Y85" s="95"/>
      <c r="Z85" s="85"/>
      <c r="AA85" s="95"/>
      <c r="AB85" s="85"/>
      <c r="AC85" s="95"/>
      <c r="AD85" s="85"/>
      <c r="AE85" s="95"/>
      <c r="AF85" s="85"/>
      <c r="AG85" s="95"/>
      <c r="AH85" s="85"/>
      <c r="AI85" s="95"/>
      <c r="AJ85" s="85"/>
      <c r="AK85" s="95"/>
      <c r="AL85" s="85"/>
      <c r="AM85" s="95"/>
      <c r="AN85" s="85"/>
      <c r="AO85" s="95"/>
      <c r="AP85" s="85"/>
      <c r="AQ85" s="95"/>
      <c r="AR85" s="85"/>
      <c r="AS85" s="95"/>
      <c r="AT85" s="85"/>
      <c r="AU85" s="95"/>
      <c r="AV85" s="85"/>
      <c r="AW85" s="95"/>
      <c r="AX85" s="85"/>
      <c r="AY85" s="95"/>
      <c r="AZ85" s="85"/>
      <c r="BA85" s="95"/>
      <c r="BB85" s="85"/>
      <c r="BC85" s="95"/>
      <c r="BD85" s="85"/>
      <c r="BE85" s="312"/>
    </row>
    <row r="86" spans="1:57" s="10" customFormat="1" ht="12.75" customHeight="1">
      <c r="A86" s="310"/>
      <c r="B86" s="308" t="str">
        <f>Parameters!Q85</f>
        <v>S94</v>
      </c>
      <c r="C86" s="309"/>
      <c r="D86" s="495" t="str">
        <f>Parameters!S85</f>
        <v>Activities of membership organisations</v>
      </c>
      <c r="E86" s="496"/>
      <c r="F86" s="70"/>
      <c r="G86" s="95"/>
      <c r="H86" s="86"/>
      <c r="I86" s="95"/>
      <c r="J86" s="86"/>
      <c r="K86" s="95"/>
      <c r="L86" s="86"/>
      <c r="M86" s="95"/>
      <c r="N86" s="86"/>
      <c r="O86" s="95"/>
      <c r="P86" s="86"/>
      <c r="Q86" s="95"/>
      <c r="R86" s="86"/>
      <c r="S86" s="95"/>
      <c r="T86" s="86"/>
      <c r="U86" s="95"/>
      <c r="V86" s="86"/>
      <c r="W86" s="95"/>
      <c r="X86" s="86"/>
      <c r="Y86" s="95"/>
      <c r="Z86" s="86"/>
      <c r="AA86" s="95"/>
      <c r="AB86" s="86"/>
      <c r="AC86" s="95"/>
      <c r="AD86" s="86"/>
      <c r="AE86" s="95"/>
      <c r="AF86" s="86"/>
      <c r="AG86" s="95"/>
      <c r="AH86" s="86"/>
      <c r="AI86" s="95"/>
      <c r="AJ86" s="86"/>
      <c r="AK86" s="95"/>
      <c r="AL86" s="86"/>
      <c r="AM86" s="95"/>
      <c r="AN86" s="86"/>
      <c r="AO86" s="95"/>
      <c r="AP86" s="86"/>
      <c r="AQ86" s="95"/>
      <c r="AR86" s="86"/>
      <c r="AS86" s="95"/>
      <c r="AT86" s="86"/>
      <c r="AU86" s="95"/>
      <c r="AV86" s="86"/>
      <c r="AW86" s="95"/>
      <c r="AX86" s="86"/>
      <c r="AY86" s="95"/>
      <c r="AZ86" s="86"/>
      <c r="BA86" s="95"/>
      <c r="BB86" s="86"/>
      <c r="BC86" s="95"/>
      <c r="BD86" s="86"/>
      <c r="BE86" s="312"/>
    </row>
    <row r="87" spans="1:57" s="10" customFormat="1" ht="12.75" customHeight="1">
      <c r="A87" s="310"/>
      <c r="B87" s="308" t="str">
        <f>Parameters!Q86</f>
        <v>S95</v>
      </c>
      <c r="C87" s="309"/>
      <c r="D87" s="495" t="str">
        <f>Parameters!S86</f>
        <v>Repair of computers and personal and household goods</v>
      </c>
      <c r="E87" s="497"/>
      <c r="F87" s="70"/>
      <c r="G87" s="95"/>
      <c r="H87" s="86"/>
      <c r="I87" s="95"/>
      <c r="J87" s="86"/>
      <c r="K87" s="95"/>
      <c r="L87" s="86"/>
      <c r="M87" s="95"/>
      <c r="N87" s="86"/>
      <c r="O87" s="95"/>
      <c r="P87" s="86"/>
      <c r="Q87" s="95"/>
      <c r="R87" s="86"/>
      <c r="S87" s="95"/>
      <c r="T87" s="86"/>
      <c r="U87" s="95"/>
      <c r="V87" s="86"/>
      <c r="W87" s="95"/>
      <c r="X87" s="86"/>
      <c r="Y87" s="95"/>
      <c r="Z87" s="86"/>
      <c r="AA87" s="95"/>
      <c r="AB87" s="86"/>
      <c r="AC87" s="95"/>
      <c r="AD87" s="86"/>
      <c r="AE87" s="95"/>
      <c r="AF87" s="86"/>
      <c r="AG87" s="95"/>
      <c r="AH87" s="86"/>
      <c r="AI87" s="95"/>
      <c r="AJ87" s="86"/>
      <c r="AK87" s="95"/>
      <c r="AL87" s="86"/>
      <c r="AM87" s="95"/>
      <c r="AN87" s="86"/>
      <c r="AO87" s="95"/>
      <c r="AP87" s="86"/>
      <c r="AQ87" s="95"/>
      <c r="AR87" s="86"/>
      <c r="AS87" s="95"/>
      <c r="AT87" s="86"/>
      <c r="AU87" s="95"/>
      <c r="AV87" s="86"/>
      <c r="AW87" s="95"/>
      <c r="AX87" s="86"/>
      <c r="AY87" s="95"/>
      <c r="AZ87" s="86"/>
      <c r="BA87" s="95"/>
      <c r="BB87" s="86"/>
      <c r="BC87" s="95"/>
      <c r="BD87" s="86"/>
      <c r="BE87" s="312"/>
    </row>
    <row r="88" spans="1:57" s="10" customFormat="1" ht="12.75" customHeight="1">
      <c r="A88" s="310"/>
      <c r="B88" s="308" t="str">
        <f>Parameters!Q87</f>
        <v>S96</v>
      </c>
      <c r="C88" s="309"/>
      <c r="D88" s="495" t="str">
        <f>Parameters!S87</f>
        <v>Other personal service activities</v>
      </c>
      <c r="E88" s="497"/>
      <c r="F88" s="70"/>
      <c r="G88" s="95"/>
      <c r="H88" s="86"/>
      <c r="I88" s="95"/>
      <c r="J88" s="86"/>
      <c r="K88" s="95"/>
      <c r="L88" s="86"/>
      <c r="M88" s="95"/>
      <c r="N88" s="86"/>
      <c r="O88" s="95"/>
      <c r="P88" s="86"/>
      <c r="Q88" s="95"/>
      <c r="R88" s="86"/>
      <c r="S88" s="95"/>
      <c r="T88" s="86"/>
      <c r="U88" s="95"/>
      <c r="V88" s="86"/>
      <c r="W88" s="95"/>
      <c r="X88" s="86"/>
      <c r="Y88" s="95"/>
      <c r="Z88" s="86"/>
      <c r="AA88" s="95"/>
      <c r="AB88" s="86"/>
      <c r="AC88" s="95"/>
      <c r="AD88" s="86"/>
      <c r="AE88" s="95"/>
      <c r="AF88" s="86"/>
      <c r="AG88" s="95"/>
      <c r="AH88" s="86"/>
      <c r="AI88" s="95"/>
      <c r="AJ88" s="86"/>
      <c r="AK88" s="95"/>
      <c r="AL88" s="86"/>
      <c r="AM88" s="95"/>
      <c r="AN88" s="86"/>
      <c r="AO88" s="95"/>
      <c r="AP88" s="86"/>
      <c r="AQ88" s="95"/>
      <c r="AR88" s="86"/>
      <c r="AS88" s="95"/>
      <c r="AT88" s="86"/>
      <c r="AU88" s="95"/>
      <c r="AV88" s="86"/>
      <c r="AW88" s="95"/>
      <c r="AX88" s="86"/>
      <c r="AY88" s="95"/>
      <c r="AZ88" s="86"/>
      <c r="BA88" s="95"/>
      <c r="BB88" s="86"/>
      <c r="BC88" s="95"/>
      <c r="BD88" s="86"/>
      <c r="BE88" s="312"/>
    </row>
    <row r="89" spans="1:57" s="10" customFormat="1" ht="30.75" customHeight="1">
      <c r="A89" s="25"/>
      <c r="B89" s="87" t="str">
        <f>Parameters!Q88</f>
        <v>T</v>
      </c>
      <c r="C89" s="88"/>
      <c r="D89" s="498" t="str">
        <f>Parameters!S88</f>
        <v>Activities of households as employers; undifferentiated goods- and services-producing activities of households for own use</v>
      </c>
      <c r="E89" s="499"/>
      <c r="F89" s="69"/>
      <c r="G89" s="95"/>
      <c r="H89" s="37"/>
      <c r="I89" s="95"/>
      <c r="J89" s="37"/>
      <c r="K89" s="95"/>
      <c r="L89" s="37"/>
      <c r="M89" s="95"/>
      <c r="N89" s="37"/>
      <c r="O89" s="95"/>
      <c r="P89" s="37"/>
      <c r="Q89" s="95"/>
      <c r="R89" s="37"/>
      <c r="S89" s="95"/>
      <c r="T89" s="37"/>
      <c r="U89" s="95"/>
      <c r="V89" s="37"/>
      <c r="W89" s="95"/>
      <c r="X89" s="37"/>
      <c r="Y89" s="95"/>
      <c r="Z89" s="37"/>
      <c r="AA89" s="95"/>
      <c r="AB89" s="37"/>
      <c r="AC89" s="95"/>
      <c r="AD89" s="37"/>
      <c r="AE89" s="95"/>
      <c r="AF89" s="37"/>
      <c r="AG89" s="95"/>
      <c r="AH89" s="37"/>
      <c r="AI89" s="95"/>
      <c r="AJ89" s="37"/>
      <c r="AK89" s="95"/>
      <c r="AL89" s="37"/>
      <c r="AM89" s="95"/>
      <c r="AN89" s="37"/>
      <c r="AO89" s="95"/>
      <c r="AP89" s="37"/>
      <c r="AQ89" s="95"/>
      <c r="AR89" s="37"/>
      <c r="AS89" s="95"/>
      <c r="AT89" s="37"/>
      <c r="AU89" s="95"/>
      <c r="AV89" s="85"/>
      <c r="AW89" s="95"/>
      <c r="AX89" s="85"/>
      <c r="AY89" s="95"/>
      <c r="AZ89" s="85"/>
      <c r="BA89" s="95"/>
      <c r="BB89" s="85"/>
      <c r="BC89" s="95"/>
      <c r="BD89" s="85"/>
      <c r="BE89" s="312"/>
    </row>
    <row r="90" spans="1:57" s="10" customFormat="1" ht="17.25" customHeight="1" thickBot="1">
      <c r="A90" s="25"/>
      <c r="B90" s="98" t="str">
        <f>Parameters!Q89</f>
        <v>U</v>
      </c>
      <c r="C90" s="14"/>
      <c r="D90" s="500" t="str">
        <f>Parameters!S89</f>
        <v>Activities of extraterritorial organisations and bodies</v>
      </c>
      <c r="E90" s="501"/>
      <c r="F90" s="69"/>
      <c r="G90" s="95"/>
      <c r="H90" s="85"/>
      <c r="I90" s="95"/>
      <c r="J90" s="85"/>
      <c r="K90" s="95"/>
      <c r="L90" s="85"/>
      <c r="M90" s="95"/>
      <c r="N90" s="85"/>
      <c r="O90" s="95"/>
      <c r="P90" s="85"/>
      <c r="Q90" s="95"/>
      <c r="R90" s="85"/>
      <c r="S90" s="95"/>
      <c r="T90" s="85"/>
      <c r="U90" s="95"/>
      <c r="V90" s="85"/>
      <c r="W90" s="95"/>
      <c r="X90" s="85"/>
      <c r="Y90" s="95"/>
      <c r="Z90" s="85"/>
      <c r="AA90" s="95"/>
      <c r="AB90" s="85"/>
      <c r="AC90" s="95"/>
      <c r="AD90" s="85"/>
      <c r="AE90" s="95"/>
      <c r="AF90" s="85"/>
      <c r="AG90" s="95"/>
      <c r="AH90" s="85"/>
      <c r="AI90" s="95"/>
      <c r="AJ90" s="85"/>
      <c r="AK90" s="95"/>
      <c r="AL90" s="85"/>
      <c r="AM90" s="95"/>
      <c r="AN90" s="85"/>
      <c r="AO90" s="95"/>
      <c r="AP90" s="85"/>
      <c r="AQ90" s="95"/>
      <c r="AR90" s="85"/>
      <c r="AS90" s="95"/>
      <c r="AT90" s="85"/>
      <c r="AU90" s="95"/>
      <c r="AV90" s="85"/>
      <c r="AW90" s="95"/>
      <c r="AX90" s="85"/>
      <c r="AY90" s="95"/>
      <c r="AZ90" s="85"/>
      <c r="BA90" s="95"/>
      <c r="BB90" s="85"/>
      <c r="BC90" s="95"/>
      <c r="BD90" s="85"/>
      <c r="BE90" s="312"/>
    </row>
    <row r="91" spans="1:57" ht="45" customHeight="1">
      <c r="A91" s="66"/>
      <c r="B91" s="492" t="s">
        <v>571</v>
      </c>
      <c r="C91" s="502"/>
      <c r="D91" s="502"/>
      <c r="E91" s="503"/>
      <c r="F91" s="73"/>
      <c r="G91" s="302"/>
      <c r="H91" s="38"/>
      <c r="I91" s="302"/>
      <c r="J91" s="38"/>
      <c r="K91" s="303"/>
      <c r="L91" s="38"/>
      <c r="M91" s="303"/>
      <c r="N91" s="38"/>
      <c r="O91" s="303"/>
      <c r="P91" s="38"/>
      <c r="Q91" s="303"/>
      <c r="R91" s="38"/>
      <c r="S91" s="303"/>
      <c r="T91" s="38"/>
      <c r="U91" s="302"/>
      <c r="V91" s="38"/>
      <c r="W91" s="302"/>
      <c r="X91" s="38"/>
      <c r="Y91" s="302"/>
      <c r="Z91" s="38"/>
      <c r="AA91" s="302"/>
      <c r="AB91" s="38"/>
      <c r="AC91" s="302"/>
      <c r="AD91" s="38"/>
      <c r="AE91" s="302"/>
      <c r="AF91" s="38"/>
      <c r="AG91" s="302"/>
      <c r="AH91" s="38"/>
      <c r="AI91" s="302"/>
      <c r="AJ91" s="38"/>
      <c r="AK91" s="302"/>
      <c r="AL91" s="38"/>
      <c r="AM91" s="302"/>
      <c r="AN91" s="38"/>
      <c r="AO91" s="302"/>
      <c r="AP91" s="38"/>
      <c r="AQ91" s="302"/>
      <c r="AR91" s="38"/>
      <c r="AS91" s="302"/>
      <c r="AT91" s="38"/>
      <c r="AU91" s="302"/>
      <c r="AV91" s="41"/>
      <c r="AW91" s="302"/>
      <c r="AX91" s="41"/>
      <c r="AY91" s="302"/>
      <c r="AZ91" s="41"/>
      <c r="BA91" s="302"/>
      <c r="BB91" s="41"/>
      <c r="BC91" s="302"/>
      <c r="BD91" s="41"/>
      <c r="BE91" s="313"/>
    </row>
    <row r="92" spans="1:57">
      <c r="A92" s="66"/>
      <c r="B92" s="3"/>
      <c r="C92" s="99"/>
      <c r="D92" s="488" t="s">
        <v>572</v>
      </c>
      <c r="E92" s="489"/>
      <c r="F92" s="74"/>
      <c r="G92" s="95"/>
      <c r="H92" s="39"/>
      <c r="I92" s="95"/>
      <c r="J92" s="39"/>
      <c r="K92" s="95"/>
      <c r="L92" s="39"/>
      <c r="M92" s="95"/>
      <c r="N92" s="39"/>
      <c r="O92" s="95"/>
      <c r="P92" s="39"/>
      <c r="Q92" s="95"/>
      <c r="R92" s="39"/>
      <c r="S92" s="95"/>
      <c r="T92" s="39"/>
      <c r="U92" s="95"/>
      <c r="V92" s="39"/>
      <c r="W92" s="95"/>
      <c r="X92" s="39"/>
      <c r="Y92" s="95"/>
      <c r="Z92" s="39"/>
      <c r="AA92" s="95"/>
      <c r="AB92" s="39"/>
      <c r="AC92" s="95"/>
      <c r="AD92" s="39"/>
      <c r="AE92" s="95"/>
      <c r="AF92" s="39"/>
      <c r="AG92" s="95"/>
      <c r="AH92" s="39"/>
      <c r="AI92" s="95"/>
      <c r="AJ92" s="39"/>
      <c r="AK92" s="95"/>
      <c r="AL92" s="39"/>
      <c r="AM92" s="95"/>
      <c r="AN92" s="39"/>
      <c r="AO92" s="95"/>
      <c r="AP92" s="39"/>
      <c r="AQ92" s="95"/>
      <c r="AR92" s="39"/>
      <c r="AS92" s="95"/>
      <c r="AT92" s="39"/>
      <c r="AU92" s="95"/>
      <c r="AV92" s="100"/>
      <c r="AW92" s="95"/>
      <c r="AX92" s="100"/>
      <c r="AY92" s="95"/>
      <c r="AZ92" s="100"/>
      <c r="BA92" s="95"/>
      <c r="BB92" s="100"/>
      <c r="BC92" s="95"/>
      <c r="BD92" s="100"/>
      <c r="BE92" s="312"/>
    </row>
    <row r="93" spans="1:57">
      <c r="A93" s="314"/>
      <c r="B93" s="3"/>
      <c r="C93" s="99"/>
      <c r="D93" s="488" t="s">
        <v>573</v>
      </c>
      <c r="E93" s="489"/>
      <c r="F93" s="74"/>
      <c r="G93" s="95"/>
      <c r="H93" s="39"/>
      <c r="I93" s="95"/>
      <c r="J93" s="39"/>
      <c r="K93" s="95"/>
      <c r="L93" s="39"/>
      <c r="M93" s="95"/>
      <c r="N93" s="39"/>
      <c r="O93" s="95"/>
      <c r="P93" s="39"/>
      <c r="Q93" s="95"/>
      <c r="R93" s="39"/>
      <c r="S93" s="95"/>
      <c r="T93" s="39"/>
      <c r="U93" s="95"/>
      <c r="V93" s="39"/>
      <c r="W93" s="95"/>
      <c r="X93" s="39"/>
      <c r="Y93" s="95"/>
      <c r="Z93" s="39"/>
      <c r="AA93" s="95"/>
      <c r="AB93" s="39"/>
      <c r="AC93" s="95"/>
      <c r="AD93" s="39"/>
      <c r="AE93" s="95"/>
      <c r="AF93" s="39"/>
      <c r="AG93" s="95"/>
      <c r="AH93" s="39"/>
      <c r="AI93" s="95"/>
      <c r="AJ93" s="39"/>
      <c r="AK93" s="95"/>
      <c r="AL93" s="39"/>
      <c r="AM93" s="95"/>
      <c r="AN93" s="39"/>
      <c r="AO93" s="95"/>
      <c r="AP93" s="39"/>
      <c r="AQ93" s="95"/>
      <c r="AR93" s="39"/>
      <c r="AS93" s="95"/>
      <c r="AT93" s="39"/>
      <c r="AU93" s="95"/>
      <c r="AV93" s="100"/>
      <c r="AW93" s="95"/>
      <c r="AX93" s="100"/>
      <c r="AY93" s="95"/>
      <c r="AZ93" s="100"/>
      <c r="BA93" s="95"/>
      <c r="BB93" s="100"/>
      <c r="BC93" s="95"/>
      <c r="BD93" s="100"/>
      <c r="BE93" s="312"/>
    </row>
    <row r="94" spans="1:57" ht="15" customHeight="1" thickBot="1">
      <c r="A94" s="314"/>
      <c r="B94" s="4"/>
      <c r="C94" s="2"/>
      <c r="D94" s="490" t="s">
        <v>574</v>
      </c>
      <c r="E94" s="491"/>
      <c r="F94" s="75"/>
      <c r="G94" s="315"/>
      <c r="H94" s="40"/>
      <c r="I94" s="315"/>
      <c r="J94" s="40"/>
      <c r="K94" s="315"/>
      <c r="L94" s="40"/>
      <c r="M94" s="315"/>
      <c r="N94" s="40"/>
      <c r="O94" s="315"/>
      <c r="P94" s="40"/>
      <c r="Q94" s="315"/>
      <c r="R94" s="40"/>
      <c r="S94" s="315"/>
      <c r="T94" s="40"/>
      <c r="U94" s="315"/>
      <c r="V94" s="40"/>
      <c r="W94" s="315"/>
      <c r="X94" s="40"/>
      <c r="Y94" s="315"/>
      <c r="Z94" s="40"/>
      <c r="AA94" s="315"/>
      <c r="AB94" s="40"/>
      <c r="AC94" s="315"/>
      <c r="AD94" s="40"/>
      <c r="AE94" s="315"/>
      <c r="AF94" s="40"/>
      <c r="AG94" s="315"/>
      <c r="AH94" s="40"/>
      <c r="AI94" s="315"/>
      <c r="AJ94" s="40"/>
      <c r="AK94" s="315"/>
      <c r="AL94" s="40"/>
      <c r="AM94" s="315"/>
      <c r="AN94" s="40"/>
      <c r="AO94" s="315"/>
      <c r="AP94" s="40"/>
      <c r="AQ94" s="315"/>
      <c r="AR94" s="40"/>
      <c r="AS94" s="315"/>
      <c r="AT94" s="40"/>
      <c r="AU94" s="315"/>
      <c r="AV94" s="42"/>
      <c r="AW94" s="315"/>
      <c r="AX94" s="42"/>
      <c r="AY94" s="315"/>
      <c r="AZ94" s="42"/>
      <c r="BA94" s="315"/>
      <c r="BB94" s="42"/>
      <c r="BC94" s="315"/>
      <c r="BD94" s="42"/>
      <c r="BE94" s="316"/>
    </row>
    <row r="95" spans="1:57" ht="55.5" customHeight="1">
      <c r="A95" s="314"/>
      <c r="B95" s="492" t="s">
        <v>575</v>
      </c>
      <c r="C95" s="493"/>
      <c r="D95" s="493"/>
      <c r="E95" s="494"/>
      <c r="F95" s="74"/>
      <c r="G95" s="95"/>
      <c r="H95" s="39"/>
      <c r="I95" s="95"/>
      <c r="J95" s="39"/>
      <c r="K95" s="84"/>
      <c r="L95" s="39"/>
      <c r="M95" s="84"/>
      <c r="N95" s="39"/>
      <c r="O95" s="84"/>
      <c r="P95" s="39"/>
      <c r="Q95" s="84"/>
      <c r="R95" s="39"/>
      <c r="S95" s="84"/>
      <c r="T95" s="39"/>
      <c r="U95" s="95"/>
      <c r="V95" s="39"/>
      <c r="W95" s="95"/>
      <c r="X95" s="39"/>
      <c r="Y95" s="95"/>
      <c r="Z95" s="39"/>
      <c r="AA95" s="95"/>
      <c r="AB95" s="39"/>
      <c r="AC95" s="95"/>
      <c r="AD95" s="39"/>
      <c r="AE95" s="95"/>
      <c r="AF95" s="39"/>
      <c r="AG95" s="95"/>
      <c r="AH95" s="39"/>
      <c r="AI95" s="95"/>
      <c r="AJ95" s="39"/>
      <c r="AK95" s="95"/>
      <c r="AL95" s="39"/>
      <c r="AM95" s="95"/>
      <c r="AN95" s="39"/>
      <c r="AO95" s="95"/>
      <c r="AP95" s="39"/>
      <c r="AQ95" s="95"/>
      <c r="AR95" s="39"/>
      <c r="AS95" s="95"/>
      <c r="AT95" s="39"/>
      <c r="AU95" s="95"/>
      <c r="AV95" s="100"/>
      <c r="AW95" s="95"/>
      <c r="AX95" s="100"/>
      <c r="AY95" s="95"/>
      <c r="AZ95" s="100"/>
      <c r="BA95" s="95"/>
      <c r="BB95" s="100"/>
      <c r="BC95" s="95"/>
      <c r="BD95" s="100"/>
      <c r="BE95" s="312"/>
    </row>
    <row r="96" spans="1:57" ht="17.25" customHeight="1">
      <c r="A96" s="317"/>
      <c r="B96" s="5"/>
      <c r="C96" s="101"/>
      <c r="D96" s="482" t="s">
        <v>576</v>
      </c>
      <c r="E96" s="483"/>
      <c r="F96" s="74"/>
      <c r="G96" s="95"/>
      <c r="H96" s="39"/>
      <c r="I96" s="95"/>
      <c r="J96" s="39"/>
      <c r="K96" s="95"/>
      <c r="L96" s="39"/>
      <c r="M96" s="95"/>
      <c r="N96" s="39"/>
      <c r="O96" s="95"/>
      <c r="P96" s="39"/>
      <c r="Q96" s="95"/>
      <c r="R96" s="39"/>
      <c r="S96" s="95"/>
      <c r="T96" s="39"/>
      <c r="U96" s="95"/>
      <c r="V96" s="39"/>
      <c r="W96" s="95"/>
      <c r="X96" s="39"/>
      <c r="Y96" s="95"/>
      <c r="Z96" s="39"/>
      <c r="AA96" s="95"/>
      <c r="AB96" s="39"/>
      <c r="AC96" s="95"/>
      <c r="AD96" s="39"/>
      <c r="AE96" s="95"/>
      <c r="AF96" s="39"/>
      <c r="AG96" s="95"/>
      <c r="AH96" s="39"/>
      <c r="AI96" s="95"/>
      <c r="AJ96" s="39"/>
      <c r="AK96" s="95"/>
      <c r="AL96" s="39"/>
      <c r="AM96" s="95"/>
      <c r="AN96" s="39"/>
      <c r="AO96" s="95"/>
      <c r="AP96" s="39"/>
      <c r="AQ96" s="95"/>
      <c r="AR96" s="39"/>
      <c r="AS96" s="95"/>
      <c r="AT96" s="39"/>
      <c r="AU96" s="95"/>
      <c r="AV96" s="100"/>
      <c r="AW96" s="95"/>
      <c r="AX96" s="100"/>
      <c r="AY96" s="95"/>
      <c r="AZ96" s="100"/>
      <c r="BA96" s="95"/>
      <c r="BB96" s="100"/>
      <c r="BC96" s="95"/>
      <c r="BD96" s="100"/>
      <c r="BE96" s="312"/>
    </row>
    <row r="97" spans="1:57" ht="12.75" customHeight="1">
      <c r="A97" s="317"/>
      <c r="B97" s="6"/>
      <c r="C97" s="102"/>
      <c r="D97" s="480" t="s">
        <v>577</v>
      </c>
      <c r="E97" s="481"/>
      <c r="F97" s="70"/>
      <c r="G97" s="95"/>
      <c r="H97" s="20"/>
      <c r="I97" s="95"/>
      <c r="J97" s="20"/>
      <c r="K97" s="95"/>
      <c r="L97" s="20"/>
      <c r="M97" s="95"/>
      <c r="N97" s="20"/>
      <c r="O97" s="95"/>
      <c r="P97" s="20"/>
      <c r="Q97" s="95"/>
      <c r="R97" s="20"/>
      <c r="S97" s="95"/>
      <c r="T97" s="20"/>
      <c r="U97" s="95"/>
      <c r="V97" s="20"/>
      <c r="W97" s="95"/>
      <c r="X97" s="20"/>
      <c r="Y97" s="95"/>
      <c r="Z97" s="20"/>
      <c r="AA97" s="95"/>
      <c r="AB97" s="20"/>
      <c r="AC97" s="95"/>
      <c r="AD97" s="20"/>
      <c r="AE97" s="95"/>
      <c r="AF97" s="20"/>
      <c r="AG97" s="95"/>
      <c r="AH97" s="20"/>
      <c r="AI97" s="95"/>
      <c r="AJ97" s="20"/>
      <c r="AK97" s="95"/>
      <c r="AL97" s="20"/>
      <c r="AM97" s="95"/>
      <c r="AN97" s="20"/>
      <c r="AO97" s="95"/>
      <c r="AP97" s="20"/>
      <c r="AQ97" s="95"/>
      <c r="AR97" s="20"/>
      <c r="AS97" s="95"/>
      <c r="AT97" s="20"/>
      <c r="AU97" s="95"/>
      <c r="AV97" s="86"/>
      <c r="AW97" s="95"/>
      <c r="AX97" s="86"/>
      <c r="AY97" s="95"/>
      <c r="AZ97" s="86"/>
      <c r="BA97" s="95"/>
      <c r="BB97" s="86"/>
      <c r="BC97" s="95"/>
      <c r="BD97" s="86"/>
      <c r="BE97" s="312"/>
    </row>
    <row r="98" spans="1:57" ht="12.75" customHeight="1">
      <c r="A98" s="317"/>
      <c r="B98" s="6"/>
      <c r="C98" s="102"/>
      <c r="D98" s="480" t="s">
        <v>578</v>
      </c>
      <c r="E98" s="481"/>
      <c r="F98" s="70"/>
      <c r="G98" s="95"/>
      <c r="H98" s="20"/>
      <c r="I98" s="95"/>
      <c r="J98" s="20"/>
      <c r="K98" s="95"/>
      <c r="L98" s="20"/>
      <c r="M98" s="95"/>
      <c r="N98" s="20"/>
      <c r="O98" s="95"/>
      <c r="P98" s="20"/>
      <c r="Q98" s="95"/>
      <c r="R98" s="20"/>
      <c r="S98" s="95"/>
      <c r="T98" s="20"/>
      <c r="U98" s="95"/>
      <c r="V98" s="20"/>
      <c r="W98" s="95"/>
      <c r="X98" s="20"/>
      <c r="Y98" s="95"/>
      <c r="Z98" s="20"/>
      <c r="AA98" s="95"/>
      <c r="AB98" s="20"/>
      <c r="AC98" s="95"/>
      <c r="AD98" s="20"/>
      <c r="AE98" s="95"/>
      <c r="AF98" s="20"/>
      <c r="AG98" s="95"/>
      <c r="AH98" s="20"/>
      <c r="AI98" s="95"/>
      <c r="AJ98" s="20"/>
      <c r="AK98" s="95"/>
      <c r="AL98" s="20"/>
      <c r="AM98" s="95"/>
      <c r="AN98" s="20"/>
      <c r="AO98" s="95"/>
      <c r="AP98" s="20"/>
      <c r="AQ98" s="95"/>
      <c r="AR98" s="20"/>
      <c r="AS98" s="95"/>
      <c r="AT98" s="20"/>
      <c r="AU98" s="95"/>
      <c r="AV98" s="86"/>
      <c r="AW98" s="95"/>
      <c r="AX98" s="86"/>
      <c r="AY98" s="95"/>
      <c r="AZ98" s="86"/>
      <c r="BA98" s="95"/>
      <c r="BB98" s="86"/>
      <c r="BC98" s="95"/>
      <c r="BD98" s="86"/>
      <c r="BE98" s="312"/>
    </row>
    <row r="99" spans="1:57" ht="12.75" customHeight="1">
      <c r="A99" s="317"/>
      <c r="B99" s="6"/>
      <c r="C99" s="102"/>
      <c r="D99" s="480" t="s">
        <v>579</v>
      </c>
      <c r="E99" s="481"/>
      <c r="F99" s="70"/>
      <c r="G99" s="95"/>
      <c r="H99" s="20"/>
      <c r="I99" s="95"/>
      <c r="J99" s="20"/>
      <c r="K99" s="95"/>
      <c r="L99" s="20"/>
      <c r="M99" s="95"/>
      <c r="N99" s="20"/>
      <c r="O99" s="95"/>
      <c r="P99" s="20"/>
      <c r="Q99" s="95"/>
      <c r="R99" s="20"/>
      <c r="S99" s="95"/>
      <c r="T99" s="20"/>
      <c r="U99" s="95"/>
      <c r="V99" s="20"/>
      <c r="W99" s="95"/>
      <c r="X99" s="20"/>
      <c r="Y99" s="95"/>
      <c r="Z99" s="20"/>
      <c r="AA99" s="95"/>
      <c r="AB99" s="20"/>
      <c r="AC99" s="95"/>
      <c r="AD99" s="20"/>
      <c r="AE99" s="95"/>
      <c r="AF99" s="20"/>
      <c r="AG99" s="95"/>
      <c r="AH99" s="20"/>
      <c r="AI99" s="95"/>
      <c r="AJ99" s="20"/>
      <c r="AK99" s="95"/>
      <c r="AL99" s="20"/>
      <c r="AM99" s="95"/>
      <c r="AN99" s="20"/>
      <c r="AO99" s="95"/>
      <c r="AP99" s="20"/>
      <c r="AQ99" s="95"/>
      <c r="AR99" s="20"/>
      <c r="AS99" s="95"/>
      <c r="AT99" s="20"/>
      <c r="AU99" s="95"/>
      <c r="AV99" s="86"/>
      <c r="AW99" s="95"/>
      <c r="AX99" s="86"/>
      <c r="AY99" s="95"/>
      <c r="AZ99" s="86"/>
      <c r="BA99" s="95"/>
      <c r="BB99" s="86"/>
      <c r="BC99" s="95"/>
      <c r="BD99" s="86"/>
      <c r="BE99" s="312"/>
    </row>
    <row r="100" spans="1:57" ht="12.75" customHeight="1">
      <c r="A100" s="317"/>
      <c r="B100" s="6"/>
      <c r="C100" s="102"/>
      <c r="D100" s="480" t="s">
        <v>580</v>
      </c>
      <c r="E100" s="481"/>
      <c r="F100" s="70"/>
      <c r="G100" s="95"/>
      <c r="H100" s="20"/>
      <c r="I100" s="95"/>
      <c r="J100" s="20"/>
      <c r="K100" s="95"/>
      <c r="L100" s="20"/>
      <c r="M100" s="95"/>
      <c r="N100" s="20"/>
      <c r="O100" s="95"/>
      <c r="P100" s="20"/>
      <c r="Q100" s="95"/>
      <c r="R100" s="20"/>
      <c r="S100" s="95"/>
      <c r="T100" s="20"/>
      <c r="U100" s="95"/>
      <c r="V100" s="20"/>
      <c r="W100" s="95"/>
      <c r="X100" s="20"/>
      <c r="Y100" s="95"/>
      <c r="Z100" s="20"/>
      <c r="AA100" s="95"/>
      <c r="AB100" s="20"/>
      <c r="AC100" s="95"/>
      <c r="AD100" s="20"/>
      <c r="AE100" s="95"/>
      <c r="AF100" s="20"/>
      <c r="AG100" s="95"/>
      <c r="AH100" s="20"/>
      <c r="AI100" s="95"/>
      <c r="AJ100" s="20"/>
      <c r="AK100" s="95"/>
      <c r="AL100" s="20"/>
      <c r="AM100" s="95"/>
      <c r="AN100" s="20"/>
      <c r="AO100" s="95"/>
      <c r="AP100" s="20"/>
      <c r="AQ100" s="95"/>
      <c r="AR100" s="20"/>
      <c r="AS100" s="95"/>
      <c r="AT100" s="20"/>
      <c r="AU100" s="95"/>
      <c r="AV100" s="86"/>
      <c r="AW100" s="95"/>
      <c r="AX100" s="86"/>
      <c r="AY100" s="95"/>
      <c r="AZ100" s="86"/>
      <c r="BA100" s="95"/>
      <c r="BB100" s="86"/>
      <c r="BC100" s="95"/>
      <c r="BD100" s="86"/>
      <c r="BE100" s="312"/>
    </row>
    <row r="101" spans="1:57" ht="19.5" customHeight="1">
      <c r="A101" s="317"/>
      <c r="B101" s="5"/>
      <c r="C101" s="101"/>
      <c r="D101" s="482" t="s">
        <v>581</v>
      </c>
      <c r="E101" s="483"/>
      <c r="F101" s="74"/>
      <c r="G101" s="95"/>
      <c r="H101" s="39"/>
      <c r="I101" s="95"/>
      <c r="J101" s="39"/>
      <c r="K101" s="95"/>
      <c r="L101" s="39"/>
      <c r="M101" s="95"/>
      <c r="N101" s="39"/>
      <c r="O101" s="95"/>
      <c r="P101" s="39"/>
      <c r="Q101" s="95"/>
      <c r="R101" s="39"/>
      <c r="S101" s="95"/>
      <c r="T101" s="39"/>
      <c r="U101" s="95"/>
      <c r="V101" s="39"/>
      <c r="W101" s="95"/>
      <c r="X101" s="39"/>
      <c r="Y101" s="95"/>
      <c r="Z101" s="39"/>
      <c r="AA101" s="95"/>
      <c r="AB101" s="39"/>
      <c r="AC101" s="95"/>
      <c r="AD101" s="39"/>
      <c r="AE101" s="95"/>
      <c r="AF101" s="39"/>
      <c r="AG101" s="95"/>
      <c r="AH101" s="39"/>
      <c r="AI101" s="95"/>
      <c r="AJ101" s="39"/>
      <c r="AK101" s="95"/>
      <c r="AL101" s="39"/>
      <c r="AM101" s="95"/>
      <c r="AN101" s="39"/>
      <c r="AO101" s="95"/>
      <c r="AP101" s="39"/>
      <c r="AQ101" s="95"/>
      <c r="AR101" s="39"/>
      <c r="AS101" s="95"/>
      <c r="AT101" s="39"/>
      <c r="AU101" s="95"/>
      <c r="AV101" s="100"/>
      <c r="AW101" s="95"/>
      <c r="AX101" s="100"/>
      <c r="AY101" s="95"/>
      <c r="AZ101" s="100"/>
      <c r="BA101" s="95"/>
      <c r="BB101" s="100"/>
      <c r="BC101" s="95"/>
      <c r="BD101" s="100"/>
      <c r="BE101" s="312"/>
    </row>
    <row r="102" spans="1:57" ht="12.75" customHeight="1">
      <c r="A102" s="317"/>
      <c r="B102" s="6"/>
      <c r="C102" s="102"/>
      <c r="D102" s="480" t="s">
        <v>582</v>
      </c>
      <c r="E102" s="481"/>
      <c r="F102" s="70"/>
      <c r="G102" s="95"/>
      <c r="H102" s="20"/>
      <c r="I102" s="95"/>
      <c r="J102" s="20"/>
      <c r="K102" s="95"/>
      <c r="L102" s="20"/>
      <c r="M102" s="95"/>
      <c r="N102" s="20"/>
      <c r="O102" s="95"/>
      <c r="P102" s="20"/>
      <c r="Q102" s="95"/>
      <c r="R102" s="20"/>
      <c r="S102" s="95"/>
      <c r="T102" s="20"/>
      <c r="U102" s="95"/>
      <c r="V102" s="20"/>
      <c r="W102" s="95"/>
      <c r="X102" s="20"/>
      <c r="Y102" s="95"/>
      <c r="Z102" s="20"/>
      <c r="AA102" s="95"/>
      <c r="AB102" s="20"/>
      <c r="AC102" s="95"/>
      <c r="AD102" s="20"/>
      <c r="AE102" s="95"/>
      <c r="AF102" s="20"/>
      <c r="AG102" s="95"/>
      <c r="AH102" s="20"/>
      <c r="AI102" s="95"/>
      <c r="AJ102" s="20"/>
      <c r="AK102" s="95"/>
      <c r="AL102" s="20"/>
      <c r="AM102" s="95"/>
      <c r="AN102" s="20"/>
      <c r="AO102" s="95"/>
      <c r="AP102" s="20"/>
      <c r="AQ102" s="95"/>
      <c r="AR102" s="20"/>
      <c r="AS102" s="95"/>
      <c r="AT102" s="20"/>
      <c r="AU102" s="95"/>
      <c r="AV102" s="86"/>
      <c r="AW102" s="95"/>
      <c r="AX102" s="86"/>
      <c r="AY102" s="95"/>
      <c r="AZ102" s="86"/>
      <c r="BA102" s="95"/>
      <c r="BB102" s="86"/>
      <c r="BC102" s="95"/>
      <c r="BD102" s="86"/>
      <c r="BE102" s="312"/>
    </row>
    <row r="103" spans="1:57" ht="12.75" customHeight="1">
      <c r="A103" s="317"/>
      <c r="B103" s="6"/>
      <c r="C103" s="102"/>
      <c r="D103" s="480" t="s">
        <v>583</v>
      </c>
      <c r="E103" s="481"/>
      <c r="F103" s="70"/>
      <c r="G103" s="95"/>
      <c r="H103" s="20"/>
      <c r="I103" s="95"/>
      <c r="J103" s="20"/>
      <c r="K103" s="95"/>
      <c r="L103" s="20"/>
      <c r="M103" s="95"/>
      <c r="N103" s="20"/>
      <c r="O103" s="95"/>
      <c r="P103" s="20"/>
      <c r="Q103" s="95"/>
      <c r="R103" s="20"/>
      <c r="S103" s="95"/>
      <c r="T103" s="20"/>
      <c r="U103" s="95"/>
      <c r="V103" s="20"/>
      <c r="W103" s="95"/>
      <c r="X103" s="20"/>
      <c r="Y103" s="95"/>
      <c r="Z103" s="20"/>
      <c r="AA103" s="95"/>
      <c r="AB103" s="20"/>
      <c r="AC103" s="95"/>
      <c r="AD103" s="20"/>
      <c r="AE103" s="95"/>
      <c r="AF103" s="20"/>
      <c r="AG103" s="95"/>
      <c r="AH103" s="20"/>
      <c r="AI103" s="95"/>
      <c r="AJ103" s="20"/>
      <c r="AK103" s="95"/>
      <c r="AL103" s="20"/>
      <c r="AM103" s="95"/>
      <c r="AN103" s="20"/>
      <c r="AO103" s="95"/>
      <c r="AP103" s="20"/>
      <c r="AQ103" s="95"/>
      <c r="AR103" s="20"/>
      <c r="AS103" s="95"/>
      <c r="AT103" s="20"/>
      <c r="AU103" s="95"/>
      <c r="AV103" s="86"/>
      <c r="AW103" s="95"/>
      <c r="AX103" s="86"/>
      <c r="AY103" s="95"/>
      <c r="AZ103" s="86"/>
      <c r="BA103" s="95"/>
      <c r="BB103" s="86"/>
      <c r="BC103" s="95"/>
      <c r="BD103" s="86"/>
      <c r="BE103" s="312"/>
    </row>
    <row r="104" spans="1:57" ht="12.75" customHeight="1">
      <c r="A104" s="317"/>
      <c r="B104" s="6"/>
      <c r="C104" s="102"/>
      <c r="D104" s="480" t="s">
        <v>584</v>
      </c>
      <c r="E104" s="481"/>
      <c r="F104" s="70"/>
      <c r="G104" s="95"/>
      <c r="H104" s="20"/>
      <c r="I104" s="95"/>
      <c r="J104" s="20"/>
      <c r="K104" s="95"/>
      <c r="L104" s="20"/>
      <c r="M104" s="95"/>
      <c r="N104" s="20"/>
      <c r="O104" s="95"/>
      <c r="P104" s="20"/>
      <c r="Q104" s="95"/>
      <c r="R104" s="20"/>
      <c r="S104" s="95"/>
      <c r="T104" s="20"/>
      <c r="U104" s="95"/>
      <c r="V104" s="20"/>
      <c r="W104" s="95"/>
      <c r="X104" s="20"/>
      <c r="Y104" s="95"/>
      <c r="Z104" s="20"/>
      <c r="AA104" s="95"/>
      <c r="AB104" s="20"/>
      <c r="AC104" s="95"/>
      <c r="AD104" s="20"/>
      <c r="AE104" s="95"/>
      <c r="AF104" s="20"/>
      <c r="AG104" s="95"/>
      <c r="AH104" s="20"/>
      <c r="AI104" s="95"/>
      <c r="AJ104" s="20"/>
      <c r="AK104" s="95"/>
      <c r="AL104" s="20"/>
      <c r="AM104" s="95"/>
      <c r="AN104" s="20"/>
      <c r="AO104" s="95"/>
      <c r="AP104" s="20"/>
      <c r="AQ104" s="95"/>
      <c r="AR104" s="20"/>
      <c r="AS104" s="95"/>
      <c r="AT104" s="20"/>
      <c r="AU104" s="95"/>
      <c r="AV104" s="86"/>
      <c r="AW104" s="95"/>
      <c r="AX104" s="86"/>
      <c r="AY104" s="95"/>
      <c r="AZ104" s="86"/>
      <c r="BA104" s="95"/>
      <c r="BB104" s="86"/>
      <c r="BC104" s="95"/>
      <c r="BD104" s="86"/>
      <c r="BE104" s="312"/>
    </row>
    <row r="105" spans="1:57" ht="17.25" customHeight="1">
      <c r="A105" s="317"/>
      <c r="B105" s="5"/>
      <c r="C105" s="101"/>
      <c r="D105" s="482" t="s">
        <v>585</v>
      </c>
      <c r="E105" s="483"/>
      <c r="F105" s="74"/>
      <c r="G105" s="95"/>
      <c r="H105" s="39"/>
      <c r="I105" s="95"/>
      <c r="J105" s="39"/>
      <c r="K105" s="95"/>
      <c r="L105" s="39"/>
      <c r="M105" s="95"/>
      <c r="N105" s="39"/>
      <c r="O105" s="95"/>
      <c r="P105" s="39"/>
      <c r="Q105" s="95"/>
      <c r="R105" s="39"/>
      <c r="S105" s="95"/>
      <c r="T105" s="39"/>
      <c r="U105" s="95"/>
      <c r="V105" s="39"/>
      <c r="W105" s="95"/>
      <c r="X105" s="39"/>
      <c r="Y105" s="95"/>
      <c r="Z105" s="39"/>
      <c r="AA105" s="95"/>
      <c r="AB105" s="39"/>
      <c r="AC105" s="95"/>
      <c r="AD105" s="39"/>
      <c r="AE105" s="95"/>
      <c r="AF105" s="39"/>
      <c r="AG105" s="95"/>
      <c r="AH105" s="39"/>
      <c r="AI105" s="95"/>
      <c r="AJ105" s="39"/>
      <c r="AK105" s="95"/>
      <c r="AL105" s="39"/>
      <c r="AM105" s="95"/>
      <c r="AN105" s="39"/>
      <c r="AO105" s="95"/>
      <c r="AP105" s="39"/>
      <c r="AQ105" s="95"/>
      <c r="AR105" s="39"/>
      <c r="AS105" s="95"/>
      <c r="AT105" s="39"/>
      <c r="AU105" s="95"/>
      <c r="AV105" s="100"/>
      <c r="AW105" s="95"/>
      <c r="AX105" s="100"/>
      <c r="AY105" s="95"/>
      <c r="AZ105" s="100"/>
      <c r="BA105" s="95"/>
      <c r="BB105" s="100"/>
      <c r="BC105" s="95"/>
      <c r="BD105" s="100"/>
      <c r="BE105" s="312"/>
    </row>
    <row r="106" spans="1:57" ht="32.25" customHeight="1">
      <c r="A106" s="317"/>
      <c r="B106" s="5"/>
      <c r="C106" s="101"/>
      <c r="D106" s="484" t="s">
        <v>586</v>
      </c>
      <c r="E106" s="485"/>
      <c r="F106" s="74"/>
      <c r="G106" s="95"/>
      <c r="H106" s="39"/>
      <c r="I106" s="95"/>
      <c r="J106" s="39"/>
      <c r="K106" s="95"/>
      <c r="L106" s="39"/>
      <c r="M106" s="95"/>
      <c r="N106" s="39"/>
      <c r="O106" s="95"/>
      <c r="P106" s="39"/>
      <c r="Q106" s="95"/>
      <c r="R106" s="39"/>
      <c r="S106" s="95"/>
      <c r="T106" s="39"/>
      <c r="U106" s="95"/>
      <c r="V106" s="39"/>
      <c r="W106" s="95"/>
      <c r="X106" s="39"/>
      <c r="Y106" s="95"/>
      <c r="Z106" s="39"/>
      <c r="AA106" s="95"/>
      <c r="AB106" s="39"/>
      <c r="AC106" s="95"/>
      <c r="AD106" s="39"/>
      <c r="AE106" s="95"/>
      <c r="AF106" s="39"/>
      <c r="AG106" s="95"/>
      <c r="AH106" s="39"/>
      <c r="AI106" s="95"/>
      <c r="AJ106" s="39"/>
      <c r="AK106" s="95"/>
      <c r="AL106" s="39"/>
      <c r="AM106" s="95"/>
      <c r="AN106" s="39"/>
      <c r="AO106" s="95"/>
      <c r="AP106" s="39"/>
      <c r="AQ106" s="95"/>
      <c r="AR106" s="39"/>
      <c r="AS106" s="95"/>
      <c r="AT106" s="39"/>
      <c r="AU106" s="95"/>
      <c r="AV106" s="100"/>
      <c r="AW106" s="95"/>
      <c r="AX106" s="100"/>
      <c r="AY106" s="95"/>
      <c r="AZ106" s="100"/>
      <c r="BA106" s="95"/>
      <c r="BB106" s="100"/>
      <c r="BC106" s="95"/>
      <c r="BD106" s="100"/>
      <c r="BE106" s="312"/>
    </row>
    <row r="107" spans="1:57" ht="21" customHeight="1" thickBot="1">
      <c r="A107" s="317"/>
      <c r="B107" s="64"/>
      <c r="C107" s="65"/>
      <c r="D107" s="486" t="s">
        <v>587</v>
      </c>
      <c r="E107" s="487"/>
      <c r="F107" s="103"/>
      <c r="G107" s="315"/>
      <c r="H107" s="104"/>
      <c r="I107" s="315"/>
      <c r="J107" s="104"/>
      <c r="K107" s="315"/>
      <c r="L107" s="104"/>
      <c r="M107" s="315"/>
      <c r="N107" s="104"/>
      <c r="O107" s="315"/>
      <c r="P107" s="104"/>
      <c r="Q107" s="315"/>
      <c r="R107" s="104"/>
      <c r="S107" s="315"/>
      <c r="T107" s="104"/>
      <c r="U107" s="315"/>
      <c r="V107" s="104"/>
      <c r="W107" s="315"/>
      <c r="X107" s="104"/>
      <c r="Y107" s="315"/>
      <c r="Z107" s="104"/>
      <c r="AA107" s="315"/>
      <c r="AB107" s="104"/>
      <c r="AC107" s="315"/>
      <c r="AD107" s="104"/>
      <c r="AE107" s="315"/>
      <c r="AF107" s="104"/>
      <c r="AG107" s="315"/>
      <c r="AH107" s="104"/>
      <c r="AI107" s="315"/>
      <c r="AJ107" s="104"/>
      <c r="AK107" s="315"/>
      <c r="AL107" s="104"/>
      <c r="AM107" s="315"/>
      <c r="AN107" s="104"/>
      <c r="AO107" s="315"/>
      <c r="AP107" s="104"/>
      <c r="AQ107" s="315"/>
      <c r="AR107" s="104"/>
      <c r="AS107" s="315"/>
      <c r="AT107" s="104"/>
      <c r="AU107" s="315"/>
      <c r="AV107" s="104"/>
      <c r="AW107" s="315"/>
      <c r="AX107" s="105"/>
      <c r="AY107" s="315"/>
      <c r="AZ107" s="105"/>
      <c r="BA107" s="315"/>
      <c r="BB107" s="105"/>
      <c r="BC107" s="315"/>
      <c r="BD107" s="105"/>
      <c r="BE107" s="316"/>
    </row>
  </sheetData>
  <dataConsolidate/>
  <mergeCells count="126">
    <mergeCell ref="D21:E21"/>
    <mergeCell ref="D22:E22"/>
    <mergeCell ref="D23:E23"/>
    <mergeCell ref="D24:E24"/>
    <mergeCell ref="D25:E25"/>
    <mergeCell ref="D14:E14"/>
    <mergeCell ref="D15:E15"/>
    <mergeCell ref="D16:E16"/>
    <mergeCell ref="D17:E17"/>
    <mergeCell ref="D18:E18"/>
    <mergeCell ref="D19:E19"/>
    <mergeCell ref="L1:M3"/>
    <mergeCell ref="N1:O3"/>
    <mergeCell ref="D8:E8"/>
    <mergeCell ref="D9:E9"/>
    <mergeCell ref="D10:E10"/>
    <mergeCell ref="D11:E11"/>
    <mergeCell ref="D12:E12"/>
    <mergeCell ref="D13:E13"/>
    <mergeCell ref="D20:E20"/>
    <mergeCell ref="AV3:AW3"/>
    <mergeCell ref="B4:E4"/>
    <mergeCell ref="B5:C5"/>
    <mergeCell ref="D5:E5"/>
    <mergeCell ref="D6:E6"/>
    <mergeCell ref="D7:E7"/>
    <mergeCell ref="AB1:AC3"/>
    <mergeCell ref="AD1:AE3"/>
    <mergeCell ref="AF1:AG3"/>
    <mergeCell ref="AH1:AI3"/>
    <mergeCell ref="AJ1:AK3"/>
    <mergeCell ref="B2:C2"/>
    <mergeCell ref="B3:C3"/>
    <mergeCell ref="D3:E3"/>
    <mergeCell ref="P1:Q3"/>
    <mergeCell ref="R1:S3"/>
    <mergeCell ref="T1:U3"/>
    <mergeCell ref="V1:W3"/>
    <mergeCell ref="X1:Y3"/>
    <mergeCell ref="Z1:AA3"/>
    <mergeCell ref="B1:C1"/>
    <mergeCell ref="F1:G3"/>
    <mergeCell ref="H1:I3"/>
    <mergeCell ref="J1:K3"/>
    <mergeCell ref="D36:E36"/>
    <mergeCell ref="D37:E37"/>
    <mergeCell ref="D26:E26"/>
    <mergeCell ref="D27:E27"/>
    <mergeCell ref="D28:E28"/>
    <mergeCell ref="D29:E29"/>
    <mergeCell ref="D30:E30"/>
    <mergeCell ref="D31:E31"/>
    <mergeCell ref="D34:E34"/>
    <mergeCell ref="D32:E32"/>
    <mergeCell ref="D33:E33"/>
    <mergeCell ref="D35:E35"/>
    <mergeCell ref="D44:E44"/>
    <mergeCell ref="D45:E45"/>
    <mergeCell ref="D46:E46"/>
    <mergeCell ref="D47:E47"/>
    <mergeCell ref="D48:E48"/>
    <mergeCell ref="D49:E49"/>
    <mergeCell ref="D38:E38"/>
    <mergeCell ref="D39:E39"/>
    <mergeCell ref="D40:E40"/>
    <mergeCell ref="D41:E41"/>
    <mergeCell ref="D42:E42"/>
    <mergeCell ref="D43:E43"/>
    <mergeCell ref="D56:E56"/>
    <mergeCell ref="D57:E57"/>
    <mergeCell ref="D58:E58"/>
    <mergeCell ref="D59:E59"/>
    <mergeCell ref="D60:E60"/>
    <mergeCell ref="D61:E61"/>
    <mergeCell ref="D50:E50"/>
    <mergeCell ref="D51:E51"/>
    <mergeCell ref="D52:E52"/>
    <mergeCell ref="D53:E53"/>
    <mergeCell ref="D54:E54"/>
    <mergeCell ref="D55:E55"/>
    <mergeCell ref="D68:E68"/>
    <mergeCell ref="D69:E69"/>
    <mergeCell ref="D70:E70"/>
    <mergeCell ref="D71:E71"/>
    <mergeCell ref="D72:E72"/>
    <mergeCell ref="D73:E73"/>
    <mergeCell ref="D62:E62"/>
    <mergeCell ref="D63:E63"/>
    <mergeCell ref="D64:E64"/>
    <mergeCell ref="D65:E65"/>
    <mergeCell ref="D66:E66"/>
    <mergeCell ref="D67:E67"/>
    <mergeCell ref="D80:E80"/>
    <mergeCell ref="D81:E81"/>
    <mergeCell ref="D82:E82"/>
    <mergeCell ref="D83:E83"/>
    <mergeCell ref="D84:E84"/>
    <mergeCell ref="D85:E85"/>
    <mergeCell ref="D74:E74"/>
    <mergeCell ref="D75:E75"/>
    <mergeCell ref="D76:E76"/>
    <mergeCell ref="D77:E77"/>
    <mergeCell ref="D78:E78"/>
    <mergeCell ref="D79:E79"/>
    <mergeCell ref="D92:E92"/>
    <mergeCell ref="D93:E93"/>
    <mergeCell ref="D94:E94"/>
    <mergeCell ref="B95:E95"/>
    <mergeCell ref="D96:E96"/>
    <mergeCell ref="D97:E97"/>
    <mergeCell ref="D86:E86"/>
    <mergeCell ref="D87:E87"/>
    <mergeCell ref="D88:E88"/>
    <mergeCell ref="D89:E89"/>
    <mergeCell ref="D90:E90"/>
    <mergeCell ref="B91:E91"/>
    <mergeCell ref="D104:E104"/>
    <mergeCell ref="D105:E105"/>
    <mergeCell ref="D106:E106"/>
    <mergeCell ref="D107:E107"/>
    <mergeCell ref="D98:E98"/>
    <mergeCell ref="D99:E99"/>
    <mergeCell ref="D100:E100"/>
    <mergeCell ref="D101:E101"/>
    <mergeCell ref="D102:E102"/>
    <mergeCell ref="D103:E103"/>
  </mergeCells>
  <dataValidations count="4">
    <dataValidation type="textLength" allowBlank="1" showInputMessage="1" showErrorMessage="1" prompt="Please select your country in worksheet &quot;Intro&quot; (for all pollutant sheets)" sqref="D1" xr:uid="{00000000-0002-0000-0900-000000000000}">
      <formula1>2</formula1>
      <formula2>2</formula2>
    </dataValidation>
    <dataValidation allowBlank="1" showErrorMessage="1" sqref="E1" xr:uid="{00000000-0002-0000-0900-000001000000}"/>
    <dataValidation type="custom" allowBlank="1" showInputMessage="1" showErrorMessage="1" errorTitle="Wrong data input" error="Data entry is limited to positive values or zero._x000d__x000a_: symbol can be used for not available data." sqref="F106:F107 AV106:AV107 AP106:AP107 AN106:AN107 AL106:AL107 AJ106:AJ107 AH106:AH107 AF106:AF107 AD106:AD107 AB106:AB107 Z106:Z107 X106:X107 V106:V107 T106:T107 R106:R107 P106:P107 N106:N107 L106:L107 J106:J107 H106:H107 AR106:AR107 AT106:AT107 AZ106:AZ107 BB106:BB107 BB5:BB104 AZ5:AZ104 AT5:AT104 AR5:AR104 H5:H104 J5:J104 L5:L104 N5:N104 P5:P104 R5:R104 T5:T104 V5:V104 X5:X104 Z5:Z104 AB5:AB104 AD5:AD104 AF5:AF104 AH5:AH104 AJ5:AJ104 AL5:AL104 AN5:AN104 AP5:AP104 AV5:AV104 F5:F104 AX106:AX107 AX5:AX104 BD106:BD107 BD5:BD104" xr:uid="{00000000-0002-0000-0900-000002000000}">
      <formula1>OR(AND(ISNUMBER(F5),F5&gt;=0),F5=":")</formula1>
    </dataValidation>
    <dataValidation type="custom" allowBlank="1" showInputMessage="1" showErrorMessage="1" errorTitle="Wrong data input" error="Data entry is limited to numbers._x000d__x000a_: symbol can be used for not available data." sqref="F105 AV105 AP105 AN105 AL105 AJ105 AH105 AF105 AD105 AB105 Z105 X105 V105 T105 R105 P105 N105 L105 J105 H105 AR105 AT105 AZ105 BB105 AX105 BD105" xr:uid="{00000000-0002-0000-0900-000003000000}">
      <formula1>OR(ISNUMBER(F105),F105=":")</formula1>
    </dataValidation>
  </dataValidations>
  <printOptions headings="1" gridLines="1"/>
  <pageMargins left="0.2" right="0.39370078740157499" top="0.17" bottom="0.47" header="0" footer="0"/>
  <pageSetup paperSize="9" scale="60" fitToHeight="3" pageOrder="overThenDown" orientation="portrait" r:id="rId1"/>
  <headerFooter alignWithMargins="0">
    <oddFooter>&amp;L&amp;A&amp;C&amp;P&amp;R&amp;F</oddFooter>
  </headerFooter>
  <rowBreaks count="1" manualBreakCount="1">
    <brk id="94" min="1" max="22" man="1"/>
  </rowBreaks>
  <drawing r:id="rId2"/>
  <legacyDrawing r:id="rId3"/>
  <mc:AlternateContent xmlns:mc="http://schemas.openxmlformats.org/markup-compatibility/2006">
    <mc:Choice Requires="x14">
      <controls>
        <mc:AlternateContent xmlns:mc="http://schemas.openxmlformats.org/markup-compatibility/2006">
          <mc:Choice Requires="x14">
            <control shapeId="82946" r:id="rId4" name="Button 2">
              <controlPr defaultSize="0" print="0" autoFill="0" autoPict="0" macro="[0]!CheckThisSheet">
                <anchor moveWithCells="1" sizeWithCells="1">
                  <from>
                    <xdr:col>4</xdr:col>
                    <xdr:colOff>3105150</xdr:colOff>
                    <xdr:row>1</xdr:row>
                    <xdr:rowOff>76200</xdr:rowOff>
                  </from>
                  <to>
                    <xdr:col>4</xdr:col>
                    <xdr:colOff>3810000</xdr:colOff>
                    <xdr:row>2</xdr:row>
                    <xdr:rowOff>304800</xdr:rowOff>
                  </to>
                </anchor>
              </controlPr>
            </control>
          </mc:Choice>
        </mc:AlternateContent>
        <mc:AlternateContent xmlns:mc="http://schemas.openxmlformats.org/markup-compatibility/2006">
          <mc:Choice Requires="x14">
            <control shapeId="82949" r:id="rId5" name="Button 5">
              <controlPr defaultSize="0" print="0" autoFill="0" autoPict="0" macro="[0]!Interface.SetPinkColor">
                <anchor moveWithCells="1" sizeWithCells="1">
                  <from>
                    <xdr:col>4</xdr:col>
                    <xdr:colOff>2914650</xdr:colOff>
                    <xdr:row>3</xdr:row>
                    <xdr:rowOff>76200</xdr:rowOff>
                  </from>
                  <to>
                    <xdr:col>4</xdr:col>
                    <xdr:colOff>3162300</xdr:colOff>
                    <xdr:row>3</xdr:row>
                    <xdr:rowOff>323850</xdr:rowOff>
                  </to>
                </anchor>
              </controlPr>
            </control>
          </mc:Choice>
        </mc:AlternateContent>
        <mc:AlternateContent xmlns:mc="http://schemas.openxmlformats.org/markup-compatibility/2006">
          <mc:Choice Requires="x14">
            <control shapeId="82950" r:id="rId6" name="Button 6">
              <controlPr defaultSize="0" print="0" autoFill="0" autoPict="0" macro="[0]!Interface.SetGreyColor">
                <anchor moveWithCells="1" sizeWithCells="1">
                  <from>
                    <xdr:col>4</xdr:col>
                    <xdr:colOff>3257550</xdr:colOff>
                    <xdr:row>3</xdr:row>
                    <xdr:rowOff>76200</xdr:rowOff>
                  </from>
                  <to>
                    <xdr:col>4</xdr:col>
                    <xdr:colOff>3505200</xdr:colOff>
                    <xdr:row>3</xdr:row>
                    <xdr:rowOff>323850</xdr:rowOff>
                  </to>
                </anchor>
              </controlPr>
            </control>
          </mc:Choice>
        </mc:AlternateContent>
        <mc:AlternateContent xmlns:mc="http://schemas.openxmlformats.org/markup-compatibility/2006">
          <mc:Choice Requires="x14">
            <control shapeId="82951" r:id="rId7" name="Button 7">
              <controlPr defaultSize="0" print="0" autoFill="0" autoPict="0" macro="[0]!Interface.SetBlankColor">
                <anchor moveWithCells="1" sizeWithCells="1">
                  <from>
                    <xdr:col>4</xdr:col>
                    <xdr:colOff>3600450</xdr:colOff>
                    <xdr:row>3</xdr:row>
                    <xdr:rowOff>66675</xdr:rowOff>
                  </from>
                  <to>
                    <xdr:col>4</xdr:col>
                    <xdr:colOff>3838575</xdr:colOff>
                    <xdr:row>3</xdr:row>
                    <xdr:rowOff>323850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RAMS">
    <tabColor rgb="FFFF0000"/>
  </sheetPr>
  <dimension ref="A2:AL209"/>
  <sheetViews>
    <sheetView showGridLines="0" topLeftCell="A17" zoomScale="90" zoomScaleNormal="90" workbookViewId="0">
      <selection activeCell="C53" sqref="C53"/>
    </sheetView>
  </sheetViews>
  <sheetFormatPr defaultColWidth="9.28515625" defaultRowHeight="15"/>
  <cols>
    <col min="1" max="1" width="2.28515625" style="16" customWidth="1"/>
    <col min="2" max="2" width="30.7109375" style="16" customWidth="1"/>
    <col min="3" max="3" width="12.7109375" style="16" customWidth="1"/>
    <col min="4" max="4" width="6" style="16" customWidth="1"/>
    <col min="5" max="5" width="17" style="16" customWidth="1"/>
    <col min="6" max="6" width="12.5703125" style="16" customWidth="1"/>
    <col min="7" max="7" width="12.28515625" style="16" customWidth="1"/>
    <col min="8" max="8" width="25.28515625" style="16" customWidth="1"/>
    <col min="9" max="9" width="58.5703125" style="16" customWidth="1"/>
    <col min="10" max="10" width="35.42578125" style="16" customWidth="1"/>
    <col min="11" max="11" width="29.28515625" style="43" customWidth="1"/>
    <col min="12" max="12" width="19.28515625" style="43" customWidth="1"/>
    <col min="13" max="13" width="21" style="43" customWidth="1"/>
    <col min="14" max="14" width="19" style="43" customWidth="1"/>
    <col min="15" max="15" width="18.7109375" style="43" customWidth="1"/>
    <col min="16" max="16" width="16.28515625" style="43" customWidth="1"/>
    <col min="17" max="17" width="17.5703125" style="43" customWidth="1"/>
    <col min="18" max="18" width="16.28515625" style="43" customWidth="1"/>
    <col min="19" max="19" width="51.7109375" style="43" customWidth="1"/>
    <col min="20" max="20" width="16.42578125" style="43" customWidth="1"/>
    <col min="21" max="22" width="9.28515625" style="43"/>
    <col min="23" max="23" width="15" style="43" customWidth="1"/>
    <col min="24" max="24" width="17.7109375" style="43" customWidth="1"/>
    <col min="25" max="25" width="20.7109375" style="43" customWidth="1"/>
    <col min="26" max="27" width="9.28515625" style="43"/>
    <col min="28" max="28" width="12.28515625" style="43" customWidth="1"/>
    <col min="29" max="29" width="64.42578125" style="43" customWidth="1"/>
    <col min="30" max="30" width="46.28515625" style="43" customWidth="1"/>
    <col min="31" max="31" width="22" style="43" customWidth="1"/>
    <col min="32" max="33" width="9.28515625" style="16"/>
    <col min="34" max="34" width="22.28515625" style="16" customWidth="1"/>
    <col min="35" max="35" width="14" style="16" customWidth="1"/>
    <col min="36" max="36" width="9.28515625" style="16"/>
    <col min="37" max="37" width="11.28515625" style="16" customWidth="1"/>
    <col min="38" max="16384" width="9.28515625" style="16"/>
  </cols>
  <sheetData>
    <row r="2" spans="1:38" ht="17.649999999999999" customHeight="1">
      <c r="E2" s="537" t="s">
        <v>588</v>
      </c>
      <c r="F2" s="537"/>
      <c r="G2" s="537"/>
      <c r="H2" s="537"/>
      <c r="I2" s="537"/>
      <c r="J2" s="537"/>
      <c r="K2" s="537"/>
      <c r="L2" s="537"/>
      <c r="M2" s="537"/>
      <c r="N2" s="537"/>
      <c r="O2" s="537"/>
      <c r="P2" s="537"/>
      <c r="Q2" s="535" t="s">
        <v>589</v>
      </c>
      <c r="R2" s="535"/>
      <c r="S2" s="535"/>
      <c r="T2" s="535"/>
      <c r="U2" s="535"/>
      <c r="V2" s="535"/>
      <c r="W2" s="536" t="s">
        <v>590</v>
      </c>
      <c r="X2" s="536"/>
      <c r="Y2" s="536"/>
      <c r="Z2" s="535" t="s">
        <v>591</v>
      </c>
      <c r="AA2" s="535"/>
      <c r="AB2" s="318"/>
      <c r="AC2" s="535" t="s">
        <v>592</v>
      </c>
      <c r="AD2" s="535"/>
      <c r="AE2" s="535"/>
      <c r="AG2" s="535" t="s">
        <v>593</v>
      </c>
      <c r="AH2" s="535"/>
      <c r="AI2" s="535"/>
      <c r="AJ2" s="535"/>
      <c r="AK2" s="535"/>
      <c r="AL2" s="535"/>
    </row>
    <row r="3" spans="1:38" ht="25.15" customHeight="1" thickBot="1">
      <c r="B3" s="538" t="s">
        <v>594</v>
      </c>
      <c r="C3" s="539"/>
      <c r="E3" s="319" t="s">
        <v>595</v>
      </c>
      <c r="F3" s="319" t="s">
        <v>596</v>
      </c>
      <c r="G3" s="319" t="s">
        <v>597</v>
      </c>
      <c r="H3" s="319" t="s">
        <v>20</v>
      </c>
      <c r="I3" s="319" t="s">
        <v>598</v>
      </c>
      <c r="J3" s="319" t="s">
        <v>599</v>
      </c>
      <c r="K3" s="319" t="s">
        <v>600</v>
      </c>
      <c r="L3" s="319" t="s">
        <v>601</v>
      </c>
      <c r="M3" s="319" t="s">
        <v>602</v>
      </c>
      <c r="N3" s="319" t="s">
        <v>603</v>
      </c>
      <c r="O3" s="52" t="s">
        <v>604</v>
      </c>
      <c r="P3" s="319" t="s">
        <v>605</v>
      </c>
      <c r="Q3" s="319" t="s">
        <v>606</v>
      </c>
      <c r="R3" s="319" t="s">
        <v>607</v>
      </c>
      <c r="S3" s="319" t="s">
        <v>598</v>
      </c>
      <c r="T3" s="319" t="s">
        <v>608</v>
      </c>
      <c r="U3" s="319" t="s">
        <v>609</v>
      </c>
      <c r="V3" s="319" t="s">
        <v>610</v>
      </c>
      <c r="W3" s="319" t="s">
        <v>611</v>
      </c>
      <c r="X3" s="319" t="s">
        <v>612</v>
      </c>
      <c r="Y3" s="319" t="s">
        <v>613</v>
      </c>
      <c r="Z3" s="319" t="s">
        <v>614</v>
      </c>
      <c r="AA3" s="319" t="s">
        <v>615</v>
      </c>
      <c r="AB3" s="319" t="s">
        <v>605</v>
      </c>
      <c r="AC3" s="319" t="s">
        <v>616</v>
      </c>
      <c r="AD3" s="319" t="s">
        <v>617</v>
      </c>
      <c r="AE3" s="319" t="s">
        <v>618</v>
      </c>
      <c r="AG3" s="319" t="s">
        <v>619</v>
      </c>
      <c r="AH3" s="319" t="s">
        <v>598</v>
      </c>
      <c r="AI3" s="319" t="s">
        <v>620</v>
      </c>
      <c r="AJ3" s="319" t="s">
        <v>621</v>
      </c>
      <c r="AK3" s="81" t="s">
        <v>622</v>
      </c>
      <c r="AL3" s="81" t="s">
        <v>623</v>
      </c>
    </row>
    <row r="4" spans="1:38" ht="30" customHeight="1" thickBot="1">
      <c r="A4" s="17"/>
      <c r="B4" s="18" t="s">
        <v>624</v>
      </c>
      <c r="C4" s="19">
        <v>1995</v>
      </c>
      <c r="D4" s="17"/>
      <c r="E4" s="320" t="s">
        <v>195</v>
      </c>
      <c r="F4" s="320" t="s">
        <v>195</v>
      </c>
      <c r="G4" s="320" t="s">
        <v>625</v>
      </c>
      <c r="H4" s="320" t="s">
        <v>195</v>
      </c>
      <c r="I4" s="321" t="s">
        <v>626</v>
      </c>
      <c r="J4" s="320" t="s">
        <v>627</v>
      </c>
      <c r="K4" s="320">
        <v>1</v>
      </c>
      <c r="L4" s="320">
        <v>108</v>
      </c>
      <c r="M4" s="320">
        <v>17</v>
      </c>
      <c r="N4" s="320"/>
      <c r="O4" s="53" t="s">
        <v>628</v>
      </c>
      <c r="P4" s="320" t="s">
        <v>629</v>
      </c>
      <c r="Q4" s="322" t="s">
        <v>630</v>
      </c>
      <c r="R4" s="323" t="s">
        <v>631</v>
      </c>
      <c r="S4" s="323" t="s">
        <v>632</v>
      </c>
      <c r="T4" s="324">
        <v>0</v>
      </c>
      <c r="U4" s="324">
        <v>5</v>
      </c>
      <c r="V4" s="324">
        <v>95</v>
      </c>
      <c r="W4" s="325">
        <v>0</v>
      </c>
      <c r="X4" s="326">
        <v>0</v>
      </c>
      <c r="Y4" s="325">
        <v>0</v>
      </c>
      <c r="Z4" s="324">
        <v>0</v>
      </c>
      <c r="AA4" s="324">
        <v>0</v>
      </c>
      <c r="AB4" s="324" t="s">
        <v>629</v>
      </c>
      <c r="AC4" s="199" t="s">
        <v>633</v>
      </c>
      <c r="AD4" s="199" t="s">
        <v>634</v>
      </c>
      <c r="AE4" s="199">
        <v>105</v>
      </c>
      <c r="AG4" s="327" t="s">
        <v>266</v>
      </c>
      <c r="AH4" s="199" t="s">
        <v>401</v>
      </c>
      <c r="AI4" s="328" t="s">
        <v>635</v>
      </c>
      <c r="AJ4" s="328" t="s">
        <v>636</v>
      </c>
      <c r="AK4" s="328" t="s">
        <v>637</v>
      </c>
      <c r="AL4" s="328" t="s">
        <v>636</v>
      </c>
    </row>
    <row r="5" spans="1:38" ht="15.75" thickBot="1">
      <c r="A5" s="17"/>
      <c r="B5" s="144" t="s">
        <v>638</v>
      </c>
      <c r="C5" s="329">
        <v>2022</v>
      </c>
      <c r="D5" s="17"/>
      <c r="E5" s="320" t="s">
        <v>639</v>
      </c>
      <c r="F5" s="320" t="s">
        <v>640</v>
      </c>
      <c r="G5" s="320" t="s">
        <v>625</v>
      </c>
      <c r="H5" s="320" t="s">
        <v>197</v>
      </c>
      <c r="I5" s="320" t="s">
        <v>641</v>
      </c>
      <c r="J5" s="320" t="s">
        <v>642</v>
      </c>
      <c r="K5" s="320">
        <v>1</v>
      </c>
      <c r="L5" s="320">
        <v>108</v>
      </c>
      <c r="M5" s="320">
        <v>19</v>
      </c>
      <c r="N5" s="320"/>
      <c r="O5" s="53" t="s">
        <v>628</v>
      </c>
      <c r="P5" s="320" t="s">
        <v>629</v>
      </c>
      <c r="Q5" s="323" t="s">
        <v>206</v>
      </c>
      <c r="R5" s="322" t="s">
        <v>206</v>
      </c>
      <c r="S5" s="323" t="s">
        <v>643</v>
      </c>
      <c r="T5" s="324">
        <v>0</v>
      </c>
      <c r="U5" s="324">
        <v>6</v>
      </c>
      <c r="V5" s="324">
        <v>5</v>
      </c>
      <c r="W5" s="330">
        <v>0.3</v>
      </c>
      <c r="X5" s="331">
        <v>5</v>
      </c>
      <c r="Y5" s="330">
        <v>0.1</v>
      </c>
      <c r="Z5" s="324">
        <v>0</v>
      </c>
      <c r="AA5" s="324">
        <v>0</v>
      </c>
      <c r="AB5" s="324" t="s">
        <v>629</v>
      </c>
      <c r="AC5" s="199" t="s">
        <v>644</v>
      </c>
      <c r="AD5" s="199" t="s">
        <v>645</v>
      </c>
      <c r="AE5" s="199">
        <v>62</v>
      </c>
      <c r="AG5" s="327" t="s">
        <v>272</v>
      </c>
      <c r="AH5" s="199" t="s">
        <v>329</v>
      </c>
      <c r="AI5" s="328" t="s">
        <v>591</v>
      </c>
      <c r="AJ5" s="328" t="s">
        <v>636</v>
      </c>
      <c r="AK5" s="328" t="s">
        <v>636</v>
      </c>
      <c r="AL5" s="328" t="s">
        <v>636</v>
      </c>
    </row>
    <row r="6" spans="1:38" ht="15.75" thickBot="1">
      <c r="A6" s="17"/>
      <c r="B6" s="144" t="s">
        <v>646</v>
      </c>
      <c r="C6" s="329">
        <v>19</v>
      </c>
      <c r="D6" s="17"/>
      <c r="E6" s="320" t="s">
        <v>53</v>
      </c>
      <c r="F6" s="320" t="s">
        <v>53</v>
      </c>
      <c r="G6" s="320" t="s">
        <v>647</v>
      </c>
      <c r="H6" s="320" t="s">
        <v>53</v>
      </c>
      <c r="I6" s="320" t="s">
        <v>648</v>
      </c>
      <c r="J6" s="320" t="s">
        <v>649</v>
      </c>
      <c r="K6" s="320">
        <v>1</v>
      </c>
      <c r="L6" s="320">
        <v>108</v>
      </c>
      <c r="M6" s="320">
        <v>20</v>
      </c>
      <c r="N6" s="320"/>
      <c r="O6" s="53" t="s">
        <v>628</v>
      </c>
      <c r="P6" s="320" t="s">
        <v>629</v>
      </c>
      <c r="Q6" s="199" t="s">
        <v>650</v>
      </c>
      <c r="R6" s="327" t="s">
        <v>650</v>
      </c>
      <c r="S6" s="199" t="s">
        <v>651</v>
      </c>
      <c r="T6" s="332">
        <v>0</v>
      </c>
      <c r="U6" s="332">
        <v>7</v>
      </c>
      <c r="V6" s="332">
        <v>6</v>
      </c>
      <c r="W6" s="333">
        <v>0.8</v>
      </c>
      <c r="X6" s="334">
        <v>6</v>
      </c>
      <c r="Y6" s="333">
        <v>0.3</v>
      </c>
      <c r="Z6" s="332">
        <v>8</v>
      </c>
      <c r="AA6" s="332">
        <v>9</v>
      </c>
      <c r="AB6" s="332" t="s">
        <v>629</v>
      </c>
      <c r="AC6" s="199" t="s">
        <v>652</v>
      </c>
      <c r="AD6" s="199" t="s">
        <v>653</v>
      </c>
      <c r="AE6" s="199">
        <v>47</v>
      </c>
      <c r="AG6" s="327" t="s">
        <v>274</v>
      </c>
      <c r="AH6" s="199" t="s">
        <v>332</v>
      </c>
      <c r="AI6" s="328" t="s">
        <v>591</v>
      </c>
      <c r="AJ6" s="328" t="s">
        <v>636</v>
      </c>
      <c r="AK6" s="328" t="s">
        <v>636</v>
      </c>
      <c r="AL6" s="328" t="s">
        <v>636</v>
      </c>
    </row>
    <row r="7" spans="1:38" ht="15.75" thickBot="1">
      <c r="A7" s="17"/>
      <c r="B7" s="144" t="s">
        <v>654</v>
      </c>
      <c r="C7" s="329">
        <v>5</v>
      </c>
      <c r="D7" s="17"/>
      <c r="E7" s="320" t="s">
        <v>57</v>
      </c>
      <c r="F7" s="320" t="s">
        <v>57</v>
      </c>
      <c r="G7" s="320" t="s">
        <v>647</v>
      </c>
      <c r="H7" s="320" t="s">
        <v>57</v>
      </c>
      <c r="I7" s="320" t="s">
        <v>655</v>
      </c>
      <c r="J7" s="320" t="s">
        <v>656</v>
      </c>
      <c r="K7" s="320">
        <v>1</v>
      </c>
      <c r="L7" s="320">
        <v>108</v>
      </c>
      <c r="M7" s="320">
        <v>21</v>
      </c>
      <c r="N7" s="320"/>
      <c r="O7" s="53" t="s">
        <v>628</v>
      </c>
      <c r="P7" s="320" t="s">
        <v>629</v>
      </c>
      <c r="Q7" s="199" t="s">
        <v>657</v>
      </c>
      <c r="R7" s="327" t="s">
        <v>657</v>
      </c>
      <c r="S7" s="199" t="s">
        <v>658</v>
      </c>
      <c r="T7" s="332">
        <v>0</v>
      </c>
      <c r="U7" s="332">
        <v>8</v>
      </c>
      <c r="V7" s="332">
        <v>6</v>
      </c>
      <c r="W7" s="333">
        <v>0.8</v>
      </c>
      <c r="X7" s="334">
        <v>6</v>
      </c>
      <c r="Y7" s="333">
        <v>0.3</v>
      </c>
      <c r="Z7" s="332">
        <v>7</v>
      </c>
      <c r="AA7" s="332">
        <v>9</v>
      </c>
      <c r="AB7" s="332" t="s">
        <v>629</v>
      </c>
      <c r="AC7" s="199" t="s">
        <v>659</v>
      </c>
      <c r="AD7" s="199" t="s">
        <v>660</v>
      </c>
      <c r="AE7" s="199">
        <v>48</v>
      </c>
      <c r="AG7" s="327" t="s">
        <v>268</v>
      </c>
      <c r="AH7" s="199" t="s">
        <v>335</v>
      </c>
      <c r="AI7" s="328" t="s">
        <v>635</v>
      </c>
      <c r="AJ7" s="328" t="s">
        <v>637</v>
      </c>
      <c r="AK7" s="328" t="s">
        <v>636</v>
      </c>
      <c r="AL7" s="328" t="s">
        <v>636</v>
      </c>
    </row>
    <row r="8" spans="1:38" ht="15.75" thickBot="1">
      <c r="B8" s="144" t="s">
        <v>661</v>
      </c>
      <c r="C8" s="335">
        <v>206</v>
      </c>
      <c r="D8" s="17"/>
      <c r="E8" s="320" t="s">
        <v>60</v>
      </c>
      <c r="F8" s="320" t="s">
        <v>60</v>
      </c>
      <c r="G8" s="320" t="s">
        <v>662</v>
      </c>
      <c r="H8" s="320" t="s">
        <v>60</v>
      </c>
      <c r="I8" s="320" t="s">
        <v>663</v>
      </c>
      <c r="J8" s="320" t="s">
        <v>664</v>
      </c>
      <c r="K8" s="320">
        <v>1</v>
      </c>
      <c r="L8" s="320">
        <v>108</v>
      </c>
      <c r="M8" s="320">
        <v>22</v>
      </c>
      <c r="N8" s="320"/>
      <c r="O8" s="53" t="s">
        <v>628</v>
      </c>
      <c r="P8" s="320"/>
      <c r="Q8" s="199" t="s">
        <v>665</v>
      </c>
      <c r="R8" s="327" t="s">
        <v>665</v>
      </c>
      <c r="S8" s="199" t="s">
        <v>666</v>
      </c>
      <c r="T8" s="332">
        <v>0</v>
      </c>
      <c r="U8" s="332">
        <v>9</v>
      </c>
      <c r="V8" s="332">
        <v>6</v>
      </c>
      <c r="W8" s="333">
        <v>0.8</v>
      </c>
      <c r="X8" s="334">
        <v>6</v>
      </c>
      <c r="Y8" s="333">
        <v>0.3</v>
      </c>
      <c r="Z8" s="332">
        <v>7</v>
      </c>
      <c r="AA8" s="332">
        <v>8</v>
      </c>
      <c r="AB8" s="332" t="s">
        <v>629</v>
      </c>
      <c r="AC8" s="199" t="s">
        <v>667</v>
      </c>
      <c r="AD8" s="199" t="s">
        <v>668</v>
      </c>
      <c r="AE8" s="199">
        <v>95</v>
      </c>
      <c r="AG8" s="327" t="s">
        <v>669</v>
      </c>
      <c r="AH8" s="199" t="s">
        <v>670</v>
      </c>
      <c r="AI8" s="328" t="s">
        <v>591</v>
      </c>
      <c r="AJ8" s="328" t="s">
        <v>636</v>
      </c>
      <c r="AK8" s="328" t="s">
        <v>636</v>
      </c>
      <c r="AL8" s="328" t="s">
        <v>637</v>
      </c>
    </row>
    <row r="9" spans="1:38" ht="15.75" thickBot="1">
      <c r="B9" s="144" t="s">
        <v>671</v>
      </c>
      <c r="C9" s="329">
        <v>5</v>
      </c>
      <c r="D9" s="17"/>
      <c r="E9" s="320" t="s">
        <v>64</v>
      </c>
      <c r="F9" s="320" t="s">
        <v>64</v>
      </c>
      <c r="G9" s="320" t="s">
        <v>662</v>
      </c>
      <c r="H9" s="320" t="s">
        <v>64</v>
      </c>
      <c r="I9" s="320" t="s">
        <v>672</v>
      </c>
      <c r="J9" s="320" t="s">
        <v>673</v>
      </c>
      <c r="K9" s="320">
        <v>1</v>
      </c>
      <c r="L9" s="320">
        <v>108</v>
      </c>
      <c r="M9" s="320">
        <v>23</v>
      </c>
      <c r="N9" s="320"/>
      <c r="O9" s="53" t="s">
        <v>628</v>
      </c>
      <c r="P9" s="320"/>
      <c r="Q9" s="323" t="s">
        <v>267</v>
      </c>
      <c r="R9" s="322" t="s">
        <v>267</v>
      </c>
      <c r="S9" s="323" t="s">
        <v>674</v>
      </c>
      <c r="T9" s="324">
        <v>0</v>
      </c>
      <c r="U9" s="324">
        <v>10</v>
      </c>
      <c r="V9" s="324">
        <v>5</v>
      </c>
      <c r="W9" s="330">
        <v>0.3</v>
      </c>
      <c r="X9" s="331">
        <v>5</v>
      </c>
      <c r="Y9" s="330">
        <v>0.1</v>
      </c>
      <c r="Z9" s="324">
        <v>0</v>
      </c>
      <c r="AA9" s="324">
        <v>0</v>
      </c>
      <c r="AB9" s="324" t="s">
        <v>629</v>
      </c>
      <c r="AC9" s="318"/>
      <c r="AD9" s="318"/>
      <c r="AE9" s="318"/>
      <c r="AG9" s="327" t="s">
        <v>270</v>
      </c>
      <c r="AH9" s="199" t="s">
        <v>675</v>
      </c>
      <c r="AI9" s="328" t="s">
        <v>635</v>
      </c>
      <c r="AJ9" s="328" t="s">
        <v>637</v>
      </c>
      <c r="AK9" s="328" t="s">
        <v>636</v>
      </c>
      <c r="AL9" s="328" t="s">
        <v>636</v>
      </c>
    </row>
    <row r="10" spans="1:38" ht="15.75" thickBot="1">
      <c r="B10" s="144" t="s">
        <v>676</v>
      </c>
      <c r="C10" s="329">
        <v>6</v>
      </c>
      <c r="D10" s="17"/>
      <c r="E10" s="320" t="s">
        <v>68</v>
      </c>
      <c r="F10" s="320" t="s">
        <v>677</v>
      </c>
      <c r="G10" s="320" t="s">
        <v>662</v>
      </c>
      <c r="H10" s="320" t="s">
        <v>68</v>
      </c>
      <c r="I10" s="320" t="s">
        <v>678</v>
      </c>
      <c r="J10" s="320" t="s">
        <v>679</v>
      </c>
      <c r="K10" s="320">
        <v>1</v>
      </c>
      <c r="L10" s="320">
        <v>108</v>
      </c>
      <c r="M10" s="320">
        <v>24</v>
      </c>
      <c r="N10" s="320"/>
      <c r="O10" s="53" t="s">
        <v>628</v>
      </c>
      <c r="P10" s="320"/>
      <c r="Q10" s="323" t="s">
        <v>273</v>
      </c>
      <c r="R10" s="322" t="s">
        <v>273</v>
      </c>
      <c r="S10" s="323" t="s">
        <v>680</v>
      </c>
      <c r="T10" s="324">
        <v>0</v>
      </c>
      <c r="U10" s="324">
        <v>11</v>
      </c>
      <c r="V10" s="324">
        <v>5</v>
      </c>
      <c r="W10" s="330">
        <v>0.3</v>
      </c>
      <c r="X10" s="331">
        <v>5</v>
      </c>
      <c r="Y10" s="330">
        <v>0.1</v>
      </c>
      <c r="Z10" s="324">
        <v>0</v>
      </c>
      <c r="AA10" s="324">
        <v>0</v>
      </c>
      <c r="AB10" s="324" t="s">
        <v>629</v>
      </c>
      <c r="AC10" s="318"/>
      <c r="AD10" s="318"/>
      <c r="AE10" s="318"/>
      <c r="AG10" s="327" t="s">
        <v>681</v>
      </c>
      <c r="AH10" s="199" t="s">
        <v>682</v>
      </c>
      <c r="AI10" s="328" t="s">
        <v>623</v>
      </c>
      <c r="AJ10" s="328" t="s">
        <v>637</v>
      </c>
      <c r="AK10" s="328" t="s">
        <v>636</v>
      </c>
      <c r="AL10" s="328" t="s">
        <v>637</v>
      </c>
    </row>
    <row r="11" spans="1:38" ht="15.75" thickBot="1">
      <c r="A11" s="17"/>
      <c r="B11" s="144" t="s">
        <v>683</v>
      </c>
      <c r="C11" s="329">
        <v>2</v>
      </c>
      <c r="D11" s="17"/>
      <c r="E11" s="320" t="s">
        <v>72</v>
      </c>
      <c r="F11" s="320" t="s">
        <v>684</v>
      </c>
      <c r="G11" s="320" t="s">
        <v>685</v>
      </c>
      <c r="H11" s="320" t="s">
        <v>72</v>
      </c>
      <c r="I11" s="320" t="s">
        <v>686</v>
      </c>
      <c r="J11" s="320" t="s">
        <v>687</v>
      </c>
      <c r="K11" s="320">
        <v>1</v>
      </c>
      <c r="L11" s="320">
        <v>108</v>
      </c>
      <c r="M11" s="320">
        <v>25</v>
      </c>
      <c r="N11" s="320"/>
      <c r="O11" s="53" t="s">
        <v>628</v>
      </c>
      <c r="P11" s="320" t="s">
        <v>629</v>
      </c>
      <c r="Q11" s="199" t="s">
        <v>688</v>
      </c>
      <c r="R11" s="327" t="s">
        <v>688</v>
      </c>
      <c r="S11" s="199" t="s">
        <v>689</v>
      </c>
      <c r="T11" s="332">
        <v>0</v>
      </c>
      <c r="U11" s="332">
        <v>12</v>
      </c>
      <c r="V11" s="332">
        <v>11</v>
      </c>
      <c r="W11" s="333">
        <v>0.8</v>
      </c>
      <c r="X11" s="334">
        <v>11</v>
      </c>
      <c r="Y11" s="336">
        <v>0.05</v>
      </c>
      <c r="Z11" s="332">
        <v>11</v>
      </c>
      <c r="AA11" s="332">
        <v>11</v>
      </c>
      <c r="AB11" s="332" t="s">
        <v>629</v>
      </c>
      <c r="AC11" s="318"/>
      <c r="AD11" s="318"/>
      <c r="AE11" s="318"/>
    </row>
    <row r="12" spans="1:38" ht="15.75" thickBot="1">
      <c r="B12" s="144" t="s">
        <v>690</v>
      </c>
      <c r="C12" s="329">
        <v>4</v>
      </c>
      <c r="D12" s="17"/>
      <c r="E12" s="320" t="s">
        <v>691</v>
      </c>
      <c r="F12" s="320" t="s">
        <v>692</v>
      </c>
      <c r="G12" s="320" t="s">
        <v>693</v>
      </c>
      <c r="H12" s="320" t="s">
        <v>78</v>
      </c>
      <c r="I12" s="320" t="s">
        <v>694</v>
      </c>
      <c r="J12" s="320" t="s">
        <v>695</v>
      </c>
      <c r="K12" s="320">
        <v>1</v>
      </c>
      <c r="L12" s="320">
        <v>108</v>
      </c>
      <c r="M12" s="320">
        <v>27</v>
      </c>
      <c r="N12" s="320"/>
      <c r="O12" s="53" t="s">
        <v>628</v>
      </c>
      <c r="P12" s="320" t="s">
        <v>629</v>
      </c>
      <c r="Q12" s="199" t="s">
        <v>696</v>
      </c>
      <c r="R12" s="327" t="s">
        <v>696</v>
      </c>
      <c r="S12" s="199" t="s">
        <v>697</v>
      </c>
      <c r="T12" s="332">
        <v>0</v>
      </c>
      <c r="U12" s="332">
        <v>13</v>
      </c>
      <c r="V12" s="332">
        <v>11</v>
      </c>
      <c r="W12" s="333">
        <v>0.8</v>
      </c>
      <c r="X12" s="334">
        <v>11</v>
      </c>
      <c r="Y12" s="336">
        <v>0.05</v>
      </c>
      <c r="Z12" s="332">
        <v>11</v>
      </c>
      <c r="AA12" s="332">
        <v>11</v>
      </c>
      <c r="AB12" s="332" t="s">
        <v>629</v>
      </c>
      <c r="AC12" s="318"/>
      <c r="AD12" s="318"/>
      <c r="AE12" s="318"/>
    </row>
    <row r="13" spans="1:38" ht="15.75" thickBot="1">
      <c r="B13" s="144"/>
      <c r="C13" s="329"/>
      <c r="D13" s="17"/>
      <c r="E13" s="320" t="s">
        <v>82</v>
      </c>
      <c r="F13" s="320" t="s">
        <v>82</v>
      </c>
      <c r="G13" s="320" t="s">
        <v>647</v>
      </c>
      <c r="H13" s="320" t="s">
        <v>82</v>
      </c>
      <c r="I13" s="320" t="s">
        <v>698</v>
      </c>
      <c r="J13" s="320" t="s">
        <v>699</v>
      </c>
      <c r="K13" s="320">
        <v>1</v>
      </c>
      <c r="L13" s="320">
        <v>108</v>
      </c>
      <c r="M13" s="320">
        <v>28</v>
      </c>
      <c r="N13" s="320"/>
      <c r="O13" s="53" t="s">
        <v>628</v>
      </c>
      <c r="P13" s="320" t="s">
        <v>629</v>
      </c>
      <c r="Q13" s="337" t="s">
        <v>700</v>
      </c>
      <c r="R13" s="338" t="s">
        <v>700</v>
      </c>
      <c r="S13" s="337" t="s">
        <v>701</v>
      </c>
      <c r="T13" s="339">
        <v>3</v>
      </c>
      <c r="U13" s="340">
        <v>14</v>
      </c>
      <c r="V13" s="340">
        <v>0</v>
      </c>
      <c r="W13" s="325">
        <v>0</v>
      </c>
      <c r="X13" s="326">
        <v>0</v>
      </c>
      <c r="Y13" s="325">
        <v>0</v>
      </c>
      <c r="Z13" s="324">
        <v>0</v>
      </c>
      <c r="AA13" s="324">
        <v>0</v>
      </c>
      <c r="AB13" s="324" t="s">
        <v>629</v>
      </c>
      <c r="AC13" s="318"/>
      <c r="AD13" s="318"/>
      <c r="AE13" s="318"/>
    </row>
    <row r="14" spans="1:38" ht="15.75" thickBot="1">
      <c r="B14" s="144"/>
      <c r="C14" s="329"/>
      <c r="D14" s="17"/>
      <c r="E14" s="320" t="s">
        <v>86</v>
      </c>
      <c r="F14" s="320" t="s">
        <v>86</v>
      </c>
      <c r="G14" s="320" t="s">
        <v>647</v>
      </c>
      <c r="H14" s="320" t="s">
        <v>86</v>
      </c>
      <c r="I14" s="320" t="s">
        <v>702</v>
      </c>
      <c r="J14" s="320" t="s">
        <v>699</v>
      </c>
      <c r="K14" s="320">
        <v>1</v>
      </c>
      <c r="L14" s="320">
        <v>108</v>
      </c>
      <c r="M14" s="320">
        <v>29</v>
      </c>
      <c r="N14" s="320"/>
      <c r="O14" s="53" t="s">
        <v>628</v>
      </c>
      <c r="P14" s="320" t="s">
        <v>629</v>
      </c>
      <c r="Q14" s="199" t="s">
        <v>703</v>
      </c>
      <c r="R14" s="327" t="s">
        <v>703</v>
      </c>
      <c r="S14" s="199" t="s">
        <v>704</v>
      </c>
      <c r="T14" s="332">
        <v>0</v>
      </c>
      <c r="U14" s="332">
        <v>15</v>
      </c>
      <c r="V14" s="341">
        <v>11</v>
      </c>
      <c r="W14" s="333">
        <v>0.8</v>
      </c>
      <c r="X14" s="334">
        <v>11</v>
      </c>
      <c r="Y14" s="336">
        <v>0.05</v>
      </c>
      <c r="Z14" s="332">
        <v>11</v>
      </c>
      <c r="AA14" s="332">
        <v>11</v>
      </c>
      <c r="AB14" s="332" t="s">
        <v>629</v>
      </c>
      <c r="AC14" s="318"/>
      <c r="AD14" s="318"/>
      <c r="AE14" s="318"/>
    </row>
    <row r="15" spans="1:38" ht="15" customHeight="1" thickBot="1">
      <c r="B15" s="144" t="s">
        <v>705</v>
      </c>
      <c r="C15" s="329"/>
      <c r="D15" s="17"/>
      <c r="E15" s="320" t="s">
        <v>94</v>
      </c>
      <c r="F15" s="320" t="s">
        <v>94</v>
      </c>
      <c r="G15" s="320" t="s">
        <v>647</v>
      </c>
      <c r="H15" s="320" t="s">
        <v>94</v>
      </c>
      <c r="I15" s="320" t="s">
        <v>706</v>
      </c>
      <c r="J15" s="320" t="s">
        <v>699</v>
      </c>
      <c r="K15" s="320">
        <v>1</v>
      </c>
      <c r="L15" s="320">
        <v>108</v>
      </c>
      <c r="M15" s="320">
        <v>31</v>
      </c>
      <c r="N15" s="320"/>
      <c r="O15" s="53" t="s">
        <v>628</v>
      </c>
      <c r="P15" s="320" t="s">
        <v>629</v>
      </c>
      <c r="Q15" s="320" t="s">
        <v>707</v>
      </c>
      <c r="R15" s="327" t="s">
        <v>707</v>
      </c>
      <c r="S15" s="320" t="s">
        <v>708</v>
      </c>
      <c r="T15" s="332">
        <v>0</v>
      </c>
      <c r="U15" s="332">
        <v>16</v>
      </c>
      <c r="V15" s="341">
        <v>11</v>
      </c>
      <c r="W15" s="333">
        <v>0.8</v>
      </c>
      <c r="X15" s="334">
        <v>11</v>
      </c>
      <c r="Y15" s="336">
        <v>0.05</v>
      </c>
      <c r="Z15" s="332">
        <v>11</v>
      </c>
      <c r="AA15" s="332">
        <v>11</v>
      </c>
      <c r="AB15" s="332" t="s">
        <v>629</v>
      </c>
      <c r="AC15" s="318"/>
      <c r="AD15" s="318"/>
      <c r="AE15" s="318"/>
    </row>
    <row r="16" spans="1:38" ht="15.75" thickBot="1">
      <c r="B16" s="144" t="s">
        <v>709</v>
      </c>
      <c r="C16" s="329">
        <v>7</v>
      </c>
      <c r="D16" s="17"/>
      <c r="E16" s="320" t="s">
        <v>97</v>
      </c>
      <c r="F16" s="320" t="s">
        <v>97</v>
      </c>
      <c r="G16" s="320" t="s">
        <v>647</v>
      </c>
      <c r="H16" s="320" t="s">
        <v>97</v>
      </c>
      <c r="I16" s="320" t="s">
        <v>710</v>
      </c>
      <c r="J16" s="320" t="s">
        <v>699</v>
      </c>
      <c r="K16" s="320">
        <v>1</v>
      </c>
      <c r="L16" s="320">
        <v>108</v>
      </c>
      <c r="M16" s="320">
        <v>32</v>
      </c>
      <c r="N16" s="320"/>
      <c r="O16" s="53" t="s">
        <v>628</v>
      </c>
      <c r="P16" s="320" t="s">
        <v>629</v>
      </c>
      <c r="Q16" s="320" t="s">
        <v>711</v>
      </c>
      <c r="R16" s="327" t="s">
        <v>711</v>
      </c>
      <c r="S16" s="320" t="s">
        <v>712</v>
      </c>
      <c r="T16" s="332">
        <v>0</v>
      </c>
      <c r="U16" s="332">
        <v>17</v>
      </c>
      <c r="V16" s="341">
        <v>11</v>
      </c>
      <c r="W16" s="333">
        <v>0.8</v>
      </c>
      <c r="X16" s="334">
        <v>11</v>
      </c>
      <c r="Y16" s="336">
        <v>0.05</v>
      </c>
      <c r="Z16" s="332">
        <v>11</v>
      </c>
      <c r="AA16" s="332">
        <v>11</v>
      </c>
      <c r="AB16" s="332" t="s">
        <v>629</v>
      </c>
      <c r="AC16" s="318"/>
      <c r="AD16" s="318"/>
      <c r="AE16" s="318"/>
    </row>
    <row r="17" spans="2:29" ht="15.75" thickBot="1">
      <c r="B17" s="144" t="s">
        <v>713</v>
      </c>
      <c r="C17" s="329">
        <v>99</v>
      </c>
      <c r="D17" s="17"/>
      <c r="E17" s="320" t="s">
        <v>105</v>
      </c>
      <c r="F17" s="320" t="s">
        <v>714</v>
      </c>
      <c r="G17" s="320" t="s">
        <v>647</v>
      </c>
      <c r="H17" s="320" t="s">
        <v>105</v>
      </c>
      <c r="I17" s="320" t="s">
        <v>715</v>
      </c>
      <c r="J17" s="320" t="s">
        <v>699</v>
      </c>
      <c r="K17" s="320">
        <v>1</v>
      </c>
      <c r="L17" s="320">
        <v>108</v>
      </c>
      <c r="M17" s="320">
        <v>34</v>
      </c>
      <c r="N17" s="320" t="s">
        <v>97</v>
      </c>
      <c r="O17" s="53" t="s">
        <v>628</v>
      </c>
      <c r="P17" s="320" t="s">
        <v>629</v>
      </c>
      <c r="Q17" s="320" t="s">
        <v>716</v>
      </c>
      <c r="R17" s="327" t="s">
        <v>716</v>
      </c>
      <c r="S17" s="320" t="s">
        <v>717</v>
      </c>
      <c r="T17" s="332">
        <v>0</v>
      </c>
      <c r="U17" s="332">
        <v>18</v>
      </c>
      <c r="V17" s="332">
        <v>11</v>
      </c>
      <c r="W17" s="333">
        <v>0.8</v>
      </c>
      <c r="X17" s="334">
        <v>11</v>
      </c>
      <c r="Y17" s="336">
        <v>0.05</v>
      </c>
      <c r="Z17" s="332">
        <v>11</v>
      </c>
      <c r="AA17" s="332">
        <v>11</v>
      </c>
      <c r="AB17" s="332" t="s">
        <v>629</v>
      </c>
      <c r="AC17" s="319" t="s">
        <v>718</v>
      </c>
    </row>
    <row r="18" spans="2:29" ht="30.75" thickBot="1">
      <c r="B18" s="144" t="s">
        <v>719</v>
      </c>
      <c r="C18" s="329">
        <v>36</v>
      </c>
      <c r="D18" s="17"/>
      <c r="E18" s="320" t="s">
        <v>720</v>
      </c>
      <c r="F18" s="320" t="s">
        <v>720</v>
      </c>
      <c r="G18" s="320" t="s">
        <v>625</v>
      </c>
      <c r="H18" s="320" t="s">
        <v>720</v>
      </c>
      <c r="I18" s="321" t="s">
        <v>721</v>
      </c>
      <c r="J18" s="320" t="s">
        <v>722</v>
      </c>
      <c r="K18" s="342">
        <v>2</v>
      </c>
      <c r="L18" s="320">
        <v>108</v>
      </c>
      <c r="M18" s="320">
        <v>18</v>
      </c>
      <c r="N18" s="320" t="s">
        <v>195</v>
      </c>
      <c r="O18" s="53" t="s">
        <v>628</v>
      </c>
      <c r="P18" s="320"/>
      <c r="Q18" s="320" t="s">
        <v>723</v>
      </c>
      <c r="R18" s="327" t="s">
        <v>723</v>
      </c>
      <c r="S18" s="320" t="s">
        <v>724</v>
      </c>
      <c r="T18" s="332">
        <v>0</v>
      </c>
      <c r="U18" s="332">
        <v>19</v>
      </c>
      <c r="V18" s="332">
        <v>11</v>
      </c>
      <c r="W18" s="333">
        <v>0.8</v>
      </c>
      <c r="X18" s="334">
        <v>11</v>
      </c>
      <c r="Y18" s="336">
        <v>0.05</v>
      </c>
      <c r="Z18" s="332">
        <v>11</v>
      </c>
      <c r="AA18" s="332">
        <v>11</v>
      </c>
      <c r="AB18" s="332" t="s">
        <v>629</v>
      </c>
      <c r="AC18" s="320" t="s">
        <v>195</v>
      </c>
    </row>
    <row r="19" spans="2:29" ht="15.75" thickBot="1">
      <c r="B19" s="144" t="s">
        <v>725</v>
      </c>
      <c r="C19" s="335">
        <v>2</v>
      </c>
      <c r="D19" s="17"/>
      <c r="E19" s="320" t="s">
        <v>75</v>
      </c>
      <c r="F19" s="320" t="s">
        <v>75</v>
      </c>
      <c r="G19" s="320" t="s">
        <v>685</v>
      </c>
      <c r="H19" s="320" t="s">
        <v>75</v>
      </c>
      <c r="I19" s="321" t="s">
        <v>726</v>
      </c>
      <c r="J19" s="343" t="s">
        <v>727</v>
      </c>
      <c r="K19" s="342">
        <v>2</v>
      </c>
      <c r="L19" s="320">
        <v>108</v>
      </c>
      <c r="M19" s="320">
        <v>26</v>
      </c>
      <c r="N19" s="320" t="s">
        <v>72</v>
      </c>
      <c r="O19" s="53" t="s">
        <v>628</v>
      </c>
      <c r="P19" s="320"/>
      <c r="Q19" s="199" t="s">
        <v>728</v>
      </c>
      <c r="R19" s="327" t="s">
        <v>728</v>
      </c>
      <c r="S19" s="199" t="s">
        <v>729</v>
      </c>
      <c r="T19" s="332">
        <v>0</v>
      </c>
      <c r="U19" s="332">
        <v>20</v>
      </c>
      <c r="V19" s="332">
        <v>11</v>
      </c>
      <c r="W19" s="333">
        <v>0.8</v>
      </c>
      <c r="X19" s="334">
        <v>11</v>
      </c>
      <c r="Y19" s="336">
        <v>0.05</v>
      </c>
      <c r="Z19" s="332">
        <v>11</v>
      </c>
      <c r="AA19" s="332">
        <v>11</v>
      </c>
      <c r="AB19" s="332" t="s">
        <v>629</v>
      </c>
      <c r="AC19" s="320" t="s">
        <v>72</v>
      </c>
    </row>
    <row r="20" spans="2:29" ht="15.75" thickBot="1">
      <c r="B20" s="199" t="s">
        <v>730</v>
      </c>
      <c r="C20" s="328" t="s">
        <v>637</v>
      </c>
      <c r="D20" s="17"/>
      <c r="E20" s="320" t="s">
        <v>731</v>
      </c>
      <c r="F20" s="320" t="s">
        <v>731</v>
      </c>
      <c r="G20" s="320" t="s">
        <v>647</v>
      </c>
      <c r="H20" s="320" t="s">
        <v>731</v>
      </c>
      <c r="I20" s="320" t="s">
        <v>732</v>
      </c>
      <c r="J20" s="320" t="s">
        <v>733</v>
      </c>
      <c r="K20" s="342">
        <v>2</v>
      </c>
      <c r="L20" s="320">
        <v>108</v>
      </c>
      <c r="M20" s="320">
        <v>30</v>
      </c>
      <c r="N20" s="320" t="s">
        <v>86</v>
      </c>
      <c r="O20" s="53" t="s">
        <v>628</v>
      </c>
      <c r="P20" s="320"/>
      <c r="Q20" s="344" t="s">
        <v>734</v>
      </c>
      <c r="R20" s="338" t="s">
        <v>734</v>
      </c>
      <c r="S20" s="344" t="s">
        <v>735</v>
      </c>
      <c r="T20" s="339">
        <v>3</v>
      </c>
      <c r="U20" s="340">
        <v>21</v>
      </c>
      <c r="V20" s="340">
        <v>0</v>
      </c>
      <c r="W20" s="325">
        <v>0</v>
      </c>
      <c r="X20" s="326">
        <v>0</v>
      </c>
      <c r="Y20" s="325">
        <v>0</v>
      </c>
      <c r="Z20" s="324">
        <v>0</v>
      </c>
      <c r="AA20" s="324">
        <v>0</v>
      </c>
      <c r="AB20" s="324" t="s">
        <v>629</v>
      </c>
      <c r="AC20" s="320" t="s">
        <v>691</v>
      </c>
    </row>
    <row r="21" spans="2:29" ht="30.75" thickBot="1">
      <c r="B21" s="80" t="s">
        <v>736</v>
      </c>
      <c r="C21" s="345" t="s">
        <v>737</v>
      </c>
      <c r="E21" s="320" t="s">
        <v>101</v>
      </c>
      <c r="F21" s="320" t="s">
        <v>101</v>
      </c>
      <c r="G21" s="320" t="s">
        <v>647</v>
      </c>
      <c r="H21" s="320" t="s">
        <v>101</v>
      </c>
      <c r="I21" s="321" t="s">
        <v>738</v>
      </c>
      <c r="J21" s="343" t="s">
        <v>733</v>
      </c>
      <c r="K21" s="342">
        <v>2</v>
      </c>
      <c r="L21" s="320">
        <v>108</v>
      </c>
      <c r="M21" s="320">
        <v>33</v>
      </c>
      <c r="N21" s="320" t="s">
        <v>97</v>
      </c>
      <c r="O21" s="53" t="s">
        <v>628</v>
      </c>
      <c r="P21" s="320"/>
      <c r="Q21" s="320" t="s">
        <v>739</v>
      </c>
      <c r="R21" s="327" t="s">
        <v>739</v>
      </c>
      <c r="S21" s="320" t="s">
        <v>740</v>
      </c>
      <c r="T21" s="332">
        <v>0</v>
      </c>
      <c r="U21" s="332">
        <v>22</v>
      </c>
      <c r="V21" s="341">
        <v>11</v>
      </c>
      <c r="W21" s="333">
        <v>0.8</v>
      </c>
      <c r="X21" s="334">
        <v>11</v>
      </c>
      <c r="Y21" s="336">
        <v>0.05</v>
      </c>
      <c r="Z21" s="332">
        <v>11</v>
      </c>
      <c r="AA21" s="332">
        <v>11</v>
      </c>
      <c r="AB21" s="332" t="s">
        <v>629</v>
      </c>
      <c r="AC21" s="320" t="s">
        <v>94</v>
      </c>
    </row>
    <row r="22" spans="2:29" ht="45.75" thickBot="1">
      <c r="B22" s="18" t="s">
        <v>741</v>
      </c>
      <c r="C22" s="19">
        <v>2017</v>
      </c>
      <c r="D22" s="17"/>
      <c r="E22" s="320" t="s">
        <v>108</v>
      </c>
      <c r="F22" s="320" t="s">
        <v>108</v>
      </c>
      <c r="G22" s="320" t="s">
        <v>647</v>
      </c>
      <c r="H22" s="320" t="s">
        <v>108</v>
      </c>
      <c r="I22" s="321" t="s">
        <v>742</v>
      </c>
      <c r="J22" s="320" t="s">
        <v>733</v>
      </c>
      <c r="K22" s="342">
        <v>2</v>
      </c>
      <c r="L22" s="320">
        <v>108</v>
      </c>
      <c r="M22" s="320">
        <v>35</v>
      </c>
      <c r="N22" s="320" t="s">
        <v>105</v>
      </c>
      <c r="O22" s="53" t="s">
        <v>628</v>
      </c>
      <c r="P22" s="320"/>
      <c r="Q22" s="320" t="s">
        <v>743</v>
      </c>
      <c r="R22" s="327" t="s">
        <v>743</v>
      </c>
      <c r="S22" s="320" t="s">
        <v>744</v>
      </c>
      <c r="T22" s="332">
        <v>0</v>
      </c>
      <c r="U22" s="332">
        <v>23</v>
      </c>
      <c r="V22" s="341">
        <v>11</v>
      </c>
      <c r="W22" s="333">
        <v>0.8</v>
      </c>
      <c r="X22" s="334">
        <v>11</v>
      </c>
      <c r="Y22" s="336">
        <v>0.05</v>
      </c>
      <c r="Z22" s="332">
        <v>11</v>
      </c>
      <c r="AA22" s="332">
        <v>11</v>
      </c>
      <c r="AB22" s="332" t="s">
        <v>629</v>
      </c>
      <c r="AC22" s="320" t="s">
        <v>97</v>
      </c>
    </row>
    <row r="23" spans="2:29">
      <c r="B23" s="144" t="s">
        <v>745</v>
      </c>
      <c r="C23" s="329">
        <v>2021</v>
      </c>
      <c r="D23" s="17"/>
      <c r="K23" s="16"/>
      <c r="L23" s="16"/>
      <c r="M23" s="16"/>
      <c r="N23" s="16"/>
      <c r="O23" s="16"/>
      <c r="P23" s="16"/>
      <c r="Q23" s="344" t="s">
        <v>746</v>
      </c>
      <c r="R23" s="338" t="s">
        <v>746</v>
      </c>
      <c r="S23" s="344" t="s">
        <v>747</v>
      </c>
      <c r="T23" s="339">
        <v>3</v>
      </c>
      <c r="U23" s="340">
        <v>24</v>
      </c>
      <c r="V23" s="340">
        <v>0</v>
      </c>
      <c r="W23" s="325">
        <v>0</v>
      </c>
      <c r="X23" s="326">
        <v>0</v>
      </c>
      <c r="Y23" s="325">
        <v>0</v>
      </c>
      <c r="Z23" s="324">
        <v>0</v>
      </c>
      <c r="AA23" s="324">
        <v>0</v>
      </c>
      <c r="AB23" s="324" t="s">
        <v>629</v>
      </c>
      <c r="AC23" s="320" t="s">
        <v>105</v>
      </c>
    </row>
    <row r="24" spans="2:29" ht="15" customHeight="1">
      <c r="B24" s="80" t="s">
        <v>748</v>
      </c>
      <c r="C24" s="345"/>
      <c r="D24" s="17"/>
      <c r="K24" s="16"/>
      <c r="L24" s="16"/>
      <c r="M24" s="16"/>
      <c r="N24" s="16"/>
      <c r="O24" s="16"/>
      <c r="P24" s="318"/>
      <c r="Q24" s="320" t="s">
        <v>749</v>
      </c>
      <c r="R24" s="327" t="s">
        <v>749</v>
      </c>
      <c r="S24" s="320" t="s">
        <v>750</v>
      </c>
      <c r="T24" s="332">
        <v>0</v>
      </c>
      <c r="U24" s="332">
        <v>25</v>
      </c>
      <c r="V24" s="341">
        <v>11</v>
      </c>
      <c r="W24" s="333">
        <v>0.8</v>
      </c>
      <c r="X24" s="334">
        <v>11</v>
      </c>
      <c r="Y24" s="336">
        <v>0.05</v>
      </c>
      <c r="Z24" s="332">
        <v>11</v>
      </c>
      <c r="AA24" s="332">
        <v>11</v>
      </c>
      <c r="AB24" s="332" t="s">
        <v>629</v>
      </c>
      <c r="AC24" s="318"/>
    </row>
    <row r="25" spans="2:29" ht="15" customHeight="1">
      <c r="B25" s="144" t="s">
        <v>751</v>
      </c>
      <c r="C25" s="329">
        <v>6</v>
      </c>
      <c r="D25" s="17"/>
      <c r="E25" s="535" t="s">
        <v>752</v>
      </c>
      <c r="F25" s="535"/>
      <c r="G25" s="535"/>
      <c r="H25" s="535"/>
      <c r="I25" s="535"/>
      <c r="J25" s="535"/>
      <c r="K25" s="535"/>
      <c r="L25" s="16"/>
      <c r="M25" s="16"/>
      <c r="N25" s="16"/>
      <c r="O25" s="16"/>
      <c r="P25" s="318"/>
      <c r="Q25" s="320" t="s">
        <v>753</v>
      </c>
      <c r="R25" s="327" t="s">
        <v>753</v>
      </c>
      <c r="S25" s="320" t="s">
        <v>754</v>
      </c>
      <c r="T25" s="332">
        <v>0</v>
      </c>
      <c r="U25" s="332">
        <v>26</v>
      </c>
      <c r="V25" s="341">
        <v>11</v>
      </c>
      <c r="W25" s="333">
        <v>0.8</v>
      </c>
      <c r="X25" s="334">
        <v>11</v>
      </c>
      <c r="Y25" s="336">
        <v>0.05</v>
      </c>
      <c r="Z25" s="332">
        <v>11</v>
      </c>
      <c r="AA25" s="332">
        <v>11</v>
      </c>
      <c r="AB25" s="332" t="s">
        <v>629</v>
      </c>
      <c r="AC25" s="318"/>
    </row>
    <row r="26" spans="2:29" ht="15" customHeight="1">
      <c r="D26" s="17"/>
      <c r="E26" s="319" t="s">
        <v>600</v>
      </c>
      <c r="F26" s="319" t="s">
        <v>598</v>
      </c>
      <c r="G26" s="319" t="s">
        <v>755</v>
      </c>
      <c r="H26" s="319" t="s">
        <v>756</v>
      </c>
      <c r="I26" s="319" t="s">
        <v>757</v>
      </c>
      <c r="J26" s="319" t="s">
        <v>758</v>
      </c>
      <c r="K26" s="319" t="s">
        <v>759</v>
      </c>
      <c r="L26" s="16"/>
      <c r="M26" s="16"/>
      <c r="N26" s="16"/>
      <c r="O26" s="16"/>
      <c r="P26" s="318"/>
      <c r="Q26" s="320" t="s">
        <v>760</v>
      </c>
      <c r="R26" s="327" t="s">
        <v>760</v>
      </c>
      <c r="S26" s="320" t="s">
        <v>761</v>
      </c>
      <c r="T26" s="332">
        <v>0</v>
      </c>
      <c r="U26" s="332">
        <v>27</v>
      </c>
      <c r="V26" s="332">
        <v>11</v>
      </c>
      <c r="W26" s="333">
        <v>0.8</v>
      </c>
      <c r="X26" s="334">
        <v>11</v>
      </c>
      <c r="Y26" s="336">
        <v>0.05</v>
      </c>
      <c r="Z26" s="332">
        <v>11</v>
      </c>
      <c r="AA26" s="332">
        <v>11</v>
      </c>
      <c r="AB26" s="332" t="s">
        <v>629</v>
      </c>
      <c r="AC26" s="318"/>
    </row>
    <row r="27" spans="2:29">
      <c r="D27" s="17"/>
      <c r="E27" s="46">
        <v>1</v>
      </c>
      <c r="F27" s="47" t="s">
        <v>762</v>
      </c>
      <c r="G27" s="320">
        <v>0</v>
      </c>
      <c r="H27" s="320">
        <v>103</v>
      </c>
      <c r="I27" s="346" t="s">
        <v>629</v>
      </c>
      <c r="J27" s="320">
        <v>0</v>
      </c>
      <c r="K27" s="320">
        <v>5</v>
      </c>
      <c r="L27" s="16"/>
      <c r="M27" s="16"/>
      <c r="N27" s="16"/>
      <c r="O27" s="16"/>
      <c r="P27" s="318"/>
      <c r="Q27" s="320" t="s">
        <v>763</v>
      </c>
      <c r="R27" s="327" t="s">
        <v>763</v>
      </c>
      <c r="S27" s="320" t="s">
        <v>764</v>
      </c>
      <c r="T27" s="332">
        <v>0</v>
      </c>
      <c r="U27" s="332">
        <v>28</v>
      </c>
      <c r="V27" s="332">
        <v>11</v>
      </c>
      <c r="W27" s="333">
        <v>0.8</v>
      </c>
      <c r="X27" s="334">
        <v>11</v>
      </c>
      <c r="Y27" s="336">
        <v>0.05</v>
      </c>
      <c r="Z27" s="332">
        <v>11</v>
      </c>
      <c r="AA27" s="332">
        <v>11</v>
      </c>
      <c r="AB27" s="332" t="s">
        <v>629</v>
      </c>
      <c r="AC27" s="318"/>
    </row>
    <row r="28" spans="2:29">
      <c r="B28" s="347" t="s">
        <v>765</v>
      </c>
      <c r="C28" s="347" t="s">
        <v>766</v>
      </c>
      <c r="D28" s="17"/>
      <c r="E28" s="196">
        <v>2</v>
      </c>
      <c r="F28" s="198" t="s">
        <v>767</v>
      </c>
      <c r="G28" s="342">
        <v>103</v>
      </c>
      <c r="H28" s="342">
        <v>103</v>
      </c>
      <c r="I28" s="348" t="s">
        <v>629</v>
      </c>
      <c r="J28" s="342">
        <v>0</v>
      </c>
      <c r="K28" s="342">
        <v>5</v>
      </c>
      <c r="L28" s="16"/>
      <c r="M28" s="16"/>
      <c r="N28" s="16"/>
      <c r="O28" s="16"/>
      <c r="P28" s="318"/>
      <c r="Q28" s="320" t="s">
        <v>768</v>
      </c>
      <c r="R28" s="327" t="s">
        <v>768</v>
      </c>
      <c r="S28" s="320" t="s">
        <v>769</v>
      </c>
      <c r="T28" s="332">
        <v>0</v>
      </c>
      <c r="U28" s="332">
        <v>29</v>
      </c>
      <c r="V28" s="332">
        <v>11</v>
      </c>
      <c r="W28" s="333">
        <v>0.8</v>
      </c>
      <c r="X28" s="334">
        <v>11</v>
      </c>
      <c r="Y28" s="336">
        <v>0.05</v>
      </c>
      <c r="Z28" s="332">
        <v>11</v>
      </c>
      <c r="AA28" s="332">
        <v>11</v>
      </c>
      <c r="AB28" s="332" t="s">
        <v>629</v>
      </c>
      <c r="AC28" s="318"/>
    </row>
    <row r="29" spans="2:29" ht="15" customHeight="1">
      <c r="B29" s="329" t="s">
        <v>770</v>
      </c>
      <c r="C29" s="329" t="s">
        <v>771</v>
      </c>
      <c r="D29" s="17"/>
      <c r="E29" s="196"/>
      <c r="F29" s="197"/>
      <c r="G29" s="342"/>
      <c r="H29" s="342"/>
      <c r="I29" s="348"/>
      <c r="J29" s="342"/>
      <c r="K29" s="342"/>
      <c r="L29" s="318"/>
      <c r="M29" s="318"/>
      <c r="N29" s="16"/>
      <c r="O29" s="16"/>
      <c r="P29" s="318"/>
      <c r="Q29" s="344" t="s">
        <v>772</v>
      </c>
      <c r="R29" s="338" t="s">
        <v>772</v>
      </c>
      <c r="S29" s="344" t="s">
        <v>773</v>
      </c>
      <c r="T29" s="339">
        <v>3</v>
      </c>
      <c r="U29" s="340">
        <v>30</v>
      </c>
      <c r="V29" s="340">
        <v>0</v>
      </c>
      <c r="W29" s="325">
        <v>0</v>
      </c>
      <c r="X29" s="326">
        <v>0</v>
      </c>
      <c r="Y29" s="325">
        <v>0</v>
      </c>
      <c r="Z29" s="324">
        <v>0</v>
      </c>
      <c r="AA29" s="324">
        <v>0</v>
      </c>
      <c r="AB29" s="324" t="s">
        <v>629</v>
      </c>
      <c r="AC29" s="318"/>
    </row>
    <row r="30" spans="2:29" ht="15" customHeight="1">
      <c r="B30" s="329" t="s">
        <v>774</v>
      </c>
      <c r="C30" s="329" t="s">
        <v>775</v>
      </c>
      <c r="D30" s="17"/>
      <c r="E30" s="538" t="s">
        <v>776</v>
      </c>
      <c r="F30" s="540"/>
      <c r="G30" s="540"/>
      <c r="H30" s="539"/>
      <c r="I30" s="17"/>
      <c r="J30" s="544" t="s">
        <v>777</v>
      </c>
      <c r="K30" s="545"/>
      <c r="L30" s="545"/>
      <c r="M30" s="545"/>
      <c r="N30" s="318"/>
      <c r="O30" s="349" t="s">
        <v>778</v>
      </c>
      <c r="P30" s="318"/>
      <c r="Q30" s="320" t="s">
        <v>779</v>
      </c>
      <c r="R30" s="327" t="s">
        <v>779</v>
      </c>
      <c r="S30" s="320" t="s">
        <v>780</v>
      </c>
      <c r="T30" s="332">
        <v>0</v>
      </c>
      <c r="U30" s="332">
        <v>31</v>
      </c>
      <c r="V30" s="341">
        <v>11</v>
      </c>
      <c r="W30" s="333">
        <v>0.8</v>
      </c>
      <c r="X30" s="334">
        <v>11</v>
      </c>
      <c r="Y30" s="336">
        <v>0.05</v>
      </c>
      <c r="Z30" s="332">
        <v>11</v>
      </c>
      <c r="AA30" s="332">
        <v>11</v>
      </c>
      <c r="AB30" s="332" t="s">
        <v>629</v>
      </c>
      <c r="AC30" s="318"/>
    </row>
    <row r="31" spans="2:29">
      <c r="B31" s="329" t="s">
        <v>781</v>
      </c>
      <c r="C31" s="329" t="s">
        <v>782</v>
      </c>
      <c r="D31" s="17"/>
      <c r="E31" s="541" t="s">
        <v>783</v>
      </c>
      <c r="F31" s="542"/>
      <c r="G31" s="543"/>
      <c r="H31" s="177" t="s">
        <v>784</v>
      </c>
      <c r="I31" s="17" t="s">
        <v>785</v>
      </c>
      <c r="J31" s="350">
        <v>0</v>
      </c>
      <c r="K31" s="320" t="s">
        <v>786</v>
      </c>
      <c r="L31" s="320"/>
      <c r="M31" s="320"/>
      <c r="N31" s="318"/>
      <c r="O31" s="351" t="s">
        <v>787</v>
      </c>
      <c r="P31" s="318"/>
      <c r="Q31" s="320" t="s">
        <v>788</v>
      </c>
      <c r="R31" s="327" t="s">
        <v>788</v>
      </c>
      <c r="S31" s="320" t="s">
        <v>789</v>
      </c>
      <c r="T31" s="332">
        <v>0</v>
      </c>
      <c r="U31" s="332">
        <v>32</v>
      </c>
      <c r="V31" s="341">
        <v>11</v>
      </c>
      <c r="W31" s="333">
        <v>0.8</v>
      </c>
      <c r="X31" s="334">
        <v>11</v>
      </c>
      <c r="Y31" s="336">
        <v>0.05</v>
      </c>
      <c r="Z31" s="332">
        <v>11</v>
      </c>
      <c r="AA31" s="332">
        <v>11</v>
      </c>
      <c r="AB31" s="332" t="s">
        <v>629</v>
      </c>
      <c r="AC31" s="318"/>
    </row>
    <row r="32" spans="2:29">
      <c r="B32" s="329" t="s">
        <v>790</v>
      </c>
      <c r="C32" s="329" t="s">
        <v>791</v>
      </c>
      <c r="D32" s="17"/>
      <c r="E32" s="541" t="s">
        <v>792</v>
      </c>
      <c r="F32" s="542"/>
      <c r="G32" s="543"/>
      <c r="H32" s="177" t="s">
        <v>793</v>
      </c>
      <c r="I32" s="17" t="s">
        <v>794</v>
      </c>
      <c r="J32" s="350">
        <v>1</v>
      </c>
      <c r="K32" s="320" t="s">
        <v>795</v>
      </c>
      <c r="L32" s="320"/>
      <c r="M32" s="320"/>
      <c r="N32" s="318"/>
      <c r="O32" s="318"/>
      <c r="P32" s="318"/>
      <c r="Q32" s="344" t="s">
        <v>796</v>
      </c>
      <c r="R32" s="338" t="s">
        <v>796</v>
      </c>
      <c r="S32" s="344" t="s">
        <v>797</v>
      </c>
      <c r="T32" s="339">
        <v>3</v>
      </c>
      <c r="U32" s="340">
        <v>33</v>
      </c>
      <c r="V32" s="340">
        <v>0</v>
      </c>
      <c r="W32" s="325">
        <v>0</v>
      </c>
      <c r="X32" s="326">
        <v>0</v>
      </c>
      <c r="Y32" s="325">
        <v>0</v>
      </c>
      <c r="Z32" s="324">
        <v>0</v>
      </c>
      <c r="AA32" s="324">
        <v>0</v>
      </c>
      <c r="AB32" s="324" t="s">
        <v>629</v>
      </c>
      <c r="AC32" s="318"/>
    </row>
    <row r="33" spans="2:28">
      <c r="B33" s="329" t="s">
        <v>798</v>
      </c>
      <c r="C33" s="329" t="s">
        <v>799</v>
      </c>
      <c r="D33" s="17"/>
      <c r="E33" s="541" t="s">
        <v>800</v>
      </c>
      <c r="F33" s="542"/>
      <c r="G33" s="543"/>
      <c r="H33" s="177" t="s">
        <v>801</v>
      </c>
      <c r="I33" s="17"/>
      <c r="J33" s="350">
        <v>2</v>
      </c>
      <c r="K33" s="320" t="s">
        <v>802</v>
      </c>
      <c r="L33" s="320"/>
      <c r="M33" s="320"/>
      <c r="N33" s="318"/>
      <c r="O33" s="318"/>
      <c r="P33" s="318"/>
      <c r="Q33" s="320" t="s">
        <v>803</v>
      </c>
      <c r="R33" s="327" t="s">
        <v>803</v>
      </c>
      <c r="S33" s="320" t="s">
        <v>804</v>
      </c>
      <c r="T33" s="332">
        <v>0</v>
      </c>
      <c r="U33" s="332">
        <v>34</v>
      </c>
      <c r="V33" s="341">
        <v>11</v>
      </c>
      <c r="W33" s="333">
        <v>0.8</v>
      </c>
      <c r="X33" s="334">
        <v>11</v>
      </c>
      <c r="Y33" s="336">
        <v>0.05</v>
      </c>
      <c r="Z33" s="332">
        <v>11</v>
      </c>
      <c r="AA33" s="332">
        <v>11</v>
      </c>
      <c r="AB33" s="332" t="s">
        <v>629</v>
      </c>
    </row>
    <row r="34" spans="2:28">
      <c r="B34" s="329" t="s">
        <v>805</v>
      </c>
      <c r="C34" s="329" t="s">
        <v>806</v>
      </c>
      <c r="D34" s="17"/>
      <c r="E34" s="541" t="s">
        <v>807</v>
      </c>
      <c r="F34" s="542"/>
      <c r="G34" s="543"/>
      <c r="H34" s="177" t="s">
        <v>629</v>
      </c>
      <c r="I34" s="318" t="s">
        <v>808</v>
      </c>
      <c r="J34" s="350">
        <v>3</v>
      </c>
      <c r="K34" s="320" t="s">
        <v>809</v>
      </c>
      <c r="L34" s="320"/>
      <c r="M34" s="320"/>
      <c r="N34" s="318"/>
      <c r="O34" s="318"/>
      <c r="P34" s="318"/>
      <c r="Q34" s="199" t="s">
        <v>810</v>
      </c>
      <c r="R34" s="327" t="s">
        <v>810</v>
      </c>
      <c r="S34" s="199" t="s">
        <v>811</v>
      </c>
      <c r="T34" s="332">
        <v>0</v>
      </c>
      <c r="U34" s="332">
        <v>35</v>
      </c>
      <c r="V34" s="341">
        <v>11</v>
      </c>
      <c r="W34" s="333">
        <v>0.8</v>
      </c>
      <c r="X34" s="334">
        <v>11</v>
      </c>
      <c r="Y34" s="336">
        <v>0.05</v>
      </c>
      <c r="Z34" s="332">
        <v>11</v>
      </c>
      <c r="AA34" s="332">
        <v>11</v>
      </c>
      <c r="AB34" s="332" t="s">
        <v>629</v>
      </c>
    </row>
    <row r="35" spans="2:28">
      <c r="B35" s="329" t="s">
        <v>812</v>
      </c>
      <c r="C35" s="329" t="s">
        <v>813</v>
      </c>
      <c r="D35" s="17"/>
      <c r="E35" s="541" t="s">
        <v>814</v>
      </c>
      <c r="F35" s="542"/>
      <c r="G35" s="543"/>
      <c r="H35" s="177" t="s">
        <v>629</v>
      </c>
      <c r="I35" s="318" t="s">
        <v>808</v>
      </c>
      <c r="J35" s="350">
        <v>4</v>
      </c>
      <c r="K35" s="320" t="s">
        <v>815</v>
      </c>
      <c r="L35" s="320"/>
      <c r="M35" s="320"/>
      <c r="N35" s="318"/>
      <c r="O35" s="318"/>
      <c r="P35" s="318"/>
      <c r="Q35" s="323" t="s">
        <v>275</v>
      </c>
      <c r="R35" s="322" t="s">
        <v>275</v>
      </c>
      <c r="S35" s="323" t="s">
        <v>816</v>
      </c>
      <c r="T35" s="324">
        <v>0</v>
      </c>
      <c r="U35" s="324">
        <v>36</v>
      </c>
      <c r="V35" s="324">
        <v>5</v>
      </c>
      <c r="W35" s="330">
        <v>0.3</v>
      </c>
      <c r="X35" s="331">
        <v>5</v>
      </c>
      <c r="Y35" s="330">
        <v>0.1</v>
      </c>
      <c r="Z35" s="324">
        <v>0</v>
      </c>
      <c r="AA35" s="324">
        <v>0</v>
      </c>
      <c r="AB35" s="324" t="s">
        <v>629</v>
      </c>
    </row>
    <row r="36" spans="2:28">
      <c r="B36" s="329" t="s">
        <v>817</v>
      </c>
      <c r="C36" s="329" t="s">
        <v>818</v>
      </c>
      <c r="D36" s="17"/>
      <c r="E36" s="541" t="s">
        <v>819</v>
      </c>
      <c r="F36" s="542"/>
      <c r="G36" s="543"/>
      <c r="H36" s="177"/>
      <c r="I36" s="318" t="s">
        <v>808</v>
      </c>
      <c r="J36" s="350">
        <v>5</v>
      </c>
      <c r="K36" s="320" t="s">
        <v>820</v>
      </c>
      <c r="L36" s="320"/>
      <c r="M36" s="320"/>
      <c r="N36" s="318"/>
      <c r="O36" s="318"/>
      <c r="P36" s="318"/>
      <c r="Q36" s="323" t="s">
        <v>269</v>
      </c>
      <c r="R36" s="322" t="s">
        <v>269</v>
      </c>
      <c r="S36" s="323" t="s">
        <v>821</v>
      </c>
      <c r="T36" s="324">
        <v>0</v>
      </c>
      <c r="U36" s="324">
        <v>37</v>
      </c>
      <c r="V36" s="324">
        <v>5</v>
      </c>
      <c r="W36" s="330">
        <v>0.3</v>
      </c>
      <c r="X36" s="331">
        <v>5</v>
      </c>
      <c r="Y36" s="330">
        <v>0.1</v>
      </c>
      <c r="Z36" s="324">
        <v>0</v>
      </c>
      <c r="AA36" s="324">
        <v>0</v>
      </c>
      <c r="AB36" s="324" t="s">
        <v>629</v>
      </c>
    </row>
    <row r="37" spans="2:28">
      <c r="B37" s="329" t="s">
        <v>822</v>
      </c>
      <c r="C37" s="329" t="s">
        <v>823</v>
      </c>
      <c r="D37" s="17"/>
      <c r="E37" s="318"/>
      <c r="F37" s="318"/>
      <c r="G37" s="318"/>
      <c r="H37" s="318"/>
      <c r="I37" s="318"/>
      <c r="J37" s="318"/>
      <c r="K37" s="318"/>
      <c r="L37" s="318"/>
      <c r="M37" s="318"/>
      <c r="N37" s="318"/>
      <c r="O37" s="318"/>
      <c r="P37" s="318"/>
      <c r="Q37" s="199" t="s">
        <v>824</v>
      </c>
      <c r="R37" s="327" t="s">
        <v>824</v>
      </c>
      <c r="S37" s="199" t="s">
        <v>825</v>
      </c>
      <c r="T37" s="332">
        <v>0</v>
      </c>
      <c r="U37" s="332">
        <v>38</v>
      </c>
      <c r="V37" s="332">
        <v>37</v>
      </c>
      <c r="W37" s="333">
        <v>0.8</v>
      </c>
      <c r="X37" s="334">
        <v>37</v>
      </c>
      <c r="Y37" s="333">
        <v>0.3</v>
      </c>
      <c r="Z37" s="332">
        <v>37</v>
      </c>
      <c r="AA37" s="332">
        <v>37</v>
      </c>
      <c r="AB37" s="332" t="s">
        <v>629</v>
      </c>
    </row>
    <row r="38" spans="2:28" ht="30">
      <c r="B38" s="329" t="s">
        <v>826</v>
      </c>
      <c r="C38" s="329" t="s">
        <v>827</v>
      </c>
      <c r="D38" s="17"/>
      <c r="E38" s="352" t="s">
        <v>828</v>
      </c>
      <c r="F38" s="318"/>
      <c r="I38" s="318"/>
      <c r="J38" s="318"/>
      <c r="K38" s="318"/>
      <c r="L38" s="318"/>
      <c r="M38" s="318"/>
      <c r="N38" s="318"/>
      <c r="O38" s="318"/>
      <c r="P38" s="318"/>
      <c r="Q38" s="199" t="s">
        <v>829</v>
      </c>
      <c r="R38" s="327" t="s">
        <v>829</v>
      </c>
      <c r="S38" s="199" t="s">
        <v>830</v>
      </c>
      <c r="T38" s="332">
        <v>0</v>
      </c>
      <c r="U38" s="332">
        <v>39</v>
      </c>
      <c r="V38" s="332">
        <v>37</v>
      </c>
      <c r="W38" s="333">
        <v>0.8</v>
      </c>
      <c r="X38" s="334">
        <v>37</v>
      </c>
      <c r="Y38" s="333">
        <v>0.3</v>
      </c>
      <c r="Z38" s="332">
        <v>37</v>
      </c>
      <c r="AA38" s="332">
        <v>37</v>
      </c>
      <c r="AB38" s="332" t="s">
        <v>629</v>
      </c>
    </row>
    <row r="39" spans="2:28">
      <c r="B39" s="329" t="s">
        <v>831</v>
      </c>
      <c r="C39" s="329" t="s">
        <v>832</v>
      </c>
      <c r="D39" s="17"/>
      <c r="E39" s="328" t="s">
        <v>833</v>
      </c>
      <c r="F39" s="318"/>
      <c r="I39" s="318"/>
      <c r="J39" s="318"/>
      <c r="K39" s="318"/>
      <c r="L39" s="318"/>
      <c r="M39" s="318"/>
      <c r="N39" s="318"/>
      <c r="O39" s="318"/>
      <c r="P39" s="318"/>
      <c r="Q39" s="323" t="s">
        <v>834</v>
      </c>
      <c r="R39" s="322" t="s">
        <v>834</v>
      </c>
      <c r="S39" s="323" t="s">
        <v>835</v>
      </c>
      <c r="T39" s="324">
        <v>0</v>
      </c>
      <c r="U39" s="324">
        <v>40</v>
      </c>
      <c r="V39" s="324">
        <v>5</v>
      </c>
      <c r="W39" s="330">
        <v>0.3</v>
      </c>
      <c r="X39" s="331">
        <v>5</v>
      </c>
      <c r="Y39" s="330">
        <v>0.1</v>
      </c>
      <c r="Z39" s="324">
        <v>0</v>
      </c>
      <c r="AA39" s="324">
        <v>0</v>
      </c>
      <c r="AB39" s="324" t="s">
        <v>629</v>
      </c>
    </row>
    <row r="40" spans="2:28">
      <c r="B40" s="329" t="s">
        <v>836</v>
      </c>
      <c r="C40" s="329" t="s">
        <v>837</v>
      </c>
      <c r="D40" s="17"/>
      <c r="E40" s="328" t="s">
        <v>838</v>
      </c>
      <c r="F40" s="318"/>
      <c r="I40" s="318"/>
      <c r="J40" s="318"/>
      <c r="K40" s="318"/>
      <c r="L40" s="318"/>
      <c r="M40" s="318"/>
      <c r="N40" s="318"/>
      <c r="O40" s="318"/>
      <c r="P40" s="318"/>
      <c r="Q40" s="323" t="s">
        <v>839</v>
      </c>
      <c r="R40" s="322" t="s">
        <v>839</v>
      </c>
      <c r="S40" s="323" t="s">
        <v>840</v>
      </c>
      <c r="T40" s="324">
        <v>0</v>
      </c>
      <c r="U40" s="324">
        <v>41</v>
      </c>
      <c r="V40" s="324">
        <v>5</v>
      </c>
      <c r="W40" s="330">
        <v>0.3</v>
      </c>
      <c r="X40" s="331">
        <v>5</v>
      </c>
      <c r="Y40" s="330">
        <v>0.1</v>
      </c>
      <c r="Z40" s="324">
        <v>0</v>
      </c>
      <c r="AA40" s="324">
        <v>0</v>
      </c>
      <c r="AB40" s="324" t="s">
        <v>629</v>
      </c>
    </row>
    <row r="41" spans="2:28">
      <c r="B41" s="329" t="s">
        <v>841</v>
      </c>
      <c r="C41" s="329" t="s">
        <v>842</v>
      </c>
      <c r="D41" s="17"/>
      <c r="E41" s="328" t="s">
        <v>843</v>
      </c>
      <c r="F41" s="318"/>
      <c r="I41" s="318"/>
      <c r="J41" s="318"/>
      <c r="K41" s="318"/>
      <c r="L41" s="318"/>
      <c r="M41" s="318"/>
      <c r="N41" s="318"/>
      <c r="O41" s="318"/>
      <c r="P41" s="318"/>
      <c r="Q41" s="199" t="s">
        <v>844</v>
      </c>
      <c r="R41" s="327" t="s">
        <v>844</v>
      </c>
      <c r="S41" s="199" t="s">
        <v>845</v>
      </c>
      <c r="T41" s="332">
        <v>0</v>
      </c>
      <c r="U41" s="332">
        <v>42</v>
      </c>
      <c r="V41" s="332">
        <v>41</v>
      </c>
      <c r="W41" s="333">
        <v>0.8</v>
      </c>
      <c r="X41" s="353">
        <v>5</v>
      </c>
      <c r="Y41" s="354">
        <v>0.05</v>
      </c>
      <c r="Z41" s="332">
        <v>41</v>
      </c>
      <c r="AA41" s="332">
        <v>41</v>
      </c>
      <c r="AB41" s="332" t="s">
        <v>629</v>
      </c>
    </row>
    <row r="42" spans="2:28">
      <c r="B42" s="329" t="s">
        <v>846</v>
      </c>
      <c r="C42" s="329" t="s">
        <v>847</v>
      </c>
      <c r="D42" s="17"/>
      <c r="E42" s="328" t="s">
        <v>17</v>
      </c>
      <c r="F42" s="318"/>
      <c r="G42" s="318"/>
      <c r="H42" s="318"/>
      <c r="I42" s="318"/>
      <c r="J42" s="318"/>
      <c r="K42" s="318"/>
      <c r="L42" s="318"/>
      <c r="M42" s="318"/>
      <c r="N42" s="318"/>
      <c r="O42" s="318"/>
      <c r="P42" s="318"/>
      <c r="Q42" s="199" t="s">
        <v>848</v>
      </c>
      <c r="R42" s="327" t="s">
        <v>848</v>
      </c>
      <c r="S42" s="199" t="s">
        <v>849</v>
      </c>
      <c r="T42" s="332">
        <v>0</v>
      </c>
      <c r="U42" s="332">
        <v>43</v>
      </c>
      <c r="V42" s="332">
        <v>41</v>
      </c>
      <c r="W42" s="333">
        <v>0.8</v>
      </c>
      <c r="X42" s="353">
        <v>5</v>
      </c>
      <c r="Y42" s="354">
        <v>0.05</v>
      </c>
      <c r="Z42" s="332">
        <v>41</v>
      </c>
      <c r="AA42" s="332">
        <v>41</v>
      </c>
      <c r="AB42" s="332" t="s">
        <v>629</v>
      </c>
    </row>
    <row r="43" spans="2:28">
      <c r="B43" s="329" t="s">
        <v>850</v>
      </c>
      <c r="C43" s="329" t="s">
        <v>851</v>
      </c>
      <c r="D43" s="17"/>
      <c r="E43" s="328" t="s">
        <v>852</v>
      </c>
      <c r="F43" s="318"/>
      <c r="G43" s="547" t="s">
        <v>853</v>
      </c>
      <c r="H43" s="547"/>
      <c r="I43" s="547"/>
      <c r="J43" s="547"/>
      <c r="K43" s="547"/>
      <c r="L43" s="547"/>
      <c r="M43" s="547"/>
      <c r="N43" s="547"/>
      <c r="O43" s="318"/>
      <c r="P43" s="318"/>
      <c r="Q43" s="199" t="s">
        <v>854</v>
      </c>
      <c r="R43" s="327" t="s">
        <v>854</v>
      </c>
      <c r="S43" s="199" t="s">
        <v>855</v>
      </c>
      <c r="T43" s="332">
        <v>0</v>
      </c>
      <c r="U43" s="332">
        <v>44</v>
      </c>
      <c r="V43" s="332">
        <v>41</v>
      </c>
      <c r="W43" s="333">
        <v>0.8</v>
      </c>
      <c r="X43" s="353">
        <v>5</v>
      </c>
      <c r="Y43" s="354">
        <v>0.05</v>
      </c>
      <c r="Z43" s="332">
        <v>41</v>
      </c>
      <c r="AA43" s="332">
        <v>41</v>
      </c>
      <c r="AB43" s="332" t="s">
        <v>629</v>
      </c>
    </row>
    <row r="44" spans="2:28">
      <c r="B44" s="329" t="s">
        <v>856</v>
      </c>
      <c r="C44" s="329" t="s">
        <v>857</v>
      </c>
      <c r="D44" s="17"/>
      <c r="E44" s="328" t="s">
        <v>628</v>
      </c>
      <c r="F44" s="318"/>
      <c r="G44" s="355" t="s">
        <v>858</v>
      </c>
      <c r="H44" s="355" t="s">
        <v>859</v>
      </c>
      <c r="I44" s="355" t="s">
        <v>616</v>
      </c>
      <c r="J44" s="355" t="s">
        <v>860</v>
      </c>
      <c r="K44" s="551" t="s">
        <v>861</v>
      </c>
      <c r="L44" s="552"/>
      <c r="M44" s="552"/>
      <c r="N44" s="553"/>
      <c r="O44" s="318"/>
      <c r="P44" s="318"/>
      <c r="Q44" s="323" t="s">
        <v>862</v>
      </c>
      <c r="R44" s="322" t="s">
        <v>862</v>
      </c>
      <c r="S44" s="323" t="s">
        <v>863</v>
      </c>
      <c r="T44" s="324">
        <v>0</v>
      </c>
      <c r="U44" s="324">
        <v>45</v>
      </c>
      <c r="V44" s="324">
        <v>5</v>
      </c>
      <c r="W44" s="330">
        <v>0.3</v>
      </c>
      <c r="X44" s="331">
        <v>5</v>
      </c>
      <c r="Y44" s="330">
        <v>0.1</v>
      </c>
      <c r="Z44" s="324">
        <v>0</v>
      </c>
      <c r="AA44" s="324">
        <v>0</v>
      </c>
      <c r="AB44" s="324" t="s">
        <v>629</v>
      </c>
    </row>
    <row r="45" spans="2:28">
      <c r="B45" s="329" t="s">
        <v>864</v>
      </c>
      <c r="C45" s="329" t="s">
        <v>865</v>
      </c>
      <c r="D45" s="17"/>
      <c r="E45" s="328" t="s">
        <v>866</v>
      </c>
      <c r="F45" s="318"/>
      <c r="G45" s="45">
        <v>123.456</v>
      </c>
      <c r="H45" s="50" t="s">
        <v>867</v>
      </c>
      <c r="I45" s="50"/>
      <c r="J45" s="44"/>
      <c r="K45" s="546" t="s">
        <v>868</v>
      </c>
      <c r="L45" s="546"/>
      <c r="M45" s="546"/>
      <c r="N45" s="546"/>
      <c r="O45" s="318"/>
      <c r="P45" s="318"/>
      <c r="Q45" s="199" t="s">
        <v>869</v>
      </c>
      <c r="R45" s="327" t="s">
        <v>869</v>
      </c>
      <c r="S45" s="199" t="s">
        <v>870</v>
      </c>
      <c r="T45" s="332">
        <v>0</v>
      </c>
      <c r="U45" s="332">
        <v>46</v>
      </c>
      <c r="V45" s="332">
        <v>45</v>
      </c>
      <c r="W45" s="333">
        <v>0.8</v>
      </c>
      <c r="X45" s="334">
        <v>45</v>
      </c>
      <c r="Y45" s="333">
        <v>0.3</v>
      </c>
      <c r="Z45" s="332">
        <v>45</v>
      </c>
      <c r="AA45" s="332">
        <v>45</v>
      </c>
      <c r="AB45" s="332" t="s">
        <v>629</v>
      </c>
    </row>
    <row r="46" spans="2:28" ht="15.75">
      <c r="B46" s="329" t="s">
        <v>871</v>
      </c>
      <c r="C46" s="329" t="s">
        <v>872</v>
      </c>
      <c r="D46" s="17"/>
      <c r="E46" s="328" t="s">
        <v>873</v>
      </c>
      <c r="F46" s="318"/>
      <c r="G46" s="270">
        <v>123.456</v>
      </c>
      <c r="H46" s="321" t="s">
        <v>874</v>
      </c>
      <c r="I46" s="50" t="s">
        <v>875</v>
      </c>
      <c r="J46" s="44"/>
      <c r="K46" s="546" t="s">
        <v>876</v>
      </c>
      <c r="L46" s="546"/>
      <c r="M46" s="546"/>
      <c r="N46" s="546"/>
      <c r="O46" s="318"/>
      <c r="P46" s="318"/>
      <c r="Q46" s="199" t="s">
        <v>877</v>
      </c>
      <c r="R46" s="327" t="s">
        <v>877</v>
      </c>
      <c r="S46" s="199" t="s">
        <v>878</v>
      </c>
      <c r="T46" s="332">
        <v>0</v>
      </c>
      <c r="U46" s="332">
        <v>47</v>
      </c>
      <c r="V46" s="332">
        <v>45</v>
      </c>
      <c r="W46" s="333">
        <v>0.8</v>
      </c>
      <c r="X46" s="334">
        <v>45</v>
      </c>
      <c r="Y46" s="333">
        <v>0.3</v>
      </c>
      <c r="Z46" s="332">
        <v>45</v>
      </c>
      <c r="AA46" s="332">
        <v>45</v>
      </c>
      <c r="AB46" s="332" t="s">
        <v>629</v>
      </c>
    </row>
    <row r="47" spans="2:28" ht="37.5" customHeight="1">
      <c r="B47" s="329" t="s">
        <v>879</v>
      </c>
      <c r="C47" s="329" t="s">
        <v>880</v>
      </c>
      <c r="D47" s="17"/>
      <c r="E47" s="318"/>
      <c r="F47" s="318"/>
      <c r="G47" s="356">
        <v>123.456</v>
      </c>
      <c r="H47" s="321" t="s">
        <v>881</v>
      </c>
      <c r="I47" s="50" t="s">
        <v>882</v>
      </c>
      <c r="J47" s="177" t="s">
        <v>629</v>
      </c>
      <c r="K47" s="548" t="s">
        <v>883</v>
      </c>
      <c r="L47" s="549"/>
      <c r="M47" s="549"/>
      <c r="N47" s="550"/>
      <c r="O47" s="318"/>
      <c r="P47" s="318"/>
      <c r="Q47" s="199" t="s">
        <v>884</v>
      </c>
      <c r="R47" s="327" t="s">
        <v>884</v>
      </c>
      <c r="S47" s="199" t="s">
        <v>885</v>
      </c>
      <c r="T47" s="332">
        <v>0</v>
      </c>
      <c r="U47" s="332">
        <v>48</v>
      </c>
      <c r="V47" s="332">
        <v>45</v>
      </c>
      <c r="W47" s="333">
        <v>0.8</v>
      </c>
      <c r="X47" s="334">
        <v>45</v>
      </c>
      <c r="Y47" s="333">
        <v>0.3</v>
      </c>
      <c r="Z47" s="332">
        <v>45</v>
      </c>
      <c r="AA47" s="332">
        <v>45</v>
      </c>
      <c r="AB47" s="332" t="s">
        <v>629</v>
      </c>
    </row>
    <row r="48" spans="2:28" ht="28.5" customHeight="1">
      <c r="B48" s="329" t="s">
        <v>886</v>
      </c>
      <c r="C48" s="329" t="s">
        <v>887</v>
      </c>
      <c r="D48" s="17"/>
      <c r="F48" s="318"/>
      <c r="G48" s="356">
        <v>123.456</v>
      </c>
      <c r="H48" s="321" t="s">
        <v>888</v>
      </c>
      <c r="I48" s="50" t="s">
        <v>889</v>
      </c>
      <c r="J48" s="177" t="s">
        <v>629</v>
      </c>
      <c r="K48" s="534" t="s">
        <v>890</v>
      </c>
      <c r="L48" s="534"/>
      <c r="M48" s="534"/>
      <c r="N48" s="534"/>
      <c r="O48" s="318"/>
      <c r="P48" s="318"/>
      <c r="Q48" s="199" t="s">
        <v>891</v>
      </c>
      <c r="R48" s="327" t="s">
        <v>891</v>
      </c>
      <c r="S48" s="199" t="s">
        <v>892</v>
      </c>
      <c r="T48" s="332">
        <v>0</v>
      </c>
      <c r="U48" s="332">
        <v>49</v>
      </c>
      <c r="V48" s="332">
        <v>45</v>
      </c>
      <c r="W48" s="333">
        <v>0.8</v>
      </c>
      <c r="X48" s="334">
        <v>45</v>
      </c>
      <c r="Y48" s="333">
        <v>0.3</v>
      </c>
      <c r="Z48" s="332">
        <v>45</v>
      </c>
      <c r="AA48" s="332">
        <v>45</v>
      </c>
      <c r="AB48" s="332" t="s">
        <v>629</v>
      </c>
    </row>
    <row r="49" spans="2:28" ht="39.75" customHeight="1">
      <c r="B49" s="329" t="s">
        <v>893</v>
      </c>
      <c r="C49" s="329" t="s">
        <v>894</v>
      </c>
      <c r="D49" s="17"/>
      <c r="F49" s="318"/>
      <c r="G49" s="356">
        <v>123.456</v>
      </c>
      <c r="H49" s="321" t="s">
        <v>888</v>
      </c>
      <c r="I49" s="50" t="s">
        <v>895</v>
      </c>
      <c r="J49" s="177"/>
      <c r="K49" s="534" t="s">
        <v>896</v>
      </c>
      <c r="L49" s="534"/>
      <c r="M49" s="534"/>
      <c r="N49" s="534"/>
      <c r="O49" s="318"/>
      <c r="P49" s="318"/>
      <c r="Q49" s="199" t="s">
        <v>897</v>
      </c>
      <c r="R49" s="327" t="s">
        <v>897</v>
      </c>
      <c r="S49" s="199" t="s">
        <v>898</v>
      </c>
      <c r="T49" s="332">
        <v>0</v>
      </c>
      <c r="U49" s="332">
        <v>50</v>
      </c>
      <c r="V49" s="332">
        <v>45</v>
      </c>
      <c r="W49" s="333">
        <v>0.8</v>
      </c>
      <c r="X49" s="334">
        <v>45</v>
      </c>
      <c r="Y49" s="333">
        <v>0.3</v>
      </c>
      <c r="Z49" s="332">
        <v>45</v>
      </c>
      <c r="AA49" s="332">
        <v>45</v>
      </c>
      <c r="AB49" s="332" t="s">
        <v>629</v>
      </c>
    </row>
    <row r="50" spans="2:28" ht="30">
      <c r="B50" s="329" t="s">
        <v>899</v>
      </c>
      <c r="C50" s="329" t="s">
        <v>900</v>
      </c>
      <c r="D50" s="17"/>
      <c r="F50" s="318"/>
      <c r="G50" s="356">
        <v>123.456</v>
      </c>
      <c r="H50" s="321" t="s">
        <v>901</v>
      </c>
      <c r="I50" s="50" t="s">
        <v>902</v>
      </c>
      <c r="J50" s="177" t="s">
        <v>629</v>
      </c>
      <c r="K50" s="534" t="s">
        <v>903</v>
      </c>
      <c r="L50" s="534"/>
      <c r="M50" s="534"/>
      <c r="N50" s="534"/>
      <c r="O50" s="318"/>
      <c r="P50" s="318"/>
      <c r="Q50" s="323" t="s">
        <v>904</v>
      </c>
      <c r="R50" s="322" t="s">
        <v>904</v>
      </c>
      <c r="S50" s="323" t="s">
        <v>905</v>
      </c>
      <c r="T50" s="324">
        <v>0</v>
      </c>
      <c r="U50" s="324">
        <v>51</v>
      </c>
      <c r="V50" s="324">
        <v>5</v>
      </c>
      <c r="W50" s="330">
        <v>0.3</v>
      </c>
      <c r="X50" s="331">
        <v>5</v>
      </c>
      <c r="Y50" s="330">
        <v>0.1</v>
      </c>
      <c r="Z50" s="324">
        <v>0</v>
      </c>
      <c r="AA50" s="324">
        <v>0</v>
      </c>
      <c r="AB50" s="324" t="s">
        <v>629</v>
      </c>
    </row>
    <row r="51" spans="2:28" ht="41.25" customHeight="1">
      <c r="B51" s="329" t="s">
        <v>906</v>
      </c>
      <c r="C51" s="329" t="s">
        <v>907</v>
      </c>
      <c r="D51" s="17"/>
      <c r="E51" s="318"/>
      <c r="F51" s="318"/>
      <c r="G51" s="356">
        <v>123.456</v>
      </c>
      <c r="H51" s="321" t="s">
        <v>888</v>
      </c>
      <c r="I51" s="50" t="s">
        <v>908</v>
      </c>
      <c r="J51" s="177" t="s">
        <v>629</v>
      </c>
      <c r="K51" s="534" t="s">
        <v>909</v>
      </c>
      <c r="L51" s="534"/>
      <c r="M51" s="534"/>
      <c r="N51" s="534"/>
      <c r="O51" s="318"/>
      <c r="P51" s="318"/>
      <c r="Q51" s="323" t="s">
        <v>910</v>
      </c>
      <c r="R51" s="322" t="s">
        <v>910</v>
      </c>
      <c r="S51" s="323" t="s">
        <v>911</v>
      </c>
      <c r="T51" s="324">
        <v>0</v>
      </c>
      <c r="U51" s="324">
        <v>52</v>
      </c>
      <c r="V51" s="324">
        <v>5</v>
      </c>
      <c r="W51" s="330">
        <v>0.3</v>
      </c>
      <c r="X51" s="357">
        <v>5</v>
      </c>
      <c r="Y51" s="330">
        <v>0.1</v>
      </c>
      <c r="Z51" s="324">
        <v>0</v>
      </c>
      <c r="AA51" s="324">
        <v>0</v>
      </c>
      <c r="AB51" s="324" t="s">
        <v>629</v>
      </c>
    </row>
    <row r="52" spans="2:28" ht="24.75" customHeight="1">
      <c r="B52" s="329" t="s">
        <v>912</v>
      </c>
      <c r="C52" s="329" t="s">
        <v>913</v>
      </c>
      <c r="D52" s="17"/>
      <c r="E52" s="352" t="s">
        <v>914</v>
      </c>
      <c r="F52" s="318"/>
      <c r="G52" s="356">
        <v>123.456</v>
      </c>
      <c r="H52" s="321" t="s">
        <v>915</v>
      </c>
      <c r="I52" s="51" t="s">
        <v>916</v>
      </c>
      <c r="J52" s="177" t="s">
        <v>629</v>
      </c>
      <c r="K52" s="548" t="s">
        <v>917</v>
      </c>
      <c r="L52" s="549"/>
      <c r="M52" s="549"/>
      <c r="N52" s="550"/>
      <c r="O52" s="318"/>
      <c r="P52" s="318"/>
      <c r="Q52" s="337" t="s">
        <v>918</v>
      </c>
      <c r="R52" s="338" t="s">
        <v>918</v>
      </c>
      <c r="S52" s="337" t="s">
        <v>919</v>
      </c>
      <c r="T52" s="339">
        <v>3</v>
      </c>
      <c r="U52" s="340">
        <v>53</v>
      </c>
      <c r="V52" s="340">
        <v>0</v>
      </c>
      <c r="W52" s="325">
        <v>0</v>
      </c>
      <c r="X52" s="326">
        <v>0</v>
      </c>
      <c r="Y52" s="325">
        <v>0</v>
      </c>
      <c r="Z52" s="324">
        <v>0</v>
      </c>
      <c r="AA52" s="324">
        <v>0</v>
      </c>
      <c r="AB52" s="324" t="s">
        <v>629</v>
      </c>
    </row>
    <row r="53" spans="2:28">
      <c r="B53" s="329" t="s">
        <v>920</v>
      </c>
      <c r="C53" s="329" t="s">
        <v>921</v>
      </c>
      <c r="D53" s="17"/>
      <c r="E53" s="328" t="s">
        <v>922</v>
      </c>
      <c r="F53" s="318"/>
      <c r="G53" s="358">
        <v>123.456</v>
      </c>
      <c r="H53" s="321" t="s">
        <v>923</v>
      </c>
      <c r="I53" s="50" t="s">
        <v>924</v>
      </c>
      <c r="J53" s="177" t="s">
        <v>629</v>
      </c>
      <c r="K53" s="534" t="s">
        <v>925</v>
      </c>
      <c r="L53" s="534"/>
      <c r="M53" s="534"/>
      <c r="N53" s="534"/>
      <c r="O53" s="318"/>
      <c r="P53" s="318"/>
      <c r="Q53" s="199" t="s">
        <v>926</v>
      </c>
      <c r="R53" s="327" t="s">
        <v>926</v>
      </c>
      <c r="S53" s="199" t="s">
        <v>927</v>
      </c>
      <c r="T53" s="332">
        <v>0</v>
      </c>
      <c r="U53" s="332">
        <v>54</v>
      </c>
      <c r="V53" s="341">
        <v>52</v>
      </c>
      <c r="W53" s="333">
        <v>0.8</v>
      </c>
      <c r="X53" s="353">
        <v>5</v>
      </c>
      <c r="Y53" s="354">
        <v>0.05</v>
      </c>
      <c r="Z53" s="332">
        <v>52</v>
      </c>
      <c r="AA53" s="332">
        <v>52</v>
      </c>
      <c r="AB53" s="332" t="s">
        <v>629</v>
      </c>
    </row>
    <row r="54" spans="2:28" ht="30">
      <c r="B54" s="329" t="s">
        <v>928</v>
      </c>
      <c r="C54" s="329" t="s">
        <v>929</v>
      </c>
      <c r="D54" s="17"/>
      <c r="E54" s="328" t="s">
        <v>19</v>
      </c>
      <c r="F54" s="318"/>
      <c r="G54" s="359">
        <v>123.456</v>
      </c>
      <c r="H54" s="321" t="s">
        <v>930</v>
      </c>
      <c r="I54" s="50" t="s">
        <v>924</v>
      </c>
      <c r="J54" s="177" t="s">
        <v>629</v>
      </c>
      <c r="K54" s="534" t="s">
        <v>931</v>
      </c>
      <c r="L54" s="534"/>
      <c r="M54" s="534"/>
      <c r="N54" s="534"/>
      <c r="O54" s="318"/>
      <c r="P54" s="318"/>
      <c r="Q54" s="199" t="s">
        <v>932</v>
      </c>
      <c r="R54" s="327" t="s">
        <v>932</v>
      </c>
      <c r="S54" s="199" t="s">
        <v>933</v>
      </c>
      <c r="T54" s="332">
        <v>0</v>
      </c>
      <c r="U54" s="332">
        <v>55</v>
      </c>
      <c r="V54" s="341">
        <v>52</v>
      </c>
      <c r="W54" s="333">
        <v>0.8</v>
      </c>
      <c r="X54" s="353">
        <v>5</v>
      </c>
      <c r="Y54" s="354">
        <v>0.05</v>
      </c>
      <c r="Z54" s="332">
        <v>52</v>
      </c>
      <c r="AA54" s="332">
        <v>52</v>
      </c>
      <c r="AB54" s="332" t="s">
        <v>629</v>
      </c>
    </row>
    <row r="55" spans="2:28">
      <c r="B55" s="329" t="s">
        <v>934</v>
      </c>
      <c r="C55" s="329" t="s">
        <v>935</v>
      </c>
      <c r="D55" s="17"/>
      <c r="E55" s="318"/>
      <c r="F55" s="318"/>
      <c r="G55" s="360" t="s">
        <v>936</v>
      </c>
      <c r="H55" s="321" t="s">
        <v>937</v>
      </c>
      <c r="I55" s="50"/>
      <c r="J55" s="44"/>
      <c r="K55" s="534" t="s">
        <v>938</v>
      </c>
      <c r="L55" s="534"/>
      <c r="M55" s="534"/>
      <c r="N55" s="534"/>
      <c r="O55" s="318"/>
      <c r="P55" s="318"/>
      <c r="Q55" s="199" t="s">
        <v>939</v>
      </c>
      <c r="R55" s="327" t="s">
        <v>939</v>
      </c>
      <c r="S55" s="199" t="s">
        <v>940</v>
      </c>
      <c r="T55" s="332">
        <v>0</v>
      </c>
      <c r="U55" s="332">
        <v>56</v>
      </c>
      <c r="V55" s="332">
        <v>52</v>
      </c>
      <c r="W55" s="333">
        <v>0.8</v>
      </c>
      <c r="X55" s="353">
        <v>5</v>
      </c>
      <c r="Y55" s="354">
        <v>0.05</v>
      </c>
      <c r="Z55" s="332">
        <v>52</v>
      </c>
      <c r="AA55" s="332">
        <v>52</v>
      </c>
      <c r="AB55" s="332" t="s">
        <v>629</v>
      </c>
    </row>
    <row r="56" spans="2:28">
      <c r="B56" s="329" t="s">
        <v>5</v>
      </c>
      <c r="C56" s="329" t="s">
        <v>0</v>
      </c>
      <c r="D56" s="17"/>
      <c r="E56" s="318"/>
      <c r="F56" s="318"/>
      <c r="G56" s="143" t="s">
        <v>941</v>
      </c>
      <c r="H56" s="321" t="s">
        <v>942</v>
      </c>
      <c r="I56" s="51" t="s">
        <v>943</v>
      </c>
      <c r="J56" s="145"/>
      <c r="K56" s="534" t="s">
        <v>944</v>
      </c>
      <c r="L56" s="534"/>
      <c r="M56" s="534"/>
      <c r="N56" s="534"/>
      <c r="O56" s="318"/>
      <c r="P56" s="318"/>
      <c r="Q56" s="199" t="s">
        <v>945</v>
      </c>
      <c r="R56" s="327" t="s">
        <v>945</v>
      </c>
      <c r="S56" s="199" t="s">
        <v>946</v>
      </c>
      <c r="T56" s="332">
        <v>0</v>
      </c>
      <c r="U56" s="332">
        <v>57</v>
      </c>
      <c r="V56" s="332">
        <v>52</v>
      </c>
      <c r="W56" s="333">
        <v>0.8</v>
      </c>
      <c r="X56" s="353">
        <v>5</v>
      </c>
      <c r="Y56" s="354">
        <v>0.05</v>
      </c>
      <c r="Z56" s="332">
        <v>52</v>
      </c>
      <c r="AA56" s="332">
        <v>52</v>
      </c>
      <c r="AB56" s="332" t="s">
        <v>629</v>
      </c>
    </row>
    <row r="57" spans="2:28">
      <c r="B57" s="329" t="s">
        <v>947</v>
      </c>
      <c r="C57" s="329" t="s">
        <v>948</v>
      </c>
      <c r="D57" s="17"/>
      <c r="E57" s="318"/>
      <c r="F57" s="318"/>
      <c r="G57" s="143" t="s">
        <v>941</v>
      </c>
      <c r="H57" s="321" t="s">
        <v>942</v>
      </c>
      <c r="I57" s="51" t="s">
        <v>949</v>
      </c>
      <c r="J57" s="145"/>
      <c r="K57" s="534" t="s">
        <v>950</v>
      </c>
      <c r="L57" s="534"/>
      <c r="M57" s="534"/>
      <c r="N57" s="534"/>
      <c r="O57" s="318"/>
      <c r="P57" s="318"/>
      <c r="Q57" s="323" t="s">
        <v>951</v>
      </c>
      <c r="R57" s="322" t="s">
        <v>951</v>
      </c>
      <c r="S57" s="323" t="s">
        <v>952</v>
      </c>
      <c r="T57" s="324">
        <v>0</v>
      </c>
      <c r="U57" s="324">
        <v>58</v>
      </c>
      <c r="V57" s="324">
        <v>5</v>
      </c>
      <c r="W57" s="330">
        <v>0.3</v>
      </c>
      <c r="X57" s="331">
        <v>5</v>
      </c>
      <c r="Y57" s="330">
        <v>0.1</v>
      </c>
      <c r="Z57" s="324">
        <v>0</v>
      </c>
      <c r="AA57" s="324">
        <v>0</v>
      </c>
      <c r="AB57" s="324" t="s">
        <v>629</v>
      </c>
    </row>
    <row r="58" spans="2:28">
      <c r="B58" s="329" t="s">
        <v>953</v>
      </c>
      <c r="C58" s="329" t="s">
        <v>954</v>
      </c>
      <c r="D58" s="17"/>
      <c r="E58" s="318"/>
      <c r="F58" s="318"/>
      <c r="G58" s="143" t="s">
        <v>941</v>
      </c>
      <c r="H58" s="321" t="s">
        <v>942</v>
      </c>
      <c r="I58" s="51" t="s">
        <v>955</v>
      </c>
      <c r="J58" s="145"/>
      <c r="K58" s="534" t="s">
        <v>956</v>
      </c>
      <c r="L58" s="534"/>
      <c r="M58" s="534"/>
      <c r="N58" s="534"/>
      <c r="O58" s="318"/>
      <c r="P58" s="318"/>
      <c r="Q58" s="199" t="s">
        <v>957</v>
      </c>
      <c r="R58" s="327" t="s">
        <v>957</v>
      </c>
      <c r="S58" s="199" t="s">
        <v>958</v>
      </c>
      <c r="T58" s="332">
        <v>0</v>
      </c>
      <c r="U58" s="332">
        <v>59</v>
      </c>
      <c r="V58" s="332">
        <v>58</v>
      </c>
      <c r="W58" s="333">
        <v>0.8</v>
      </c>
      <c r="X58" s="353">
        <v>5</v>
      </c>
      <c r="Y58" s="354">
        <v>0.05</v>
      </c>
      <c r="Z58" s="332">
        <v>58</v>
      </c>
      <c r="AA58" s="332">
        <v>58</v>
      </c>
      <c r="AB58" s="332" t="s">
        <v>629</v>
      </c>
    </row>
    <row r="59" spans="2:28">
      <c r="B59" s="329" t="s">
        <v>959</v>
      </c>
      <c r="C59" s="329" t="s">
        <v>960</v>
      </c>
      <c r="D59" s="17"/>
      <c r="E59" s="318"/>
      <c r="F59" s="318"/>
      <c r="G59" s="143" t="s">
        <v>941</v>
      </c>
      <c r="H59" s="321" t="s">
        <v>942</v>
      </c>
      <c r="I59" s="50" t="s">
        <v>961</v>
      </c>
      <c r="J59" s="145"/>
      <c r="K59" s="534" t="s">
        <v>962</v>
      </c>
      <c r="L59" s="534"/>
      <c r="M59" s="534"/>
      <c r="N59" s="534"/>
      <c r="O59" s="318"/>
      <c r="P59" s="318"/>
      <c r="Q59" s="199" t="s">
        <v>963</v>
      </c>
      <c r="R59" s="327" t="s">
        <v>963</v>
      </c>
      <c r="S59" s="199" t="s">
        <v>964</v>
      </c>
      <c r="T59" s="332">
        <v>0</v>
      </c>
      <c r="U59" s="332">
        <v>60</v>
      </c>
      <c r="V59" s="332">
        <v>58</v>
      </c>
      <c r="W59" s="333">
        <v>0.8</v>
      </c>
      <c r="X59" s="353">
        <v>5</v>
      </c>
      <c r="Y59" s="354">
        <v>0.05</v>
      </c>
      <c r="Z59" s="332">
        <v>58</v>
      </c>
      <c r="AA59" s="332">
        <v>58</v>
      </c>
      <c r="AB59" s="332" t="s">
        <v>629</v>
      </c>
    </row>
    <row r="60" spans="2:28">
      <c r="B60" s="329" t="s">
        <v>965</v>
      </c>
      <c r="C60" s="329" t="s">
        <v>966</v>
      </c>
      <c r="D60" s="17"/>
      <c r="E60" s="318"/>
      <c r="F60" s="318"/>
      <c r="G60" s="143" t="s">
        <v>941</v>
      </c>
      <c r="H60" s="321" t="s">
        <v>942</v>
      </c>
      <c r="I60" s="51" t="s">
        <v>967</v>
      </c>
      <c r="J60" s="145"/>
      <c r="K60" s="534" t="s">
        <v>968</v>
      </c>
      <c r="L60" s="534"/>
      <c r="M60" s="534"/>
      <c r="N60" s="534"/>
      <c r="O60" s="318"/>
      <c r="P60" s="318"/>
      <c r="Q60" s="199" t="s">
        <v>969</v>
      </c>
      <c r="R60" s="327" t="s">
        <v>969</v>
      </c>
      <c r="S60" s="199" t="s">
        <v>970</v>
      </c>
      <c r="T60" s="332">
        <v>0</v>
      </c>
      <c r="U60" s="332">
        <v>61</v>
      </c>
      <c r="V60" s="332">
        <v>58</v>
      </c>
      <c r="W60" s="333">
        <v>0.8</v>
      </c>
      <c r="X60" s="353">
        <v>5</v>
      </c>
      <c r="Y60" s="354">
        <v>0.05</v>
      </c>
      <c r="Z60" s="332">
        <v>58</v>
      </c>
      <c r="AA60" s="332">
        <v>58</v>
      </c>
      <c r="AB60" s="332" t="s">
        <v>629</v>
      </c>
    </row>
    <row r="61" spans="2:28" ht="28.5" customHeight="1">
      <c r="B61" s="329" t="s">
        <v>971</v>
      </c>
      <c r="C61" s="329" t="s">
        <v>972</v>
      </c>
      <c r="D61" s="17"/>
      <c r="E61" s="318"/>
      <c r="F61" s="318"/>
      <c r="G61" s="143" t="s">
        <v>941</v>
      </c>
      <c r="H61" s="321" t="s">
        <v>942</v>
      </c>
      <c r="I61" s="51" t="s">
        <v>916</v>
      </c>
      <c r="J61" s="177" t="s">
        <v>629</v>
      </c>
      <c r="K61" s="534" t="s">
        <v>973</v>
      </c>
      <c r="L61" s="534"/>
      <c r="M61" s="534"/>
      <c r="N61" s="534"/>
      <c r="O61" s="318"/>
      <c r="P61" s="318"/>
      <c r="Q61" s="323" t="s">
        <v>974</v>
      </c>
      <c r="R61" s="322" t="s">
        <v>974</v>
      </c>
      <c r="S61" s="323" t="s">
        <v>975</v>
      </c>
      <c r="T61" s="324">
        <v>5</v>
      </c>
      <c r="U61" s="324">
        <v>62</v>
      </c>
      <c r="V61" s="324">
        <v>5</v>
      </c>
      <c r="W61" s="330">
        <v>0.3</v>
      </c>
      <c r="X61" s="331">
        <v>5</v>
      </c>
      <c r="Y61" s="330">
        <v>0.1</v>
      </c>
      <c r="Z61" s="324">
        <v>0</v>
      </c>
      <c r="AA61" s="324">
        <v>0</v>
      </c>
      <c r="AB61" s="324" t="s">
        <v>629</v>
      </c>
    </row>
    <row r="62" spans="2:28" ht="41.25" customHeight="1">
      <c r="B62" s="329" t="s">
        <v>976</v>
      </c>
      <c r="C62" s="329" t="s">
        <v>977</v>
      </c>
      <c r="D62" s="17"/>
      <c r="E62" s="318"/>
      <c r="F62" s="318"/>
      <c r="G62" s="361" t="s">
        <v>328</v>
      </c>
      <c r="H62" s="321" t="s">
        <v>978</v>
      </c>
      <c r="I62" s="50" t="s">
        <v>979</v>
      </c>
      <c r="J62" s="177" t="s">
        <v>629</v>
      </c>
      <c r="K62" s="534" t="s">
        <v>980</v>
      </c>
      <c r="L62" s="534"/>
      <c r="M62" s="534"/>
      <c r="N62" s="534"/>
      <c r="O62" s="318"/>
      <c r="P62" s="318"/>
      <c r="Q62" s="199" t="s">
        <v>981</v>
      </c>
      <c r="R62" s="327" t="s">
        <v>981</v>
      </c>
      <c r="S62" s="199" t="s">
        <v>982</v>
      </c>
      <c r="T62" s="332">
        <v>0</v>
      </c>
      <c r="U62" s="332">
        <v>63</v>
      </c>
      <c r="V62" s="332">
        <v>0</v>
      </c>
      <c r="W62" s="333">
        <v>0.8</v>
      </c>
      <c r="X62" s="362">
        <v>5</v>
      </c>
      <c r="Y62" s="354">
        <v>0.05</v>
      </c>
      <c r="Z62" s="332">
        <v>5</v>
      </c>
      <c r="AA62" s="332">
        <v>5</v>
      </c>
      <c r="AB62" s="332"/>
    </row>
    <row r="63" spans="2:28" ht="53.25" customHeight="1">
      <c r="B63" s="329" t="s">
        <v>983</v>
      </c>
      <c r="C63" s="329" t="s">
        <v>984</v>
      </c>
      <c r="D63" s="17"/>
      <c r="E63" s="318"/>
      <c r="F63" s="318"/>
      <c r="G63" s="363" t="s">
        <v>328</v>
      </c>
      <c r="H63" s="321" t="s">
        <v>985</v>
      </c>
      <c r="I63" s="50" t="s">
        <v>986</v>
      </c>
      <c r="J63" s="177" t="s">
        <v>629</v>
      </c>
      <c r="K63" s="534" t="s">
        <v>987</v>
      </c>
      <c r="L63" s="534"/>
      <c r="M63" s="534"/>
      <c r="N63" s="534"/>
      <c r="O63" s="318"/>
      <c r="P63" s="318"/>
      <c r="Q63" s="323" t="s">
        <v>988</v>
      </c>
      <c r="R63" s="322" t="s">
        <v>988</v>
      </c>
      <c r="S63" s="323" t="s">
        <v>989</v>
      </c>
      <c r="T63" s="324">
        <v>0</v>
      </c>
      <c r="U63" s="324">
        <v>64</v>
      </c>
      <c r="V63" s="324">
        <v>5</v>
      </c>
      <c r="W63" s="330">
        <v>0.3</v>
      </c>
      <c r="X63" s="331">
        <v>5</v>
      </c>
      <c r="Y63" s="330">
        <v>0.1</v>
      </c>
      <c r="Z63" s="324">
        <v>0</v>
      </c>
      <c r="AA63" s="324">
        <v>0</v>
      </c>
      <c r="AB63" s="324" t="s">
        <v>629</v>
      </c>
    </row>
    <row r="64" spans="2:28">
      <c r="B64" s="329" t="s">
        <v>990</v>
      </c>
      <c r="C64" s="329" t="s">
        <v>991</v>
      </c>
      <c r="D64" s="17"/>
      <c r="E64" s="318"/>
      <c r="F64" s="17"/>
      <c r="G64" s="364" t="s">
        <v>328</v>
      </c>
      <c r="H64" s="321" t="s">
        <v>992</v>
      </c>
      <c r="I64" s="50"/>
      <c r="J64" s="145"/>
      <c r="K64" s="534" t="s">
        <v>993</v>
      </c>
      <c r="L64" s="534"/>
      <c r="M64" s="534"/>
      <c r="N64" s="534"/>
      <c r="O64" s="318"/>
      <c r="P64" s="318"/>
      <c r="Q64" s="337" t="s">
        <v>994</v>
      </c>
      <c r="R64" s="338" t="s">
        <v>994</v>
      </c>
      <c r="S64" s="337" t="s">
        <v>995</v>
      </c>
      <c r="T64" s="339">
        <v>3</v>
      </c>
      <c r="U64" s="340">
        <v>65</v>
      </c>
      <c r="V64" s="340">
        <v>0</v>
      </c>
      <c r="W64" s="325">
        <v>0</v>
      </c>
      <c r="X64" s="326">
        <v>0</v>
      </c>
      <c r="Y64" s="325">
        <v>0</v>
      </c>
      <c r="Z64" s="324">
        <v>0</v>
      </c>
      <c r="AA64" s="324">
        <v>0</v>
      </c>
      <c r="AB64" s="324" t="s">
        <v>629</v>
      </c>
    </row>
    <row r="65" spans="2:28" ht="27.6" customHeight="1">
      <c r="B65" s="329" t="s">
        <v>996</v>
      </c>
      <c r="C65" s="329" t="s">
        <v>997</v>
      </c>
      <c r="D65" s="17"/>
      <c r="E65" s="318"/>
      <c r="F65" s="49" t="s">
        <v>998</v>
      </c>
      <c r="G65" s="48">
        <v>123.456</v>
      </c>
      <c r="H65" s="321" t="s">
        <v>999</v>
      </c>
      <c r="I65" s="50" t="s">
        <v>1000</v>
      </c>
      <c r="J65" s="177" t="s">
        <v>629</v>
      </c>
      <c r="K65" s="534" t="s">
        <v>1001</v>
      </c>
      <c r="L65" s="534"/>
      <c r="M65" s="534"/>
      <c r="N65" s="534"/>
      <c r="O65" s="318"/>
      <c r="P65" s="318"/>
      <c r="Q65" s="199" t="s">
        <v>1002</v>
      </c>
      <c r="R65" s="327" t="s">
        <v>1002</v>
      </c>
      <c r="S65" s="199" t="s">
        <v>1003</v>
      </c>
      <c r="T65" s="332">
        <v>0</v>
      </c>
      <c r="U65" s="332">
        <v>66</v>
      </c>
      <c r="V65" s="341">
        <v>64</v>
      </c>
      <c r="W65" s="333">
        <v>0.8</v>
      </c>
      <c r="X65" s="353">
        <v>5</v>
      </c>
      <c r="Y65" s="354">
        <v>0.05</v>
      </c>
      <c r="Z65" s="332">
        <v>64</v>
      </c>
      <c r="AA65" s="332">
        <v>64</v>
      </c>
      <c r="AB65" s="332" t="s">
        <v>629</v>
      </c>
    </row>
    <row r="66" spans="2:28">
      <c r="B66" s="329" t="s">
        <v>1004</v>
      </c>
      <c r="C66" s="329" t="s">
        <v>1005</v>
      </c>
      <c r="D66" s="17"/>
      <c r="E66" s="318"/>
      <c r="F66" s="17"/>
      <c r="G66" s="274">
        <v>123.456</v>
      </c>
      <c r="H66" s="365" t="s">
        <v>1006</v>
      </c>
      <c r="I66" s="82" t="s">
        <v>924</v>
      </c>
      <c r="J66" s="177" t="s">
        <v>629</v>
      </c>
      <c r="K66" s="534"/>
      <c r="L66" s="534"/>
      <c r="M66" s="534"/>
      <c r="N66" s="534"/>
      <c r="O66" s="318"/>
      <c r="P66" s="318"/>
      <c r="Q66" s="199" t="s">
        <v>1007</v>
      </c>
      <c r="R66" s="327" t="s">
        <v>1007</v>
      </c>
      <c r="S66" s="199" t="s">
        <v>1008</v>
      </c>
      <c r="T66" s="332">
        <v>0</v>
      </c>
      <c r="U66" s="332">
        <v>67</v>
      </c>
      <c r="V66" s="341">
        <v>64</v>
      </c>
      <c r="W66" s="333">
        <v>0.8</v>
      </c>
      <c r="X66" s="353">
        <v>5</v>
      </c>
      <c r="Y66" s="354">
        <v>0.05</v>
      </c>
      <c r="Z66" s="332">
        <v>64</v>
      </c>
      <c r="AA66" s="332">
        <v>64</v>
      </c>
      <c r="AB66" s="332" t="s">
        <v>629</v>
      </c>
    </row>
    <row r="67" spans="2:28">
      <c r="B67" s="329" t="s">
        <v>1009</v>
      </c>
      <c r="C67" s="329" t="s">
        <v>1010</v>
      </c>
      <c r="D67" s="17"/>
      <c r="E67" s="318"/>
      <c r="F67" s="17"/>
      <c r="G67" s="366">
        <v>123.456</v>
      </c>
      <c r="H67" s="365" t="s">
        <v>1006</v>
      </c>
      <c r="I67" s="82" t="s">
        <v>924</v>
      </c>
      <c r="J67" s="177" t="s">
        <v>629</v>
      </c>
      <c r="K67" s="534"/>
      <c r="L67" s="534"/>
      <c r="M67" s="534"/>
      <c r="N67" s="534"/>
      <c r="O67" s="318"/>
      <c r="P67" s="318"/>
      <c r="Q67" s="199" t="s">
        <v>1011</v>
      </c>
      <c r="R67" s="327" t="s">
        <v>1011</v>
      </c>
      <c r="S67" s="199" t="s">
        <v>1012</v>
      </c>
      <c r="T67" s="332">
        <v>0</v>
      </c>
      <c r="U67" s="332">
        <v>68</v>
      </c>
      <c r="V67" s="332">
        <v>64</v>
      </c>
      <c r="W67" s="333">
        <v>0.8</v>
      </c>
      <c r="X67" s="353">
        <v>5</v>
      </c>
      <c r="Y67" s="354">
        <v>0.05</v>
      </c>
      <c r="Z67" s="332">
        <v>64</v>
      </c>
      <c r="AA67" s="332">
        <v>64</v>
      </c>
      <c r="AB67" s="332" t="s">
        <v>629</v>
      </c>
    </row>
    <row r="68" spans="2:28" ht="30">
      <c r="B68" s="329" t="s">
        <v>1013</v>
      </c>
      <c r="C68" s="329" t="s">
        <v>1014</v>
      </c>
      <c r="D68" s="17"/>
      <c r="F68" s="17"/>
      <c r="G68" s="367">
        <v>123.456</v>
      </c>
      <c r="H68" s="321" t="s">
        <v>1015</v>
      </c>
      <c r="I68" s="50" t="s">
        <v>1016</v>
      </c>
      <c r="J68" s="177" t="s">
        <v>629</v>
      </c>
      <c r="K68" s="546" t="s">
        <v>1017</v>
      </c>
      <c r="L68" s="546"/>
      <c r="M68" s="546"/>
      <c r="N68" s="546"/>
      <c r="O68" s="318"/>
      <c r="P68" s="318"/>
      <c r="Q68" s="337" t="s">
        <v>1018</v>
      </c>
      <c r="R68" s="338" t="s">
        <v>1018</v>
      </c>
      <c r="S68" s="337" t="s">
        <v>1019</v>
      </c>
      <c r="T68" s="339">
        <v>3</v>
      </c>
      <c r="U68" s="340">
        <v>69</v>
      </c>
      <c r="V68" s="340">
        <v>0</v>
      </c>
      <c r="W68" s="325">
        <v>0</v>
      </c>
      <c r="X68" s="326">
        <v>0</v>
      </c>
      <c r="Y68" s="325">
        <v>0</v>
      </c>
      <c r="Z68" s="324">
        <v>0</v>
      </c>
      <c r="AA68" s="324">
        <v>0</v>
      </c>
      <c r="AB68" s="324" t="s">
        <v>629</v>
      </c>
    </row>
    <row r="69" spans="2:28" ht="28.15" customHeight="1">
      <c r="D69" s="17"/>
      <c r="F69" s="17"/>
      <c r="G69" s="360" t="s">
        <v>936</v>
      </c>
      <c r="H69" s="147" t="s">
        <v>1020</v>
      </c>
      <c r="I69" s="146" t="s">
        <v>916</v>
      </c>
      <c r="J69" s="133" t="s">
        <v>629</v>
      </c>
      <c r="K69" s="534" t="s">
        <v>1021</v>
      </c>
      <c r="L69" s="534"/>
      <c r="M69" s="534"/>
      <c r="N69" s="534"/>
      <c r="O69" s="318"/>
      <c r="P69" s="318"/>
      <c r="Q69" s="199" t="s">
        <v>1022</v>
      </c>
      <c r="R69" s="327" t="s">
        <v>1022</v>
      </c>
      <c r="S69" s="199" t="s">
        <v>1023</v>
      </c>
      <c r="T69" s="332">
        <v>0</v>
      </c>
      <c r="U69" s="332">
        <v>70</v>
      </c>
      <c r="V69" s="341">
        <v>64</v>
      </c>
      <c r="W69" s="333">
        <v>0.8</v>
      </c>
      <c r="X69" s="353">
        <v>5</v>
      </c>
      <c r="Y69" s="354">
        <v>0.05</v>
      </c>
      <c r="Z69" s="332">
        <v>64</v>
      </c>
      <c r="AA69" s="332">
        <v>64</v>
      </c>
      <c r="AB69" s="332" t="s">
        <v>629</v>
      </c>
    </row>
    <row r="70" spans="2:28">
      <c r="D70" s="17"/>
      <c r="F70" s="17"/>
      <c r="G70" s="143" t="s">
        <v>941</v>
      </c>
      <c r="H70" s="144" t="s">
        <v>1024</v>
      </c>
      <c r="I70" s="51" t="s">
        <v>1025</v>
      </c>
      <c r="J70" s="145"/>
      <c r="K70" s="531" t="s">
        <v>1026</v>
      </c>
      <c r="L70" s="532"/>
      <c r="M70" s="532"/>
      <c r="N70" s="533"/>
      <c r="O70" s="318"/>
      <c r="P70" s="318"/>
      <c r="Q70" s="199" t="s">
        <v>1027</v>
      </c>
      <c r="R70" s="327" t="s">
        <v>1027</v>
      </c>
      <c r="S70" s="199" t="s">
        <v>1028</v>
      </c>
      <c r="T70" s="332">
        <v>0</v>
      </c>
      <c r="U70" s="332">
        <v>71</v>
      </c>
      <c r="V70" s="341">
        <v>64</v>
      </c>
      <c r="W70" s="333">
        <v>0.8</v>
      </c>
      <c r="X70" s="353">
        <v>5</v>
      </c>
      <c r="Y70" s="354">
        <v>0.05</v>
      </c>
      <c r="Z70" s="332">
        <v>64</v>
      </c>
      <c r="AA70" s="332">
        <v>64</v>
      </c>
      <c r="AB70" s="332" t="s">
        <v>629</v>
      </c>
    </row>
    <row r="71" spans="2:28" ht="30">
      <c r="D71" s="17"/>
      <c r="F71" s="17"/>
      <c r="G71" s="143" t="s">
        <v>941</v>
      </c>
      <c r="H71" s="144" t="s">
        <v>1024</v>
      </c>
      <c r="I71" s="51" t="s">
        <v>1029</v>
      </c>
      <c r="J71" s="145"/>
      <c r="K71" s="531" t="s">
        <v>1030</v>
      </c>
      <c r="L71" s="532"/>
      <c r="M71" s="532"/>
      <c r="N71" s="533"/>
      <c r="O71" s="318"/>
      <c r="P71" s="318"/>
      <c r="Q71" s="323" t="s">
        <v>1031</v>
      </c>
      <c r="R71" s="322" t="s">
        <v>1031</v>
      </c>
      <c r="S71" s="323" t="s">
        <v>1032</v>
      </c>
      <c r="T71" s="324">
        <v>0</v>
      </c>
      <c r="U71" s="324">
        <v>72</v>
      </c>
      <c r="V71" s="324">
        <v>5</v>
      </c>
      <c r="W71" s="330">
        <v>0.3</v>
      </c>
      <c r="X71" s="331">
        <v>5</v>
      </c>
      <c r="Y71" s="368">
        <v>0.1</v>
      </c>
      <c r="Z71" s="324">
        <v>0</v>
      </c>
      <c r="AA71" s="324">
        <v>0</v>
      </c>
      <c r="AB71" s="324" t="s">
        <v>629</v>
      </c>
    </row>
    <row r="72" spans="2:28">
      <c r="D72" s="17"/>
      <c r="F72" s="17"/>
      <c r="G72" s="143" t="s">
        <v>941</v>
      </c>
      <c r="H72" s="144" t="s">
        <v>1024</v>
      </c>
      <c r="I72" s="51" t="s">
        <v>1033</v>
      </c>
      <c r="J72" s="145"/>
      <c r="K72" s="531" t="s">
        <v>1034</v>
      </c>
      <c r="L72" s="532"/>
      <c r="M72" s="532"/>
      <c r="N72" s="533"/>
      <c r="O72" s="318"/>
      <c r="P72" s="318"/>
      <c r="Q72" s="199" t="s">
        <v>1035</v>
      </c>
      <c r="R72" s="327" t="s">
        <v>1035</v>
      </c>
      <c r="S72" s="199" t="s">
        <v>1036</v>
      </c>
      <c r="T72" s="332">
        <v>0</v>
      </c>
      <c r="U72" s="332">
        <v>73</v>
      </c>
      <c r="V72" s="332">
        <v>72</v>
      </c>
      <c r="W72" s="333">
        <v>0.8</v>
      </c>
      <c r="X72" s="353">
        <v>5</v>
      </c>
      <c r="Y72" s="354">
        <v>0.05</v>
      </c>
      <c r="Z72" s="332">
        <v>72</v>
      </c>
      <c r="AA72" s="332">
        <v>72</v>
      </c>
      <c r="AB72" s="332" t="s">
        <v>629</v>
      </c>
    </row>
    <row r="73" spans="2:28">
      <c r="D73" s="17"/>
      <c r="F73" s="17"/>
      <c r="G73" s="143" t="s">
        <v>941</v>
      </c>
      <c r="H73" s="144" t="s">
        <v>942</v>
      </c>
      <c r="I73" s="51" t="s">
        <v>1037</v>
      </c>
      <c r="J73" s="145"/>
      <c r="K73" s="531" t="s">
        <v>1038</v>
      </c>
      <c r="L73" s="532"/>
      <c r="M73" s="532"/>
      <c r="N73" s="533"/>
      <c r="O73" s="318"/>
      <c r="P73" s="318"/>
      <c r="Q73" s="199" t="s">
        <v>1039</v>
      </c>
      <c r="R73" s="327" t="s">
        <v>1039</v>
      </c>
      <c r="S73" s="199" t="s">
        <v>1040</v>
      </c>
      <c r="T73" s="332">
        <v>0</v>
      </c>
      <c r="U73" s="332">
        <v>74</v>
      </c>
      <c r="V73" s="332">
        <v>72</v>
      </c>
      <c r="W73" s="333">
        <v>0.8</v>
      </c>
      <c r="X73" s="353">
        <v>5</v>
      </c>
      <c r="Y73" s="354">
        <v>0.05</v>
      </c>
      <c r="Z73" s="332">
        <v>72</v>
      </c>
      <c r="AA73" s="332">
        <v>72</v>
      </c>
      <c r="AB73" s="332" t="s">
        <v>629</v>
      </c>
    </row>
    <row r="74" spans="2:28" ht="30">
      <c r="D74" s="17"/>
      <c r="F74" s="17"/>
      <c r="G74" s="143" t="s">
        <v>941</v>
      </c>
      <c r="H74" s="144" t="s">
        <v>1024</v>
      </c>
      <c r="I74" s="51" t="s">
        <v>1041</v>
      </c>
      <c r="J74" s="145"/>
      <c r="K74" s="531" t="s">
        <v>1042</v>
      </c>
      <c r="L74" s="532"/>
      <c r="M74" s="532"/>
      <c r="N74" s="533"/>
      <c r="O74" s="318"/>
      <c r="P74" s="318"/>
      <c r="Q74" s="199" t="s">
        <v>1043</v>
      </c>
      <c r="R74" s="327" t="s">
        <v>1043</v>
      </c>
      <c r="S74" s="199" t="s">
        <v>1044</v>
      </c>
      <c r="T74" s="332">
        <v>0</v>
      </c>
      <c r="U74" s="332">
        <v>75</v>
      </c>
      <c r="V74" s="332">
        <v>72</v>
      </c>
      <c r="W74" s="333">
        <v>0.8</v>
      </c>
      <c r="X74" s="353">
        <v>5</v>
      </c>
      <c r="Y74" s="354">
        <v>0.05</v>
      </c>
      <c r="Z74" s="332">
        <v>72</v>
      </c>
      <c r="AA74" s="332">
        <v>72</v>
      </c>
      <c r="AB74" s="332" t="s">
        <v>629</v>
      </c>
    </row>
    <row r="75" spans="2:28" ht="30">
      <c r="D75" s="17"/>
      <c r="F75" s="17"/>
      <c r="G75" s="143" t="s">
        <v>941</v>
      </c>
      <c r="H75" s="144" t="s">
        <v>1024</v>
      </c>
      <c r="I75" s="51" t="s">
        <v>1045</v>
      </c>
      <c r="J75" s="145"/>
      <c r="K75" s="531" t="s">
        <v>1046</v>
      </c>
      <c r="L75" s="532"/>
      <c r="M75" s="532"/>
      <c r="N75" s="533"/>
      <c r="O75" s="318"/>
      <c r="P75" s="318"/>
      <c r="Q75" s="199" t="s">
        <v>1047</v>
      </c>
      <c r="R75" s="327" t="s">
        <v>1047</v>
      </c>
      <c r="S75" s="199" t="s">
        <v>1048</v>
      </c>
      <c r="T75" s="332">
        <v>0</v>
      </c>
      <c r="U75" s="332">
        <v>76</v>
      </c>
      <c r="V75" s="332">
        <v>72</v>
      </c>
      <c r="W75" s="333">
        <v>0.8</v>
      </c>
      <c r="X75" s="353">
        <v>5</v>
      </c>
      <c r="Y75" s="354">
        <v>0.05</v>
      </c>
      <c r="Z75" s="332">
        <v>72</v>
      </c>
      <c r="AA75" s="332">
        <v>72</v>
      </c>
      <c r="AB75" s="332" t="s">
        <v>629</v>
      </c>
    </row>
    <row r="76" spans="2:28">
      <c r="D76" s="17"/>
      <c r="F76" s="17"/>
      <c r="G76" s="143" t="s">
        <v>941</v>
      </c>
      <c r="H76" s="144" t="s">
        <v>942</v>
      </c>
      <c r="I76" s="51" t="s">
        <v>1049</v>
      </c>
      <c r="J76" s="145"/>
      <c r="K76" s="531" t="s">
        <v>1050</v>
      </c>
      <c r="L76" s="532"/>
      <c r="M76" s="532"/>
      <c r="N76" s="533"/>
      <c r="O76" s="318"/>
      <c r="P76" s="318"/>
      <c r="Q76" s="323" t="s">
        <v>1051</v>
      </c>
      <c r="R76" s="322" t="s">
        <v>1051</v>
      </c>
      <c r="S76" s="323" t="s">
        <v>1052</v>
      </c>
      <c r="T76" s="324">
        <v>0</v>
      </c>
      <c r="U76" s="324">
        <v>77</v>
      </c>
      <c r="V76" s="324">
        <v>5</v>
      </c>
      <c r="W76" s="330">
        <v>0.3</v>
      </c>
      <c r="X76" s="331">
        <v>5</v>
      </c>
      <c r="Y76" s="330">
        <v>0.1</v>
      </c>
      <c r="Z76" s="324">
        <v>0</v>
      </c>
      <c r="AA76" s="324">
        <v>0</v>
      </c>
      <c r="AB76" s="324" t="s">
        <v>629</v>
      </c>
    </row>
    <row r="77" spans="2:28">
      <c r="D77" s="17"/>
      <c r="F77" s="17"/>
      <c r="G77" s="143" t="s">
        <v>941</v>
      </c>
      <c r="H77" s="144" t="s">
        <v>1053</v>
      </c>
      <c r="I77" s="51" t="s">
        <v>1054</v>
      </c>
      <c r="J77" s="145"/>
      <c r="K77" s="531" t="s">
        <v>1055</v>
      </c>
      <c r="L77" s="532"/>
      <c r="M77" s="532"/>
      <c r="N77" s="533"/>
      <c r="O77" s="318"/>
      <c r="P77" s="318"/>
      <c r="Q77" s="323" t="s">
        <v>271</v>
      </c>
      <c r="R77" s="322" t="s">
        <v>271</v>
      </c>
      <c r="S77" s="323" t="s">
        <v>1056</v>
      </c>
      <c r="T77" s="324">
        <v>0</v>
      </c>
      <c r="U77" s="324">
        <v>78</v>
      </c>
      <c r="V77" s="324">
        <v>5</v>
      </c>
      <c r="W77" s="330">
        <v>0.3</v>
      </c>
      <c r="X77" s="331">
        <v>5</v>
      </c>
      <c r="Y77" s="330">
        <v>0.1</v>
      </c>
      <c r="Z77" s="324">
        <v>0</v>
      </c>
      <c r="AA77" s="324">
        <v>0</v>
      </c>
      <c r="AB77" s="324" t="s">
        <v>629</v>
      </c>
    </row>
    <row r="78" spans="2:28" ht="30">
      <c r="D78" s="17"/>
      <c r="F78" s="17"/>
      <c r="G78" s="143" t="s">
        <v>941</v>
      </c>
      <c r="H78" s="144" t="s">
        <v>942</v>
      </c>
      <c r="I78" s="146" t="s">
        <v>1057</v>
      </c>
      <c r="J78" s="145"/>
      <c r="K78" s="531" t="s">
        <v>1058</v>
      </c>
      <c r="L78" s="532"/>
      <c r="M78" s="532"/>
      <c r="N78" s="533"/>
      <c r="O78" s="318"/>
      <c r="P78" s="318"/>
      <c r="Q78" s="323" t="s">
        <v>1059</v>
      </c>
      <c r="R78" s="322" t="s">
        <v>1059</v>
      </c>
      <c r="S78" s="323" t="s">
        <v>1060</v>
      </c>
      <c r="T78" s="324">
        <v>0</v>
      </c>
      <c r="U78" s="324">
        <v>79</v>
      </c>
      <c r="V78" s="324">
        <v>5</v>
      </c>
      <c r="W78" s="330">
        <v>0.3</v>
      </c>
      <c r="X78" s="331">
        <v>5</v>
      </c>
      <c r="Y78" s="330">
        <v>0.1</v>
      </c>
      <c r="Z78" s="324">
        <v>0</v>
      </c>
      <c r="AA78" s="324">
        <v>0</v>
      </c>
      <c r="AB78" s="324" t="s">
        <v>629</v>
      </c>
    </row>
    <row r="79" spans="2:28">
      <c r="D79" s="17"/>
      <c r="F79" s="17"/>
      <c r="G79" s="369">
        <v>123.456</v>
      </c>
      <c r="H79" s="144" t="s">
        <v>1061</v>
      </c>
      <c r="I79" s="51" t="s">
        <v>667</v>
      </c>
      <c r="J79" s="177" t="s">
        <v>629</v>
      </c>
      <c r="K79" s="531" t="s">
        <v>1062</v>
      </c>
      <c r="L79" s="532"/>
      <c r="M79" s="532"/>
      <c r="N79" s="533"/>
      <c r="O79" s="318"/>
      <c r="P79" s="318"/>
      <c r="Q79" s="199" t="s">
        <v>1063</v>
      </c>
      <c r="R79" s="327" t="s">
        <v>1063</v>
      </c>
      <c r="S79" s="199" t="s">
        <v>1064</v>
      </c>
      <c r="T79" s="332">
        <v>0</v>
      </c>
      <c r="U79" s="332">
        <v>80</v>
      </c>
      <c r="V79" s="332">
        <v>79</v>
      </c>
      <c r="W79" s="333">
        <v>0.8</v>
      </c>
      <c r="X79" s="353">
        <v>5</v>
      </c>
      <c r="Y79" s="354">
        <v>0.05</v>
      </c>
      <c r="Z79" s="332">
        <v>79</v>
      </c>
      <c r="AA79" s="332">
        <v>79</v>
      </c>
      <c r="AB79" s="332" t="s">
        <v>629</v>
      </c>
    </row>
    <row r="80" spans="2:28">
      <c r="D80" s="17"/>
      <c r="F80" s="17"/>
      <c r="G80" s="48">
        <v>123.456</v>
      </c>
      <c r="H80" s="144" t="s">
        <v>1065</v>
      </c>
      <c r="I80" s="51" t="s">
        <v>1066</v>
      </c>
      <c r="J80" s="177" t="s">
        <v>629</v>
      </c>
      <c r="K80" s="531" t="s">
        <v>1067</v>
      </c>
      <c r="L80" s="532"/>
      <c r="M80" s="532"/>
      <c r="N80" s="533"/>
      <c r="O80" s="318"/>
      <c r="P80" s="318"/>
      <c r="Q80" s="199" t="s">
        <v>1068</v>
      </c>
      <c r="R80" s="327" t="s">
        <v>1068</v>
      </c>
      <c r="S80" s="199" t="s">
        <v>1069</v>
      </c>
      <c r="T80" s="332">
        <v>0</v>
      </c>
      <c r="U80" s="332">
        <v>81</v>
      </c>
      <c r="V80" s="332">
        <v>79</v>
      </c>
      <c r="W80" s="333">
        <v>0.8</v>
      </c>
      <c r="X80" s="353">
        <v>5</v>
      </c>
      <c r="Y80" s="354">
        <v>0.05</v>
      </c>
      <c r="Z80" s="332">
        <v>79</v>
      </c>
      <c r="AA80" s="332">
        <v>79</v>
      </c>
      <c r="AB80" s="332" t="s">
        <v>629</v>
      </c>
    </row>
    <row r="81" spans="4:28">
      <c r="D81" s="17"/>
      <c r="F81" s="17"/>
      <c r="G81" s="17"/>
      <c r="H81" s="17"/>
      <c r="I81" s="17"/>
      <c r="J81" s="17"/>
      <c r="K81" s="318"/>
      <c r="L81" s="318"/>
      <c r="M81" s="318"/>
      <c r="N81" s="318"/>
      <c r="O81" s="318"/>
      <c r="P81" s="318"/>
      <c r="Q81" s="323" t="s">
        <v>1070</v>
      </c>
      <c r="R81" s="322" t="s">
        <v>1070</v>
      </c>
      <c r="S81" s="323" t="s">
        <v>1071</v>
      </c>
      <c r="T81" s="324">
        <v>0</v>
      </c>
      <c r="U81" s="324">
        <v>82</v>
      </c>
      <c r="V81" s="324">
        <v>5</v>
      </c>
      <c r="W81" s="330">
        <v>0.3</v>
      </c>
      <c r="X81" s="331">
        <v>5</v>
      </c>
      <c r="Y81" s="330">
        <v>0.1</v>
      </c>
      <c r="Z81" s="324">
        <v>0</v>
      </c>
      <c r="AA81" s="324">
        <v>0</v>
      </c>
      <c r="AB81" s="324" t="s">
        <v>629</v>
      </c>
    </row>
    <row r="82" spans="4:28">
      <c r="D82" s="17"/>
      <c r="F82" s="17"/>
      <c r="G82" s="17"/>
      <c r="H82" s="17"/>
      <c r="I82" s="17"/>
      <c r="J82" s="17"/>
      <c r="K82" s="318"/>
      <c r="L82" s="318"/>
      <c r="M82" s="318"/>
      <c r="N82" s="318"/>
      <c r="O82" s="318"/>
      <c r="P82" s="318"/>
      <c r="Q82" s="199" t="s">
        <v>1072</v>
      </c>
      <c r="R82" s="327" t="s">
        <v>1072</v>
      </c>
      <c r="S82" s="199" t="s">
        <v>1073</v>
      </c>
      <c r="T82" s="332">
        <v>0</v>
      </c>
      <c r="U82" s="332">
        <v>83</v>
      </c>
      <c r="V82" s="332">
        <v>82</v>
      </c>
      <c r="W82" s="333">
        <v>0.8</v>
      </c>
      <c r="X82" s="353">
        <v>5</v>
      </c>
      <c r="Y82" s="354">
        <v>0.05</v>
      </c>
      <c r="Z82" s="332">
        <v>82</v>
      </c>
      <c r="AA82" s="332">
        <v>82</v>
      </c>
      <c r="AB82" s="332" t="s">
        <v>629</v>
      </c>
    </row>
    <row r="83" spans="4:28">
      <c r="D83" s="17"/>
      <c r="F83" s="17"/>
      <c r="G83" s="17"/>
      <c r="H83" s="17"/>
      <c r="I83" s="17"/>
      <c r="J83" s="17"/>
      <c r="K83" s="318"/>
      <c r="L83" s="318"/>
      <c r="M83" s="318"/>
      <c r="N83" s="318"/>
      <c r="O83" s="318"/>
      <c r="P83" s="318"/>
      <c r="Q83" s="199" t="s">
        <v>1074</v>
      </c>
      <c r="R83" s="327" t="s">
        <v>1074</v>
      </c>
      <c r="S83" s="199" t="s">
        <v>1075</v>
      </c>
      <c r="T83" s="332">
        <v>0</v>
      </c>
      <c r="U83" s="332">
        <v>84</v>
      </c>
      <c r="V83" s="332">
        <v>82</v>
      </c>
      <c r="W83" s="333">
        <v>0.8</v>
      </c>
      <c r="X83" s="353">
        <v>5</v>
      </c>
      <c r="Y83" s="354">
        <v>0.05</v>
      </c>
      <c r="Z83" s="332">
        <v>82</v>
      </c>
      <c r="AA83" s="332">
        <v>82</v>
      </c>
      <c r="AB83" s="332" t="s">
        <v>629</v>
      </c>
    </row>
    <row r="84" spans="4:28">
      <c r="D84" s="17"/>
      <c r="F84" s="17"/>
      <c r="G84" s="17"/>
      <c r="H84" s="17"/>
      <c r="I84" s="17"/>
      <c r="J84" s="17"/>
      <c r="K84" s="318"/>
      <c r="L84" s="318"/>
      <c r="M84" s="318"/>
      <c r="N84" s="318"/>
      <c r="O84" s="318"/>
      <c r="P84" s="318"/>
      <c r="Q84" s="323" t="s">
        <v>1076</v>
      </c>
      <c r="R84" s="322" t="s">
        <v>1076</v>
      </c>
      <c r="S84" s="323" t="s">
        <v>1077</v>
      </c>
      <c r="T84" s="324">
        <v>0</v>
      </c>
      <c r="U84" s="324">
        <v>85</v>
      </c>
      <c r="V84" s="324">
        <v>5</v>
      </c>
      <c r="W84" s="330">
        <v>0.3</v>
      </c>
      <c r="X84" s="331">
        <v>5</v>
      </c>
      <c r="Y84" s="330">
        <v>0.1</v>
      </c>
      <c r="Z84" s="324">
        <v>0</v>
      </c>
      <c r="AA84" s="324">
        <v>0</v>
      </c>
      <c r="AB84" s="324" t="s">
        <v>629</v>
      </c>
    </row>
    <row r="85" spans="4:28">
      <c r="D85" s="17"/>
      <c r="F85" s="17"/>
      <c r="G85" s="17"/>
      <c r="H85" s="17"/>
      <c r="I85" s="17"/>
      <c r="J85" s="17"/>
      <c r="K85" s="318"/>
      <c r="L85" s="318"/>
      <c r="M85" s="318"/>
      <c r="N85" s="318"/>
      <c r="O85" s="318"/>
      <c r="P85" s="318"/>
      <c r="Q85" s="199" t="s">
        <v>1078</v>
      </c>
      <c r="R85" s="327" t="s">
        <v>1078</v>
      </c>
      <c r="S85" s="199" t="s">
        <v>1079</v>
      </c>
      <c r="T85" s="332">
        <v>0</v>
      </c>
      <c r="U85" s="332">
        <v>86</v>
      </c>
      <c r="V85" s="332">
        <v>85</v>
      </c>
      <c r="W85" s="333">
        <v>0.8</v>
      </c>
      <c r="X85" s="353">
        <v>5</v>
      </c>
      <c r="Y85" s="354">
        <v>0.05</v>
      </c>
      <c r="Z85" s="332">
        <v>85</v>
      </c>
      <c r="AA85" s="332">
        <v>85</v>
      </c>
      <c r="AB85" s="332" t="s">
        <v>629</v>
      </c>
    </row>
    <row r="86" spans="4:28">
      <c r="D86" s="17"/>
      <c r="F86" s="17"/>
      <c r="G86" s="17"/>
      <c r="H86" s="17"/>
      <c r="I86" s="17"/>
      <c r="J86" s="17"/>
      <c r="K86" s="318"/>
      <c r="L86" s="318"/>
      <c r="M86" s="318"/>
      <c r="N86" s="318"/>
      <c r="O86" s="318"/>
      <c r="P86" s="318"/>
      <c r="Q86" s="199" t="s">
        <v>1080</v>
      </c>
      <c r="R86" s="327" t="s">
        <v>1080</v>
      </c>
      <c r="S86" s="199" t="s">
        <v>1081</v>
      </c>
      <c r="T86" s="332">
        <v>0</v>
      </c>
      <c r="U86" s="332">
        <v>87</v>
      </c>
      <c r="V86" s="332">
        <v>85</v>
      </c>
      <c r="W86" s="333">
        <v>0.8</v>
      </c>
      <c r="X86" s="353">
        <v>5</v>
      </c>
      <c r="Y86" s="354">
        <v>0.05</v>
      </c>
      <c r="Z86" s="332">
        <v>85</v>
      </c>
      <c r="AA86" s="332">
        <v>85</v>
      </c>
      <c r="AB86" s="332" t="s">
        <v>629</v>
      </c>
    </row>
    <row r="87" spans="4:28">
      <c r="D87" s="17"/>
      <c r="F87" s="17"/>
      <c r="G87" s="17"/>
      <c r="H87" s="17"/>
      <c r="I87" s="17"/>
      <c r="J87" s="17"/>
      <c r="K87" s="318"/>
      <c r="L87" s="318"/>
      <c r="M87" s="318"/>
      <c r="N87" s="318"/>
      <c r="O87" s="318"/>
      <c r="P87" s="318"/>
      <c r="Q87" s="199" t="s">
        <v>1082</v>
      </c>
      <c r="R87" s="327" t="s">
        <v>1082</v>
      </c>
      <c r="S87" s="199" t="s">
        <v>1083</v>
      </c>
      <c r="T87" s="332">
        <v>0</v>
      </c>
      <c r="U87" s="332">
        <v>88</v>
      </c>
      <c r="V87" s="332">
        <v>85</v>
      </c>
      <c r="W87" s="333">
        <v>0.8</v>
      </c>
      <c r="X87" s="353">
        <v>5</v>
      </c>
      <c r="Y87" s="354">
        <v>0.05</v>
      </c>
      <c r="Z87" s="332">
        <v>85</v>
      </c>
      <c r="AA87" s="332">
        <v>85</v>
      </c>
      <c r="AB87" s="332" t="s">
        <v>629</v>
      </c>
    </row>
    <row r="88" spans="4:28">
      <c r="D88" s="17"/>
      <c r="F88" s="17"/>
      <c r="G88" s="17"/>
      <c r="H88" s="17"/>
      <c r="I88" s="17"/>
      <c r="J88" s="17"/>
      <c r="K88" s="318"/>
      <c r="L88" s="318"/>
      <c r="M88" s="318"/>
      <c r="N88" s="318"/>
      <c r="O88" s="318"/>
      <c r="P88" s="318"/>
      <c r="Q88" s="323" t="s">
        <v>647</v>
      </c>
      <c r="R88" s="322" t="s">
        <v>647</v>
      </c>
      <c r="S88" s="323" t="s">
        <v>1084</v>
      </c>
      <c r="T88" s="324">
        <v>0</v>
      </c>
      <c r="U88" s="324">
        <v>89</v>
      </c>
      <c r="V88" s="324">
        <v>5</v>
      </c>
      <c r="W88" s="330">
        <v>0.3</v>
      </c>
      <c r="X88" s="331">
        <v>5</v>
      </c>
      <c r="Y88" s="330">
        <v>0.1</v>
      </c>
      <c r="Z88" s="324">
        <v>0</v>
      </c>
      <c r="AA88" s="324">
        <v>0</v>
      </c>
      <c r="AB88" s="324" t="s">
        <v>629</v>
      </c>
    </row>
    <row r="89" spans="4:28">
      <c r="D89" s="17"/>
      <c r="F89" s="17"/>
      <c r="G89" s="17"/>
      <c r="H89" s="17"/>
      <c r="I89" s="17"/>
      <c r="J89" s="17"/>
      <c r="K89" s="318"/>
      <c r="L89" s="318"/>
      <c r="M89" s="318"/>
      <c r="N89" s="318"/>
      <c r="O89" s="318"/>
      <c r="P89" s="318"/>
      <c r="Q89" s="323" t="s">
        <v>1085</v>
      </c>
      <c r="R89" s="322" t="s">
        <v>1085</v>
      </c>
      <c r="S89" s="323" t="s">
        <v>1086</v>
      </c>
      <c r="T89" s="324">
        <v>0</v>
      </c>
      <c r="U89" s="324">
        <v>90</v>
      </c>
      <c r="V89" s="324">
        <v>5</v>
      </c>
      <c r="W89" s="330">
        <v>0.3</v>
      </c>
      <c r="X89" s="331">
        <v>5</v>
      </c>
      <c r="Y89" s="330">
        <v>0.1</v>
      </c>
      <c r="Z89" s="324">
        <v>0</v>
      </c>
      <c r="AA89" s="324">
        <v>0</v>
      </c>
      <c r="AB89" s="324" t="s">
        <v>629</v>
      </c>
    </row>
    <row r="90" spans="4:28">
      <c r="D90" s="17"/>
      <c r="F90" s="17"/>
      <c r="G90" s="17"/>
      <c r="H90" s="17"/>
      <c r="I90" s="17"/>
      <c r="J90" s="17"/>
      <c r="K90" s="318"/>
      <c r="L90" s="318"/>
      <c r="M90" s="318"/>
      <c r="N90" s="318"/>
      <c r="O90" s="318"/>
      <c r="P90" s="318"/>
      <c r="Q90" s="323" t="s">
        <v>1087</v>
      </c>
      <c r="R90" s="322" t="s">
        <v>1088</v>
      </c>
      <c r="S90" s="323" t="s">
        <v>1089</v>
      </c>
      <c r="T90" s="324">
        <v>0</v>
      </c>
      <c r="U90" s="324">
        <v>91</v>
      </c>
      <c r="V90" s="324">
        <v>95</v>
      </c>
      <c r="W90" s="370">
        <v>0.3</v>
      </c>
      <c r="X90" s="371">
        <v>95</v>
      </c>
      <c r="Y90" s="370">
        <v>0.1</v>
      </c>
      <c r="Z90" s="324">
        <v>0</v>
      </c>
      <c r="AA90" s="324">
        <v>0</v>
      </c>
      <c r="AB90" s="324" t="s">
        <v>629</v>
      </c>
    </row>
    <row r="91" spans="4:28">
      <c r="D91" s="17"/>
      <c r="F91" s="17"/>
      <c r="G91" s="17"/>
      <c r="H91" s="17"/>
      <c r="I91" s="17"/>
      <c r="J91" s="17"/>
      <c r="K91" s="318"/>
      <c r="L91" s="318"/>
      <c r="M91" s="318"/>
      <c r="N91" s="318"/>
      <c r="O91" s="318"/>
      <c r="P91" s="318"/>
      <c r="Q91" s="199" t="s">
        <v>1090</v>
      </c>
      <c r="R91" s="327" t="s">
        <v>1091</v>
      </c>
      <c r="S91" s="199" t="s">
        <v>1092</v>
      </c>
      <c r="T91" s="332">
        <v>0</v>
      </c>
      <c r="U91" s="332">
        <v>92</v>
      </c>
      <c r="V91" s="332">
        <v>91</v>
      </c>
      <c r="W91" s="372">
        <v>0.3</v>
      </c>
      <c r="X91" s="334">
        <v>91</v>
      </c>
      <c r="Y91" s="373">
        <v>0.5</v>
      </c>
      <c r="Z91" s="332">
        <v>0</v>
      </c>
      <c r="AA91" s="332">
        <v>0</v>
      </c>
      <c r="AB91" s="332" t="s">
        <v>629</v>
      </c>
    </row>
    <row r="92" spans="4:28">
      <c r="D92" s="17"/>
      <c r="F92" s="17"/>
      <c r="G92" s="17"/>
      <c r="H92" s="17"/>
      <c r="I92" s="17"/>
      <c r="J92" s="17"/>
      <c r="K92" s="318"/>
      <c r="L92" s="318"/>
      <c r="M92" s="318"/>
      <c r="N92" s="318"/>
      <c r="O92" s="318"/>
      <c r="P92" s="318"/>
      <c r="Q92" s="199" t="s">
        <v>1093</v>
      </c>
      <c r="R92" s="327" t="s">
        <v>1094</v>
      </c>
      <c r="S92" s="199" t="s">
        <v>1095</v>
      </c>
      <c r="T92" s="332">
        <v>0</v>
      </c>
      <c r="U92" s="332">
        <v>93</v>
      </c>
      <c r="V92" s="332">
        <v>91</v>
      </c>
      <c r="W92" s="372">
        <v>0.3</v>
      </c>
      <c r="X92" s="334">
        <v>91</v>
      </c>
      <c r="Y92" s="373">
        <v>0.5</v>
      </c>
      <c r="Z92" s="332">
        <v>0</v>
      </c>
      <c r="AA92" s="332">
        <v>0</v>
      </c>
      <c r="AB92" s="332" t="s">
        <v>629</v>
      </c>
    </row>
    <row r="93" spans="4:28">
      <c r="D93" s="17"/>
      <c r="F93" s="17"/>
      <c r="G93" s="17"/>
      <c r="H93" s="17"/>
      <c r="I93" s="17"/>
      <c r="J93" s="17"/>
      <c r="K93" s="318"/>
      <c r="L93" s="318"/>
      <c r="M93" s="318"/>
      <c r="N93" s="318"/>
      <c r="O93" s="318"/>
      <c r="P93" s="318"/>
      <c r="Q93" s="199" t="s">
        <v>1096</v>
      </c>
      <c r="R93" s="327" t="s">
        <v>1097</v>
      </c>
      <c r="S93" s="199" t="s">
        <v>1098</v>
      </c>
      <c r="T93" s="332">
        <v>0</v>
      </c>
      <c r="U93" s="332">
        <v>94</v>
      </c>
      <c r="V93" s="332">
        <v>91</v>
      </c>
      <c r="W93" s="372">
        <v>0.3</v>
      </c>
      <c r="X93" s="334">
        <v>91</v>
      </c>
      <c r="Y93" s="373">
        <v>0.5</v>
      </c>
      <c r="Z93" s="332">
        <v>0</v>
      </c>
      <c r="AA93" s="332">
        <v>0</v>
      </c>
      <c r="AB93" s="332" t="s">
        <v>629</v>
      </c>
    </row>
    <row r="94" spans="4:28">
      <c r="D94" s="17"/>
      <c r="F94" s="17"/>
      <c r="G94" s="17"/>
      <c r="H94" s="17"/>
      <c r="I94" s="17"/>
      <c r="J94" s="17"/>
      <c r="K94" s="318"/>
      <c r="L94" s="318"/>
      <c r="M94" s="318"/>
      <c r="N94" s="318"/>
      <c r="O94" s="318"/>
      <c r="P94" s="318"/>
      <c r="Q94" s="323" t="s">
        <v>631</v>
      </c>
      <c r="R94" s="322" t="s">
        <v>1099</v>
      </c>
      <c r="S94" s="323" t="s">
        <v>1100</v>
      </c>
      <c r="T94" s="324">
        <v>0</v>
      </c>
      <c r="U94" s="324">
        <v>95</v>
      </c>
      <c r="V94" s="324">
        <v>0</v>
      </c>
      <c r="W94" s="374">
        <v>0</v>
      </c>
      <c r="X94" s="326">
        <v>0</v>
      </c>
      <c r="Y94" s="325">
        <v>0</v>
      </c>
      <c r="Z94" s="324">
        <v>0</v>
      </c>
      <c r="AA94" s="324">
        <v>0</v>
      </c>
      <c r="AB94" s="324" t="s">
        <v>629</v>
      </c>
    </row>
    <row r="95" spans="4:28">
      <c r="D95" s="17"/>
      <c r="F95" s="17"/>
      <c r="G95" s="17"/>
      <c r="H95" s="17"/>
      <c r="I95" s="17"/>
      <c r="J95" s="17"/>
      <c r="K95" s="318"/>
      <c r="L95" s="318"/>
      <c r="M95" s="318"/>
      <c r="N95" s="318"/>
      <c r="O95" s="318"/>
      <c r="P95" s="318"/>
      <c r="Q95" s="323" t="s">
        <v>1101</v>
      </c>
      <c r="R95" s="322" t="s">
        <v>1102</v>
      </c>
      <c r="S95" s="323" t="s">
        <v>576</v>
      </c>
      <c r="T95" s="324">
        <v>1</v>
      </c>
      <c r="U95" s="324">
        <v>96</v>
      </c>
      <c r="V95" s="324">
        <v>0</v>
      </c>
      <c r="W95" s="374">
        <v>0</v>
      </c>
      <c r="X95" s="326">
        <v>0</v>
      </c>
      <c r="Y95" s="325">
        <v>0</v>
      </c>
      <c r="Z95" s="324">
        <v>0</v>
      </c>
      <c r="AA95" s="324">
        <v>0</v>
      </c>
      <c r="AB95" s="324" t="s">
        <v>629</v>
      </c>
    </row>
    <row r="96" spans="4:28">
      <c r="D96" s="17"/>
      <c r="F96" s="17"/>
      <c r="G96" s="17"/>
      <c r="H96" s="17"/>
      <c r="I96" s="17"/>
      <c r="J96" s="17"/>
      <c r="K96" s="318"/>
      <c r="L96" s="318"/>
      <c r="M96" s="318"/>
      <c r="N96" s="318"/>
      <c r="O96" s="318"/>
      <c r="P96" s="318"/>
      <c r="Q96" s="199" t="s">
        <v>1103</v>
      </c>
      <c r="R96" s="327" t="s">
        <v>1104</v>
      </c>
      <c r="S96" s="199" t="s">
        <v>577</v>
      </c>
      <c r="T96" s="332">
        <v>1</v>
      </c>
      <c r="U96" s="332">
        <v>97</v>
      </c>
      <c r="V96" s="332">
        <v>96</v>
      </c>
      <c r="W96" s="375">
        <v>0.5</v>
      </c>
      <c r="X96" s="334">
        <v>96</v>
      </c>
      <c r="Y96" s="373">
        <v>0.5</v>
      </c>
      <c r="Z96" s="332">
        <v>0</v>
      </c>
      <c r="AA96" s="332">
        <v>0</v>
      </c>
      <c r="AB96" s="332" t="s">
        <v>629</v>
      </c>
    </row>
    <row r="97" spans="4:28">
      <c r="D97" s="17"/>
      <c r="F97" s="17"/>
      <c r="G97" s="17"/>
      <c r="H97" s="17"/>
      <c r="I97" s="17"/>
      <c r="J97" s="17"/>
      <c r="K97" s="318"/>
      <c r="L97" s="318"/>
      <c r="M97" s="318"/>
      <c r="N97" s="318"/>
      <c r="O97" s="318"/>
      <c r="P97" s="318"/>
      <c r="Q97" s="199" t="s">
        <v>1105</v>
      </c>
      <c r="R97" s="327" t="s">
        <v>1106</v>
      </c>
      <c r="S97" s="199" t="s">
        <v>578</v>
      </c>
      <c r="T97" s="332">
        <v>1</v>
      </c>
      <c r="U97" s="332">
        <v>98</v>
      </c>
      <c r="V97" s="332">
        <v>96</v>
      </c>
      <c r="W97" s="375">
        <v>0.5</v>
      </c>
      <c r="X97" s="334">
        <v>96</v>
      </c>
      <c r="Y97" s="373">
        <v>0.5</v>
      </c>
      <c r="Z97" s="332">
        <v>0</v>
      </c>
      <c r="AA97" s="332">
        <v>0</v>
      </c>
      <c r="AB97" s="332" t="s">
        <v>629</v>
      </c>
    </row>
    <row r="98" spans="4:28">
      <c r="D98" s="17"/>
      <c r="F98" s="17"/>
      <c r="G98" s="17"/>
      <c r="H98" s="17"/>
      <c r="I98" s="17"/>
      <c r="J98" s="17"/>
      <c r="K98" s="318"/>
      <c r="L98" s="318"/>
      <c r="M98" s="318"/>
      <c r="N98" s="318"/>
      <c r="O98" s="318"/>
      <c r="P98" s="318"/>
      <c r="Q98" s="199" t="s">
        <v>1107</v>
      </c>
      <c r="R98" s="327" t="s">
        <v>1108</v>
      </c>
      <c r="S98" s="199" t="s">
        <v>579</v>
      </c>
      <c r="T98" s="332">
        <v>1</v>
      </c>
      <c r="U98" s="332">
        <v>99</v>
      </c>
      <c r="V98" s="332">
        <v>96</v>
      </c>
      <c r="W98" s="375">
        <v>0.5</v>
      </c>
      <c r="X98" s="334">
        <v>96</v>
      </c>
      <c r="Y98" s="373">
        <v>0.5</v>
      </c>
      <c r="Z98" s="332">
        <v>0</v>
      </c>
      <c r="AA98" s="332">
        <v>0</v>
      </c>
      <c r="AB98" s="332" t="s">
        <v>629</v>
      </c>
    </row>
    <row r="99" spans="4:28">
      <c r="F99" s="17"/>
      <c r="G99" s="17"/>
      <c r="H99" s="17"/>
      <c r="I99" s="17"/>
      <c r="J99" s="17"/>
      <c r="K99" s="318"/>
      <c r="L99" s="318"/>
      <c r="M99" s="318"/>
      <c r="N99" s="318"/>
      <c r="O99" s="318"/>
      <c r="P99" s="318"/>
      <c r="Q99" s="199" t="s">
        <v>1109</v>
      </c>
      <c r="R99" s="327" t="s">
        <v>1110</v>
      </c>
      <c r="S99" s="199" t="s">
        <v>580</v>
      </c>
      <c r="T99" s="332">
        <v>1</v>
      </c>
      <c r="U99" s="332">
        <v>100</v>
      </c>
      <c r="V99" s="332">
        <v>96</v>
      </c>
      <c r="W99" s="375">
        <v>0.5</v>
      </c>
      <c r="X99" s="334">
        <v>96</v>
      </c>
      <c r="Y99" s="373">
        <v>0.5</v>
      </c>
      <c r="Z99" s="332">
        <v>0</v>
      </c>
      <c r="AA99" s="332">
        <v>0</v>
      </c>
      <c r="AB99" s="332" t="s">
        <v>629</v>
      </c>
    </row>
    <row r="100" spans="4:28">
      <c r="F100" s="17"/>
      <c r="G100" s="17"/>
      <c r="H100" s="17"/>
      <c r="I100" s="17"/>
      <c r="J100" s="17"/>
      <c r="K100" s="318"/>
      <c r="L100" s="318"/>
      <c r="M100" s="318"/>
      <c r="N100" s="318"/>
      <c r="O100" s="318"/>
      <c r="P100" s="318"/>
      <c r="Q100" s="323" t="s">
        <v>1111</v>
      </c>
      <c r="R100" s="322" t="s">
        <v>1112</v>
      </c>
      <c r="S100" s="323" t="s">
        <v>581</v>
      </c>
      <c r="T100" s="324">
        <v>0</v>
      </c>
      <c r="U100" s="324">
        <v>101</v>
      </c>
      <c r="V100" s="324">
        <v>0</v>
      </c>
      <c r="W100" s="374">
        <v>0</v>
      </c>
      <c r="X100" s="326">
        <v>0</v>
      </c>
      <c r="Y100" s="325">
        <v>0</v>
      </c>
      <c r="Z100" s="324">
        <v>0</v>
      </c>
      <c r="AA100" s="324">
        <v>0</v>
      </c>
      <c r="AB100" s="324" t="s">
        <v>629</v>
      </c>
    </row>
    <row r="101" spans="4:28">
      <c r="F101" s="17"/>
      <c r="G101" s="17"/>
      <c r="H101" s="17"/>
      <c r="I101" s="17"/>
      <c r="J101" s="17"/>
      <c r="K101" s="318"/>
      <c r="L101" s="318"/>
      <c r="M101" s="318"/>
      <c r="N101" s="318"/>
      <c r="O101" s="318"/>
      <c r="P101" s="318"/>
      <c r="Q101" s="199" t="s">
        <v>1113</v>
      </c>
      <c r="R101" s="327" t="s">
        <v>1114</v>
      </c>
      <c r="S101" s="199" t="s">
        <v>578</v>
      </c>
      <c r="T101" s="332">
        <v>0</v>
      </c>
      <c r="U101" s="332">
        <v>102</v>
      </c>
      <c r="V101" s="332">
        <v>101</v>
      </c>
      <c r="W101" s="375">
        <v>0.5</v>
      </c>
      <c r="X101" s="334">
        <v>101</v>
      </c>
      <c r="Y101" s="373">
        <v>0.5</v>
      </c>
      <c r="Z101" s="332">
        <v>0</v>
      </c>
      <c r="AA101" s="332">
        <v>0</v>
      </c>
      <c r="AB101" s="332" t="s">
        <v>629</v>
      </c>
    </row>
    <row r="102" spans="4:28">
      <c r="F102" s="17"/>
      <c r="G102" s="17"/>
      <c r="H102" s="17"/>
      <c r="I102" s="17"/>
      <c r="J102" s="17"/>
      <c r="K102" s="318"/>
      <c r="L102" s="318"/>
      <c r="M102" s="318"/>
      <c r="N102" s="318"/>
      <c r="O102" s="318"/>
      <c r="P102" s="318"/>
      <c r="Q102" s="199" t="s">
        <v>1115</v>
      </c>
      <c r="R102" s="327" t="s">
        <v>1116</v>
      </c>
      <c r="S102" s="199" t="s">
        <v>579</v>
      </c>
      <c r="T102" s="332">
        <v>0</v>
      </c>
      <c r="U102" s="332">
        <v>103</v>
      </c>
      <c r="V102" s="332">
        <v>101</v>
      </c>
      <c r="W102" s="375">
        <v>0.5</v>
      </c>
      <c r="X102" s="334">
        <v>101</v>
      </c>
      <c r="Y102" s="373">
        <v>0.5</v>
      </c>
      <c r="Z102" s="332">
        <v>0</v>
      </c>
      <c r="AA102" s="332">
        <v>0</v>
      </c>
      <c r="AB102" s="332" t="s">
        <v>629</v>
      </c>
    </row>
    <row r="103" spans="4:28">
      <c r="F103" s="17"/>
      <c r="G103" s="17"/>
      <c r="H103" s="17"/>
      <c r="I103" s="17"/>
      <c r="J103" s="17"/>
      <c r="K103" s="318"/>
      <c r="L103" s="318"/>
      <c r="M103" s="318"/>
      <c r="N103" s="318"/>
      <c r="O103" s="318"/>
      <c r="P103" s="318"/>
      <c r="Q103" s="199" t="s">
        <v>1117</v>
      </c>
      <c r="R103" s="199" t="s">
        <v>1118</v>
      </c>
      <c r="S103" s="199" t="s">
        <v>580</v>
      </c>
      <c r="T103" s="332">
        <v>0</v>
      </c>
      <c r="U103" s="332">
        <v>104</v>
      </c>
      <c r="V103" s="332">
        <v>101</v>
      </c>
      <c r="W103" s="375">
        <v>0.5</v>
      </c>
      <c r="X103" s="334">
        <v>101</v>
      </c>
      <c r="Y103" s="373">
        <v>0.5</v>
      </c>
      <c r="Z103" s="332">
        <v>0</v>
      </c>
      <c r="AA103" s="332">
        <v>0</v>
      </c>
      <c r="AB103" s="332" t="s">
        <v>629</v>
      </c>
    </row>
    <row r="104" spans="4:28">
      <c r="F104" s="17"/>
      <c r="G104" s="17"/>
      <c r="H104" s="17"/>
      <c r="I104" s="17"/>
      <c r="J104" s="17"/>
      <c r="K104" s="318"/>
      <c r="L104" s="318"/>
      <c r="M104" s="318"/>
      <c r="N104" s="318"/>
      <c r="O104" s="318"/>
      <c r="P104" s="318"/>
      <c r="Q104" s="199" t="s">
        <v>1119</v>
      </c>
      <c r="R104" s="199" t="s">
        <v>1120</v>
      </c>
      <c r="S104" s="199" t="s">
        <v>585</v>
      </c>
      <c r="T104" s="332">
        <v>1</v>
      </c>
      <c r="U104" s="332">
        <v>105</v>
      </c>
      <c r="V104" s="332">
        <v>0</v>
      </c>
      <c r="W104" s="376">
        <v>0</v>
      </c>
      <c r="X104" s="377">
        <v>0</v>
      </c>
      <c r="Y104" s="376">
        <v>0</v>
      </c>
      <c r="Z104" s="332">
        <v>0</v>
      </c>
      <c r="AA104" s="332">
        <v>0</v>
      </c>
      <c r="AB104" s="332" t="s">
        <v>629</v>
      </c>
    </row>
    <row r="105" spans="4:28">
      <c r="F105" s="17"/>
      <c r="G105" s="17"/>
      <c r="H105" s="17"/>
      <c r="I105" s="17"/>
      <c r="J105" s="17"/>
      <c r="K105" s="318"/>
      <c r="L105" s="318"/>
      <c r="M105" s="318"/>
      <c r="N105" s="318"/>
      <c r="O105" s="318"/>
      <c r="P105" s="318"/>
      <c r="Q105" s="323" t="s">
        <v>1121</v>
      </c>
      <c r="R105" s="323" t="s">
        <v>1122</v>
      </c>
      <c r="S105" s="323" t="s">
        <v>1123</v>
      </c>
      <c r="T105" s="324">
        <v>0</v>
      </c>
      <c r="U105" s="324">
        <v>106</v>
      </c>
      <c r="V105" s="324">
        <v>0</v>
      </c>
      <c r="W105" s="325">
        <v>0</v>
      </c>
      <c r="X105" s="326">
        <v>0</v>
      </c>
      <c r="Y105" s="325">
        <v>0</v>
      </c>
      <c r="Z105" s="324">
        <v>0</v>
      </c>
      <c r="AA105" s="324">
        <v>0</v>
      </c>
      <c r="AB105" s="324" t="s">
        <v>629</v>
      </c>
    </row>
    <row r="106" spans="4:28">
      <c r="F106" s="17"/>
      <c r="G106" s="17"/>
      <c r="H106" s="17"/>
      <c r="I106" s="17"/>
      <c r="J106" s="17"/>
      <c r="K106" s="318"/>
      <c r="L106" s="318"/>
      <c r="M106" s="318"/>
      <c r="N106" s="318"/>
      <c r="O106" s="318"/>
      <c r="P106" s="318"/>
      <c r="Q106" s="199" t="s">
        <v>1124</v>
      </c>
      <c r="R106" s="199" t="s">
        <v>1125</v>
      </c>
      <c r="S106" s="199" t="s">
        <v>587</v>
      </c>
      <c r="T106" s="332">
        <v>2</v>
      </c>
      <c r="U106" s="332">
        <v>112</v>
      </c>
      <c r="V106" s="332">
        <v>0</v>
      </c>
      <c r="W106" s="376">
        <v>0</v>
      </c>
      <c r="X106" s="377">
        <v>0</v>
      </c>
      <c r="Y106" s="376">
        <v>0</v>
      </c>
      <c r="Z106" s="332">
        <v>0</v>
      </c>
      <c r="AA106" s="332">
        <v>0</v>
      </c>
      <c r="AB106" s="332" t="s">
        <v>629</v>
      </c>
    </row>
    <row r="107" spans="4:28">
      <c r="K107" s="318"/>
      <c r="L107" s="318"/>
      <c r="M107" s="318"/>
      <c r="N107" s="318"/>
      <c r="O107" s="318"/>
      <c r="P107" s="318"/>
      <c r="Q107" s="322" t="s">
        <v>630</v>
      </c>
      <c r="R107" s="323" t="s">
        <v>631</v>
      </c>
      <c r="S107" s="323" t="s">
        <v>632</v>
      </c>
      <c r="T107" s="324">
        <v>0</v>
      </c>
      <c r="U107" s="324">
        <v>5</v>
      </c>
      <c r="V107" s="324">
        <v>95</v>
      </c>
      <c r="W107" s="325">
        <v>0</v>
      </c>
      <c r="X107" s="326">
        <v>0</v>
      </c>
      <c r="Y107" s="325">
        <v>0</v>
      </c>
      <c r="Z107" s="324">
        <v>0</v>
      </c>
      <c r="AA107" s="324">
        <v>0</v>
      </c>
      <c r="AB107" s="324" t="s">
        <v>629</v>
      </c>
    </row>
    <row r="108" spans="4:28">
      <c r="K108" s="318"/>
      <c r="L108" s="318"/>
      <c r="M108" s="318"/>
      <c r="N108" s="318"/>
      <c r="O108" s="318"/>
      <c r="P108" s="318"/>
      <c r="Q108" s="323" t="s">
        <v>206</v>
      </c>
      <c r="R108" s="322" t="s">
        <v>206</v>
      </c>
      <c r="S108" s="323" t="s">
        <v>643</v>
      </c>
      <c r="T108" s="324">
        <v>0</v>
      </c>
      <c r="U108" s="324">
        <v>6</v>
      </c>
      <c r="V108" s="324">
        <v>5</v>
      </c>
      <c r="W108" s="330">
        <v>0.3</v>
      </c>
      <c r="X108" s="331">
        <v>5</v>
      </c>
      <c r="Y108" s="330">
        <v>0.1</v>
      </c>
      <c r="Z108" s="324">
        <v>0</v>
      </c>
      <c r="AA108" s="324">
        <v>0</v>
      </c>
      <c r="AB108" s="324" t="s">
        <v>629</v>
      </c>
    </row>
    <row r="109" spans="4:28">
      <c r="K109" s="318"/>
      <c r="L109" s="318"/>
      <c r="M109" s="318"/>
      <c r="N109" s="318"/>
      <c r="O109" s="318"/>
      <c r="P109" s="318"/>
      <c r="Q109" s="199" t="s">
        <v>650</v>
      </c>
      <c r="R109" s="327" t="s">
        <v>650</v>
      </c>
      <c r="S109" s="199" t="s">
        <v>651</v>
      </c>
      <c r="T109" s="332">
        <v>0</v>
      </c>
      <c r="U109" s="332">
        <v>7</v>
      </c>
      <c r="V109" s="332">
        <v>6</v>
      </c>
      <c r="W109" s="333">
        <v>0.8</v>
      </c>
      <c r="X109" s="334">
        <v>6</v>
      </c>
      <c r="Y109" s="333">
        <v>0.3</v>
      </c>
      <c r="Z109" s="332">
        <v>8</v>
      </c>
      <c r="AA109" s="332">
        <v>9</v>
      </c>
      <c r="AB109" s="332" t="s">
        <v>629</v>
      </c>
    </row>
    <row r="110" spans="4:28">
      <c r="K110" s="318"/>
      <c r="L110" s="318"/>
      <c r="M110" s="318"/>
      <c r="N110" s="318"/>
      <c r="O110" s="318"/>
      <c r="P110" s="318"/>
      <c r="Q110" s="199" t="s">
        <v>657</v>
      </c>
      <c r="R110" s="327" t="s">
        <v>657</v>
      </c>
      <c r="S110" s="199" t="s">
        <v>658</v>
      </c>
      <c r="T110" s="332">
        <v>0</v>
      </c>
      <c r="U110" s="332">
        <v>8</v>
      </c>
      <c r="V110" s="332">
        <v>6</v>
      </c>
      <c r="W110" s="333">
        <v>0.8</v>
      </c>
      <c r="X110" s="334">
        <v>6</v>
      </c>
      <c r="Y110" s="333">
        <v>0.3</v>
      </c>
      <c r="Z110" s="332">
        <v>7</v>
      </c>
      <c r="AA110" s="332">
        <v>9</v>
      </c>
      <c r="AB110" s="332" t="s">
        <v>629</v>
      </c>
    </row>
    <row r="111" spans="4:28">
      <c r="K111" s="318"/>
      <c r="L111" s="318"/>
      <c r="M111" s="318"/>
      <c r="N111" s="318"/>
      <c r="O111" s="318"/>
      <c r="P111" s="318"/>
      <c r="Q111" s="199" t="s">
        <v>665</v>
      </c>
      <c r="R111" s="327" t="s">
        <v>665</v>
      </c>
      <c r="S111" s="199" t="s">
        <v>666</v>
      </c>
      <c r="T111" s="332">
        <v>0</v>
      </c>
      <c r="U111" s="332">
        <v>9</v>
      </c>
      <c r="V111" s="332">
        <v>6</v>
      </c>
      <c r="W111" s="333">
        <v>0.8</v>
      </c>
      <c r="X111" s="334">
        <v>6</v>
      </c>
      <c r="Y111" s="333">
        <v>0.3</v>
      </c>
      <c r="Z111" s="332">
        <v>7</v>
      </c>
      <c r="AA111" s="332">
        <v>8</v>
      </c>
      <c r="AB111" s="332" t="s">
        <v>629</v>
      </c>
    </row>
    <row r="112" spans="4:28">
      <c r="K112" s="318"/>
      <c r="L112" s="318"/>
      <c r="M112" s="318"/>
      <c r="N112" s="318"/>
      <c r="O112" s="318"/>
      <c r="P112" s="318"/>
      <c r="Q112" s="323" t="s">
        <v>267</v>
      </c>
      <c r="R112" s="322" t="s">
        <v>267</v>
      </c>
      <c r="S112" s="323" t="s">
        <v>674</v>
      </c>
      <c r="T112" s="324">
        <v>0</v>
      </c>
      <c r="U112" s="324">
        <v>10</v>
      </c>
      <c r="V112" s="324">
        <v>5</v>
      </c>
      <c r="W112" s="330">
        <v>0.3</v>
      </c>
      <c r="X112" s="331">
        <v>5</v>
      </c>
      <c r="Y112" s="330">
        <v>0.1</v>
      </c>
      <c r="Z112" s="324">
        <v>0</v>
      </c>
      <c r="AA112" s="324">
        <v>0</v>
      </c>
      <c r="AB112" s="324" t="s">
        <v>629</v>
      </c>
    </row>
    <row r="113" spans="17:28">
      <c r="Q113" s="323" t="s">
        <v>273</v>
      </c>
      <c r="R113" s="322" t="s">
        <v>273</v>
      </c>
      <c r="S113" s="323" t="s">
        <v>680</v>
      </c>
      <c r="T113" s="324">
        <v>0</v>
      </c>
      <c r="U113" s="324">
        <v>11</v>
      </c>
      <c r="V113" s="324">
        <v>5</v>
      </c>
      <c r="W113" s="330">
        <v>0.3</v>
      </c>
      <c r="X113" s="331">
        <v>5</v>
      </c>
      <c r="Y113" s="330">
        <v>0.1</v>
      </c>
      <c r="Z113" s="324">
        <v>0</v>
      </c>
      <c r="AA113" s="324">
        <v>0</v>
      </c>
      <c r="AB113" s="324" t="s">
        <v>629</v>
      </c>
    </row>
    <row r="114" spans="17:28">
      <c r="Q114" s="199" t="s">
        <v>688</v>
      </c>
      <c r="R114" s="327" t="s">
        <v>688</v>
      </c>
      <c r="S114" s="199" t="s">
        <v>689</v>
      </c>
      <c r="T114" s="332">
        <v>0</v>
      </c>
      <c r="U114" s="332">
        <v>12</v>
      </c>
      <c r="V114" s="332">
        <v>11</v>
      </c>
      <c r="W114" s="333">
        <v>0.8</v>
      </c>
      <c r="X114" s="334">
        <v>11</v>
      </c>
      <c r="Y114" s="336">
        <v>0.05</v>
      </c>
      <c r="Z114" s="332">
        <v>11</v>
      </c>
      <c r="AA114" s="332">
        <v>11</v>
      </c>
      <c r="AB114" s="332" t="s">
        <v>629</v>
      </c>
    </row>
    <row r="115" spans="17:28">
      <c r="Q115" s="199" t="s">
        <v>696</v>
      </c>
      <c r="R115" s="327" t="s">
        <v>696</v>
      </c>
      <c r="S115" s="199" t="s">
        <v>697</v>
      </c>
      <c r="T115" s="332">
        <v>0</v>
      </c>
      <c r="U115" s="332">
        <v>13</v>
      </c>
      <c r="V115" s="332">
        <v>11</v>
      </c>
      <c r="W115" s="333">
        <v>0.8</v>
      </c>
      <c r="X115" s="334">
        <v>11</v>
      </c>
      <c r="Y115" s="336">
        <v>0.05</v>
      </c>
      <c r="Z115" s="332">
        <v>11</v>
      </c>
      <c r="AA115" s="332">
        <v>11</v>
      </c>
      <c r="AB115" s="332" t="s">
        <v>629</v>
      </c>
    </row>
    <row r="116" spans="17:28">
      <c r="Q116" s="337" t="s">
        <v>700</v>
      </c>
      <c r="R116" s="338" t="s">
        <v>700</v>
      </c>
      <c r="S116" s="337" t="s">
        <v>701</v>
      </c>
      <c r="T116" s="339">
        <v>3</v>
      </c>
      <c r="U116" s="340">
        <v>14</v>
      </c>
      <c r="V116" s="340">
        <v>0</v>
      </c>
      <c r="W116" s="325">
        <v>0</v>
      </c>
      <c r="X116" s="326">
        <v>0</v>
      </c>
      <c r="Y116" s="325">
        <v>0</v>
      </c>
      <c r="Z116" s="324">
        <v>0</v>
      </c>
      <c r="AA116" s="324">
        <v>0</v>
      </c>
      <c r="AB116" s="324" t="s">
        <v>629</v>
      </c>
    </row>
    <row r="117" spans="17:28">
      <c r="Q117" s="199" t="s">
        <v>703</v>
      </c>
      <c r="R117" s="327" t="s">
        <v>703</v>
      </c>
      <c r="S117" s="199" t="s">
        <v>704</v>
      </c>
      <c r="T117" s="332">
        <v>0</v>
      </c>
      <c r="U117" s="332">
        <v>15</v>
      </c>
      <c r="V117" s="341">
        <v>11</v>
      </c>
      <c r="W117" s="333">
        <v>0.8</v>
      </c>
      <c r="X117" s="334">
        <v>11</v>
      </c>
      <c r="Y117" s="336">
        <v>0.05</v>
      </c>
      <c r="Z117" s="332">
        <v>11</v>
      </c>
      <c r="AA117" s="332">
        <v>11</v>
      </c>
      <c r="AB117" s="332" t="s">
        <v>629</v>
      </c>
    </row>
    <row r="118" spans="17:28">
      <c r="Q118" s="320" t="s">
        <v>707</v>
      </c>
      <c r="R118" s="327" t="s">
        <v>707</v>
      </c>
      <c r="S118" s="320" t="s">
        <v>708</v>
      </c>
      <c r="T118" s="332">
        <v>0</v>
      </c>
      <c r="U118" s="332">
        <v>16</v>
      </c>
      <c r="V118" s="341">
        <v>11</v>
      </c>
      <c r="W118" s="333">
        <v>0.8</v>
      </c>
      <c r="X118" s="334">
        <v>11</v>
      </c>
      <c r="Y118" s="336">
        <v>0.05</v>
      </c>
      <c r="Z118" s="332">
        <v>11</v>
      </c>
      <c r="AA118" s="332">
        <v>11</v>
      </c>
      <c r="AB118" s="332" t="s">
        <v>629</v>
      </c>
    </row>
    <row r="119" spans="17:28">
      <c r="Q119" s="320" t="s">
        <v>711</v>
      </c>
      <c r="R119" s="327" t="s">
        <v>711</v>
      </c>
      <c r="S119" s="320" t="s">
        <v>712</v>
      </c>
      <c r="T119" s="332">
        <v>0</v>
      </c>
      <c r="U119" s="332">
        <v>17</v>
      </c>
      <c r="V119" s="341">
        <v>11</v>
      </c>
      <c r="W119" s="333">
        <v>0.8</v>
      </c>
      <c r="X119" s="334">
        <v>11</v>
      </c>
      <c r="Y119" s="336">
        <v>0.05</v>
      </c>
      <c r="Z119" s="332">
        <v>11</v>
      </c>
      <c r="AA119" s="332">
        <v>11</v>
      </c>
      <c r="AB119" s="332" t="s">
        <v>629</v>
      </c>
    </row>
    <row r="120" spans="17:28">
      <c r="Q120" s="320" t="s">
        <v>716</v>
      </c>
      <c r="R120" s="327" t="s">
        <v>716</v>
      </c>
      <c r="S120" s="320" t="s">
        <v>717</v>
      </c>
      <c r="T120" s="332">
        <v>0</v>
      </c>
      <c r="U120" s="332">
        <v>18</v>
      </c>
      <c r="V120" s="332">
        <v>11</v>
      </c>
      <c r="W120" s="333">
        <v>0.8</v>
      </c>
      <c r="X120" s="334">
        <v>11</v>
      </c>
      <c r="Y120" s="336">
        <v>0.05</v>
      </c>
      <c r="Z120" s="332">
        <v>11</v>
      </c>
      <c r="AA120" s="332">
        <v>11</v>
      </c>
      <c r="AB120" s="332" t="s">
        <v>629</v>
      </c>
    </row>
    <row r="121" spans="17:28">
      <c r="Q121" s="320" t="s">
        <v>723</v>
      </c>
      <c r="R121" s="327" t="s">
        <v>723</v>
      </c>
      <c r="S121" s="320" t="s">
        <v>724</v>
      </c>
      <c r="T121" s="332">
        <v>0</v>
      </c>
      <c r="U121" s="332">
        <v>19</v>
      </c>
      <c r="V121" s="332">
        <v>11</v>
      </c>
      <c r="W121" s="333">
        <v>0.8</v>
      </c>
      <c r="X121" s="334">
        <v>11</v>
      </c>
      <c r="Y121" s="336">
        <v>0.05</v>
      </c>
      <c r="Z121" s="332">
        <v>11</v>
      </c>
      <c r="AA121" s="332">
        <v>11</v>
      </c>
      <c r="AB121" s="332" t="s">
        <v>629</v>
      </c>
    </row>
    <row r="122" spans="17:28">
      <c r="Q122" s="199" t="s">
        <v>728</v>
      </c>
      <c r="R122" s="327" t="s">
        <v>728</v>
      </c>
      <c r="S122" s="199" t="s">
        <v>729</v>
      </c>
      <c r="T122" s="332">
        <v>0</v>
      </c>
      <c r="U122" s="332">
        <v>20</v>
      </c>
      <c r="V122" s="332">
        <v>11</v>
      </c>
      <c r="W122" s="333">
        <v>0.8</v>
      </c>
      <c r="X122" s="334">
        <v>11</v>
      </c>
      <c r="Y122" s="336">
        <v>0.05</v>
      </c>
      <c r="Z122" s="332">
        <v>11</v>
      </c>
      <c r="AA122" s="332">
        <v>11</v>
      </c>
      <c r="AB122" s="332" t="s">
        <v>629</v>
      </c>
    </row>
    <row r="123" spans="17:28">
      <c r="Q123" s="344" t="s">
        <v>734</v>
      </c>
      <c r="R123" s="338" t="s">
        <v>734</v>
      </c>
      <c r="S123" s="344" t="s">
        <v>735</v>
      </c>
      <c r="T123" s="339">
        <v>3</v>
      </c>
      <c r="U123" s="340">
        <v>21</v>
      </c>
      <c r="V123" s="340">
        <v>0</v>
      </c>
      <c r="W123" s="325">
        <v>0</v>
      </c>
      <c r="X123" s="326">
        <v>0</v>
      </c>
      <c r="Y123" s="325">
        <v>0</v>
      </c>
      <c r="Z123" s="324">
        <v>0</v>
      </c>
      <c r="AA123" s="324">
        <v>0</v>
      </c>
      <c r="AB123" s="324" t="s">
        <v>629</v>
      </c>
    </row>
    <row r="124" spans="17:28">
      <c r="Q124" s="320" t="s">
        <v>739</v>
      </c>
      <c r="R124" s="327" t="s">
        <v>739</v>
      </c>
      <c r="S124" s="320" t="s">
        <v>740</v>
      </c>
      <c r="T124" s="332">
        <v>0</v>
      </c>
      <c r="U124" s="332">
        <v>22</v>
      </c>
      <c r="V124" s="341">
        <v>11</v>
      </c>
      <c r="W124" s="333">
        <v>0.8</v>
      </c>
      <c r="X124" s="334">
        <v>11</v>
      </c>
      <c r="Y124" s="336">
        <v>0.05</v>
      </c>
      <c r="Z124" s="332">
        <v>11</v>
      </c>
      <c r="AA124" s="332">
        <v>11</v>
      </c>
      <c r="AB124" s="332" t="s">
        <v>629</v>
      </c>
    </row>
    <row r="125" spans="17:28">
      <c r="Q125" s="320" t="s">
        <v>743</v>
      </c>
      <c r="R125" s="327" t="s">
        <v>743</v>
      </c>
      <c r="S125" s="320" t="s">
        <v>744</v>
      </c>
      <c r="T125" s="332">
        <v>0</v>
      </c>
      <c r="U125" s="332">
        <v>23</v>
      </c>
      <c r="V125" s="341">
        <v>11</v>
      </c>
      <c r="W125" s="333">
        <v>0.8</v>
      </c>
      <c r="X125" s="334">
        <v>11</v>
      </c>
      <c r="Y125" s="336">
        <v>0.05</v>
      </c>
      <c r="Z125" s="332">
        <v>11</v>
      </c>
      <c r="AA125" s="332">
        <v>11</v>
      </c>
      <c r="AB125" s="332" t="s">
        <v>629</v>
      </c>
    </row>
    <row r="126" spans="17:28">
      <c r="Q126" s="344" t="s">
        <v>746</v>
      </c>
      <c r="R126" s="338" t="s">
        <v>746</v>
      </c>
      <c r="S126" s="344" t="s">
        <v>747</v>
      </c>
      <c r="T126" s="339">
        <v>3</v>
      </c>
      <c r="U126" s="340">
        <v>24</v>
      </c>
      <c r="V126" s="340">
        <v>0</v>
      </c>
      <c r="W126" s="325">
        <v>0</v>
      </c>
      <c r="X126" s="326">
        <v>0</v>
      </c>
      <c r="Y126" s="325">
        <v>0</v>
      </c>
      <c r="Z126" s="324">
        <v>0</v>
      </c>
      <c r="AA126" s="324">
        <v>0</v>
      </c>
      <c r="AB126" s="324" t="s">
        <v>629</v>
      </c>
    </row>
    <row r="127" spans="17:28">
      <c r="Q127" s="320" t="s">
        <v>749</v>
      </c>
      <c r="R127" s="327" t="s">
        <v>749</v>
      </c>
      <c r="S127" s="320" t="s">
        <v>750</v>
      </c>
      <c r="T127" s="332">
        <v>0</v>
      </c>
      <c r="U127" s="332">
        <v>25</v>
      </c>
      <c r="V127" s="341">
        <v>11</v>
      </c>
      <c r="W127" s="333">
        <v>0.8</v>
      </c>
      <c r="X127" s="334">
        <v>11</v>
      </c>
      <c r="Y127" s="336">
        <v>0.05</v>
      </c>
      <c r="Z127" s="332">
        <v>11</v>
      </c>
      <c r="AA127" s="332">
        <v>11</v>
      </c>
      <c r="AB127" s="332" t="s">
        <v>629</v>
      </c>
    </row>
    <row r="128" spans="17:28">
      <c r="Q128" s="320" t="s">
        <v>753</v>
      </c>
      <c r="R128" s="327" t="s">
        <v>753</v>
      </c>
      <c r="S128" s="320" t="s">
        <v>754</v>
      </c>
      <c r="T128" s="332">
        <v>0</v>
      </c>
      <c r="U128" s="332">
        <v>26</v>
      </c>
      <c r="V128" s="341">
        <v>11</v>
      </c>
      <c r="W128" s="333">
        <v>0.8</v>
      </c>
      <c r="X128" s="334">
        <v>11</v>
      </c>
      <c r="Y128" s="336">
        <v>0.05</v>
      </c>
      <c r="Z128" s="332">
        <v>11</v>
      </c>
      <c r="AA128" s="332">
        <v>11</v>
      </c>
      <c r="AB128" s="332" t="s">
        <v>629</v>
      </c>
    </row>
    <row r="129" spans="17:28">
      <c r="Q129" s="320" t="s">
        <v>760</v>
      </c>
      <c r="R129" s="327" t="s">
        <v>760</v>
      </c>
      <c r="S129" s="320" t="s">
        <v>761</v>
      </c>
      <c r="T129" s="332">
        <v>0</v>
      </c>
      <c r="U129" s="332">
        <v>27</v>
      </c>
      <c r="V129" s="332">
        <v>11</v>
      </c>
      <c r="W129" s="333">
        <v>0.8</v>
      </c>
      <c r="X129" s="334">
        <v>11</v>
      </c>
      <c r="Y129" s="336">
        <v>0.05</v>
      </c>
      <c r="Z129" s="332">
        <v>11</v>
      </c>
      <c r="AA129" s="332">
        <v>11</v>
      </c>
      <c r="AB129" s="332" t="s">
        <v>629</v>
      </c>
    </row>
    <row r="130" spans="17:28">
      <c r="Q130" s="320" t="s">
        <v>763</v>
      </c>
      <c r="R130" s="327" t="s">
        <v>763</v>
      </c>
      <c r="S130" s="320" t="s">
        <v>764</v>
      </c>
      <c r="T130" s="332">
        <v>0</v>
      </c>
      <c r="U130" s="332">
        <v>28</v>
      </c>
      <c r="V130" s="332">
        <v>11</v>
      </c>
      <c r="W130" s="333">
        <v>0.8</v>
      </c>
      <c r="X130" s="334">
        <v>11</v>
      </c>
      <c r="Y130" s="336">
        <v>0.05</v>
      </c>
      <c r="Z130" s="332">
        <v>11</v>
      </c>
      <c r="AA130" s="332">
        <v>11</v>
      </c>
      <c r="AB130" s="332" t="s">
        <v>629</v>
      </c>
    </row>
    <row r="131" spans="17:28">
      <c r="Q131" s="320" t="s">
        <v>768</v>
      </c>
      <c r="R131" s="327" t="s">
        <v>768</v>
      </c>
      <c r="S131" s="320" t="s">
        <v>769</v>
      </c>
      <c r="T131" s="332">
        <v>0</v>
      </c>
      <c r="U131" s="332">
        <v>29</v>
      </c>
      <c r="V131" s="332">
        <v>11</v>
      </c>
      <c r="W131" s="333">
        <v>0.8</v>
      </c>
      <c r="X131" s="334">
        <v>11</v>
      </c>
      <c r="Y131" s="336">
        <v>0.05</v>
      </c>
      <c r="Z131" s="332">
        <v>11</v>
      </c>
      <c r="AA131" s="332">
        <v>11</v>
      </c>
      <c r="AB131" s="332" t="s">
        <v>629</v>
      </c>
    </row>
    <row r="132" spans="17:28">
      <c r="Q132" s="344" t="s">
        <v>772</v>
      </c>
      <c r="R132" s="338" t="s">
        <v>772</v>
      </c>
      <c r="S132" s="344" t="s">
        <v>773</v>
      </c>
      <c r="T132" s="339">
        <v>3</v>
      </c>
      <c r="U132" s="340">
        <v>30</v>
      </c>
      <c r="V132" s="340">
        <v>0</v>
      </c>
      <c r="W132" s="325">
        <v>0</v>
      </c>
      <c r="X132" s="326">
        <v>0</v>
      </c>
      <c r="Y132" s="325">
        <v>0</v>
      </c>
      <c r="Z132" s="324">
        <v>0</v>
      </c>
      <c r="AA132" s="324">
        <v>0</v>
      </c>
      <c r="AB132" s="324" t="s">
        <v>629</v>
      </c>
    </row>
    <row r="133" spans="17:28">
      <c r="Q133" s="320" t="s">
        <v>779</v>
      </c>
      <c r="R133" s="327" t="s">
        <v>779</v>
      </c>
      <c r="S133" s="320" t="s">
        <v>780</v>
      </c>
      <c r="T133" s="332">
        <v>0</v>
      </c>
      <c r="U133" s="332">
        <v>31</v>
      </c>
      <c r="V133" s="341">
        <v>11</v>
      </c>
      <c r="W133" s="333">
        <v>0.8</v>
      </c>
      <c r="X133" s="334">
        <v>11</v>
      </c>
      <c r="Y133" s="336">
        <v>0.05</v>
      </c>
      <c r="Z133" s="332">
        <v>11</v>
      </c>
      <c r="AA133" s="332">
        <v>11</v>
      </c>
      <c r="AB133" s="332" t="s">
        <v>629</v>
      </c>
    </row>
    <row r="134" spans="17:28">
      <c r="Q134" s="320" t="s">
        <v>788</v>
      </c>
      <c r="R134" s="327" t="s">
        <v>788</v>
      </c>
      <c r="S134" s="320" t="s">
        <v>789</v>
      </c>
      <c r="T134" s="332">
        <v>0</v>
      </c>
      <c r="U134" s="332">
        <v>32</v>
      </c>
      <c r="V134" s="341">
        <v>11</v>
      </c>
      <c r="W134" s="333">
        <v>0.8</v>
      </c>
      <c r="X134" s="334">
        <v>11</v>
      </c>
      <c r="Y134" s="336">
        <v>0.05</v>
      </c>
      <c r="Z134" s="332">
        <v>11</v>
      </c>
      <c r="AA134" s="332">
        <v>11</v>
      </c>
      <c r="AB134" s="332" t="s">
        <v>629</v>
      </c>
    </row>
    <row r="135" spans="17:28">
      <c r="Q135" s="344" t="s">
        <v>796</v>
      </c>
      <c r="R135" s="338" t="s">
        <v>796</v>
      </c>
      <c r="S135" s="344" t="s">
        <v>797</v>
      </c>
      <c r="T135" s="339">
        <v>3</v>
      </c>
      <c r="U135" s="340">
        <v>33</v>
      </c>
      <c r="V135" s="340">
        <v>0</v>
      </c>
      <c r="W135" s="325">
        <v>0</v>
      </c>
      <c r="X135" s="326">
        <v>0</v>
      </c>
      <c r="Y135" s="325">
        <v>0</v>
      </c>
      <c r="Z135" s="324">
        <v>0</v>
      </c>
      <c r="AA135" s="324">
        <v>0</v>
      </c>
      <c r="AB135" s="324" t="s">
        <v>629</v>
      </c>
    </row>
    <row r="136" spans="17:28">
      <c r="Q136" s="320" t="s">
        <v>803</v>
      </c>
      <c r="R136" s="327" t="s">
        <v>803</v>
      </c>
      <c r="S136" s="320" t="s">
        <v>804</v>
      </c>
      <c r="T136" s="332">
        <v>0</v>
      </c>
      <c r="U136" s="332">
        <v>34</v>
      </c>
      <c r="V136" s="341">
        <v>11</v>
      </c>
      <c r="W136" s="333">
        <v>0.8</v>
      </c>
      <c r="X136" s="334">
        <v>11</v>
      </c>
      <c r="Y136" s="336">
        <v>0.05</v>
      </c>
      <c r="Z136" s="332">
        <v>11</v>
      </c>
      <c r="AA136" s="332">
        <v>11</v>
      </c>
      <c r="AB136" s="332" t="s">
        <v>629</v>
      </c>
    </row>
    <row r="137" spans="17:28">
      <c r="Q137" s="199" t="s">
        <v>810</v>
      </c>
      <c r="R137" s="327" t="s">
        <v>810</v>
      </c>
      <c r="S137" s="199" t="s">
        <v>811</v>
      </c>
      <c r="T137" s="332">
        <v>0</v>
      </c>
      <c r="U137" s="332">
        <v>35</v>
      </c>
      <c r="V137" s="341">
        <v>11</v>
      </c>
      <c r="W137" s="333">
        <v>0.8</v>
      </c>
      <c r="X137" s="334">
        <v>11</v>
      </c>
      <c r="Y137" s="336">
        <v>0.05</v>
      </c>
      <c r="Z137" s="332">
        <v>11</v>
      </c>
      <c r="AA137" s="332">
        <v>11</v>
      </c>
      <c r="AB137" s="332" t="s">
        <v>629</v>
      </c>
    </row>
    <row r="138" spans="17:28">
      <c r="Q138" s="323" t="s">
        <v>275</v>
      </c>
      <c r="R138" s="322" t="s">
        <v>275</v>
      </c>
      <c r="S138" s="323" t="s">
        <v>816</v>
      </c>
      <c r="T138" s="324">
        <v>0</v>
      </c>
      <c r="U138" s="324">
        <v>36</v>
      </c>
      <c r="V138" s="324">
        <v>5</v>
      </c>
      <c r="W138" s="330">
        <v>0.3</v>
      </c>
      <c r="X138" s="331">
        <v>5</v>
      </c>
      <c r="Y138" s="330">
        <v>0.1</v>
      </c>
      <c r="Z138" s="324">
        <v>0</v>
      </c>
      <c r="AA138" s="324">
        <v>0</v>
      </c>
      <c r="AB138" s="324" t="s">
        <v>629</v>
      </c>
    </row>
    <row r="139" spans="17:28">
      <c r="Q139" s="323" t="s">
        <v>269</v>
      </c>
      <c r="R139" s="322" t="s">
        <v>269</v>
      </c>
      <c r="S139" s="323" t="s">
        <v>821</v>
      </c>
      <c r="T139" s="324">
        <v>0</v>
      </c>
      <c r="U139" s="324">
        <v>37</v>
      </c>
      <c r="V139" s="324">
        <v>5</v>
      </c>
      <c r="W139" s="330">
        <v>0.3</v>
      </c>
      <c r="X139" s="331">
        <v>5</v>
      </c>
      <c r="Y139" s="330">
        <v>0.1</v>
      </c>
      <c r="Z139" s="324">
        <v>0</v>
      </c>
      <c r="AA139" s="324">
        <v>0</v>
      </c>
      <c r="AB139" s="324" t="s">
        <v>629</v>
      </c>
    </row>
    <row r="140" spans="17:28">
      <c r="Q140" s="199" t="s">
        <v>824</v>
      </c>
      <c r="R140" s="327" t="s">
        <v>824</v>
      </c>
      <c r="S140" s="199" t="s">
        <v>825</v>
      </c>
      <c r="T140" s="332">
        <v>0</v>
      </c>
      <c r="U140" s="332">
        <v>38</v>
      </c>
      <c r="V140" s="332">
        <v>37</v>
      </c>
      <c r="W140" s="333">
        <v>0.8</v>
      </c>
      <c r="X140" s="334">
        <v>37</v>
      </c>
      <c r="Y140" s="333">
        <v>0.3</v>
      </c>
      <c r="Z140" s="332">
        <v>37</v>
      </c>
      <c r="AA140" s="332">
        <v>37</v>
      </c>
      <c r="AB140" s="332" t="s">
        <v>629</v>
      </c>
    </row>
    <row r="141" spans="17:28">
      <c r="Q141" s="199" t="s">
        <v>829</v>
      </c>
      <c r="R141" s="327" t="s">
        <v>829</v>
      </c>
      <c r="S141" s="199" t="s">
        <v>830</v>
      </c>
      <c r="T141" s="332">
        <v>0</v>
      </c>
      <c r="U141" s="332">
        <v>39</v>
      </c>
      <c r="V141" s="332">
        <v>37</v>
      </c>
      <c r="W141" s="333">
        <v>0.8</v>
      </c>
      <c r="X141" s="334">
        <v>37</v>
      </c>
      <c r="Y141" s="333">
        <v>0.3</v>
      </c>
      <c r="Z141" s="332">
        <v>37</v>
      </c>
      <c r="AA141" s="332">
        <v>37</v>
      </c>
      <c r="AB141" s="332" t="s">
        <v>629</v>
      </c>
    </row>
    <row r="142" spans="17:28">
      <c r="Q142" s="323" t="s">
        <v>834</v>
      </c>
      <c r="R142" s="322" t="s">
        <v>834</v>
      </c>
      <c r="S142" s="323" t="s">
        <v>835</v>
      </c>
      <c r="T142" s="324">
        <v>0</v>
      </c>
      <c r="U142" s="324">
        <v>40</v>
      </c>
      <c r="V142" s="324">
        <v>5</v>
      </c>
      <c r="W142" s="330">
        <v>0.3</v>
      </c>
      <c r="X142" s="331">
        <v>5</v>
      </c>
      <c r="Y142" s="330">
        <v>0.1</v>
      </c>
      <c r="Z142" s="324">
        <v>0</v>
      </c>
      <c r="AA142" s="324">
        <v>0</v>
      </c>
      <c r="AB142" s="324" t="s">
        <v>629</v>
      </c>
    </row>
    <row r="143" spans="17:28">
      <c r="Q143" s="323" t="s">
        <v>839</v>
      </c>
      <c r="R143" s="322" t="s">
        <v>839</v>
      </c>
      <c r="S143" s="323" t="s">
        <v>840</v>
      </c>
      <c r="T143" s="324">
        <v>0</v>
      </c>
      <c r="U143" s="324">
        <v>41</v>
      </c>
      <c r="V143" s="324">
        <v>5</v>
      </c>
      <c r="W143" s="330">
        <v>0.3</v>
      </c>
      <c r="X143" s="331">
        <v>5</v>
      </c>
      <c r="Y143" s="330">
        <v>0.1</v>
      </c>
      <c r="Z143" s="324">
        <v>0</v>
      </c>
      <c r="AA143" s="324">
        <v>0</v>
      </c>
      <c r="AB143" s="324" t="s">
        <v>629</v>
      </c>
    </row>
    <row r="144" spans="17:28">
      <c r="Q144" s="199" t="s">
        <v>844</v>
      </c>
      <c r="R144" s="327" t="s">
        <v>844</v>
      </c>
      <c r="S144" s="199" t="s">
        <v>845</v>
      </c>
      <c r="T144" s="332">
        <v>0</v>
      </c>
      <c r="U144" s="332">
        <v>42</v>
      </c>
      <c r="V144" s="332">
        <v>41</v>
      </c>
      <c r="W144" s="333">
        <v>0.8</v>
      </c>
      <c r="X144" s="353">
        <v>5</v>
      </c>
      <c r="Y144" s="354">
        <v>0.05</v>
      </c>
      <c r="Z144" s="332">
        <v>41</v>
      </c>
      <c r="AA144" s="332">
        <v>41</v>
      </c>
      <c r="AB144" s="332" t="s">
        <v>629</v>
      </c>
    </row>
    <row r="145" spans="17:28">
      <c r="Q145" s="199" t="s">
        <v>848</v>
      </c>
      <c r="R145" s="327" t="s">
        <v>848</v>
      </c>
      <c r="S145" s="199" t="s">
        <v>849</v>
      </c>
      <c r="T145" s="332">
        <v>0</v>
      </c>
      <c r="U145" s="332">
        <v>43</v>
      </c>
      <c r="V145" s="332">
        <v>41</v>
      </c>
      <c r="W145" s="333">
        <v>0.8</v>
      </c>
      <c r="X145" s="353">
        <v>5</v>
      </c>
      <c r="Y145" s="354">
        <v>0.05</v>
      </c>
      <c r="Z145" s="332">
        <v>41</v>
      </c>
      <c r="AA145" s="332">
        <v>41</v>
      </c>
      <c r="AB145" s="332" t="s">
        <v>629</v>
      </c>
    </row>
    <row r="146" spans="17:28">
      <c r="Q146" s="199" t="s">
        <v>854</v>
      </c>
      <c r="R146" s="327" t="s">
        <v>854</v>
      </c>
      <c r="S146" s="199" t="s">
        <v>855</v>
      </c>
      <c r="T146" s="332">
        <v>0</v>
      </c>
      <c r="U146" s="332">
        <v>44</v>
      </c>
      <c r="V146" s="332">
        <v>41</v>
      </c>
      <c r="W146" s="333">
        <v>0.8</v>
      </c>
      <c r="X146" s="353">
        <v>5</v>
      </c>
      <c r="Y146" s="354">
        <v>0.05</v>
      </c>
      <c r="Z146" s="332">
        <v>41</v>
      </c>
      <c r="AA146" s="332">
        <v>41</v>
      </c>
      <c r="AB146" s="332" t="s">
        <v>629</v>
      </c>
    </row>
    <row r="147" spans="17:28">
      <c r="Q147" s="323" t="s">
        <v>862</v>
      </c>
      <c r="R147" s="322" t="s">
        <v>862</v>
      </c>
      <c r="S147" s="323" t="s">
        <v>863</v>
      </c>
      <c r="T147" s="324">
        <v>0</v>
      </c>
      <c r="U147" s="324">
        <v>45</v>
      </c>
      <c r="V147" s="324">
        <v>5</v>
      </c>
      <c r="W147" s="330">
        <v>0.3</v>
      </c>
      <c r="X147" s="331">
        <v>5</v>
      </c>
      <c r="Y147" s="330">
        <v>0.1</v>
      </c>
      <c r="Z147" s="324">
        <v>0</v>
      </c>
      <c r="AA147" s="324">
        <v>0</v>
      </c>
      <c r="AB147" s="324" t="s">
        <v>629</v>
      </c>
    </row>
    <row r="148" spans="17:28">
      <c r="Q148" s="199" t="s">
        <v>869</v>
      </c>
      <c r="R148" s="327" t="s">
        <v>869</v>
      </c>
      <c r="S148" s="199" t="s">
        <v>870</v>
      </c>
      <c r="T148" s="332">
        <v>0</v>
      </c>
      <c r="U148" s="332">
        <v>46</v>
      </c>
      <c r="V148" s="332">
        <v>45</v>
      </c>
      <c r="W148" s="333">
        <v>0.8</v>
      </c>
      <c r="X148" s="334">
        <v>45</v>
      </c>
      <c r="Y148" s="333">
        <v>0.3</v>
      </c>
      <c r="Z148" s="332">
        <v>45</v>
      </c>
      <c r="AA148" s="332">
        <v>45</v>
      </c>
      <c r="AB148" s="332" t="s">
        <v>629</v>
      </c>
    </row>
    <row r="149" spans="17:28">
      <c r="Q149" s="199" t="s">
        <v>877</v>
      </c>
      <c r="R149" s="327" t="s">
        <v>877</v>
      </c>
      <c r="S149" s="199" t="s">
        <v>878</v>
      </c>
      <c r="T149" s="332">
        <v>0</v>
      </c>
      <c r="U149" s="332">
        <v>47</v>
      </c>
      <c r="V149" s="332">
        <v>45</v>
      </c>
      <c r="W149" s="333">
        <v>0.8</v>
      </c>
      <c r="X149" s="334">
        <v>45</v>
      </c>
      <c r="Y149" s="333">
        <v>0.3</v>
      </c>
      <c r="Z149" s="332">
        <v>45</v>
      </c>
      <c r="AA149" s="332">
        <v>45</v>
      </c>
      <c r="AB149" s="332" t="s">
        <v>629</v>
      </c>
    </row>
    <row r="150" spans="17:28">
      <c r="Q150" s="199" t="s">
        <v>884</v>
      </c>
      <c r="R150" s="327" t="s">
        <v>884</v>
      </c>
      <c r="S150" s="199" t="s">
        <v>885</v>
      </c>
      <c r="T150" s="332">
        <v>0</v>
      </c>
      <c r="U150" s="332">
        <v>48</v>
      </c>
      <c r="V150" s="332">
        <v>45</v>
      </c>
      <c r="W150" s="333">
        <v>0.8</v>
      </c>
      <c r="X150" s="334">
        <v>45</v>
      </c>
      <c r="Y150" s="333">
        <v>0.3</v>
      </c>
      <c r="Z150" s="332">
        <v>45</v>
      </c>
      <c r="AA150" s="332">
        <v>45</v>
      </c>
      <c r="AB150" s="332" t="s">
        <v>629</v>
      </c>
    </row>
    <row r="151" spans="17:28">
      <c r="Q151" s="199" t="s">
        <v>891</v>
      </c>
      <c r="R151" s="327" t="s">
        <v>891</v>
      </c>
      <c r="S151" s="199" t="s">
        <v>892</v>
      </c>
      <c r="T151" s="332">
        <v>0</v>
      </c>
      <c r="U151" s="332">
        <v>49</v>
      </c>
      <c r="V151" s="332">
        <v>45</v>
      </c>
      <c r="W151" s="333">
        <v>0.8</v>
      </c>
      <c r="X151" s="334">
        <v>45</v>
      </c>
      <c r="Y151" s="333">
        <v>0.3</v>
      </c>
      <c r="Z151" s="332">
        <v>45</v>
      </c>
      <c r="AA151" s="332">
        <v>45</v>
      </c>
      <c r="AB151" s="332" t="s">
        <v>629</v>
      </c>
    </row>
    <row r="152" spans="17:28">
      <c r="Q152" s="199" t="s">
        <v>897</v>
      </c>
      <c r="R152" s="327" t="s">
        <v>897</v>
      </c>
      <c r="S152" s="199" t="s">
        <v>898</v>
      </c>
      <c r="T152" s="332">
        <v>0</v>
      </c>
      <c r="U152" s="332">
        <v>50</v>
      </c>
      <c r="V152" s="332">
        <v>45</v>
      </c>
      <c r="W152" s="333">
        <v>0.8</v>
      </c>
      <c r="X152" s="334">
        <v>45</v>
      </c>
      <c r="Y152" s="333">
        <v>0.3</v>
      </c>
      <c r="Z152" s="332">
        <v>45</v>
      </c>
      <c r="AA152" s="332">
        <v>45</v>
      </c>
      <c r="AB152" s="332" t="s">
        <v>629</v>
      </c>
    </row>
    <row r="153" spans="17:28">
      <c r="Q153" s="323" t="s">
        <v>904</v>
      </c>
      <c r="R153" s="322" t="s">
        <v>904</v>
      </c>
      <c r="S153" s="323" t="s">
        <v>905</v>
      </c>
      <c r="T153" s="324">
        <v>0</v>
      </c>
      <c r="U153" s="324">
        <v>51</v>
      </c>
      <c r="V153" s="324">
        <v>5</v>
      </c>
      <c r="W153" s="330">
        <v>0.3</v>
      </c>
      <c r="X153" s="331">
        <v>5</v>
      </c>
      <c r="Y153" s="330">
        <v>0.1</v>
      </c>
      <c r="Z153" s="324">
        <v>0</v>
      </c>
      <c r="AA153" s="324">
        <v>0</v>
      </c>
      <c r="AB153" s="324" t="s">
        <v>629</v>
      </c>
    </row>
    <row r="154" spans="17:28">
      <c r="Q154" s="323" t="s">
        <v>910</v>
      </c>
      <c r="R154" s="322" t="s">
        <v>910</v>
      </c>
      <c r="S154" s="323" t="s">
        <v>911</v>
      </c>
      <c r="T154" s="324">
        <v>0</v>
      </c>
      <c r="U154" s="324">
        <v>52</v>
      </c>
      <c r="V154" s="324">
        <v>5</v>
      </c>
      <c r="W154" s="330">
        <v>0.3</v>
      </c>
      <c r="X154" s="357">
        <v>5</v>
      </c>
      <c r="Y154" s="330">
        <v>0.1</v>
      </c>
      <c r="Z154" s="324">
        <v>0</v>
      </c>
      <c r="AA154" s="324">
        <v>0</v>
      </c>
      <c r="AB154" s="324" t="s">
        <v>629</v>
      </c>
    </row>
    <row r="155" spans="17:28">
      <c r="Q155" s="337" t="s">
        <v>918</v>
      </c>
      <c r="R155" s="338" t="s">
        <v>918</v>
      </c>
      <c r="S155" s="337" t="s">
        <v>919</v>
      </c>
      <c r="T155" s="339">
        <v>3</v>
      </c>
      <c r="U155" s="340">
        <v>53</v>
      </c>
      <c r="V155" s="340">
        <v>0</v>
      </c>
      <c r="W155" s="325">
        <v>0</v>
      </c>
      <c r="X155" s="326">
        <v>0</v>
      </c>
      <c r="Y155" s="325">
        <v>0</v>
      </c>
      <c r="Z155" s="324">
        <v>0</v>
      </c>
      <c r="AA155" s="324">
        <v>0</v>
      </c>
      <c r="AB155" s="324" t="s">
        <v>629</v>
      </c>
    </row>
    <row r="156" spans="17:28">
      <c r="Q156" s="199" t="s">
        <v>926</v>
      </c>
      <c r="R156" s="327" t="s">
        <v>926</v>
      </c>
      <c r="S156" s="199" t="s">
        <v>927</v>
      </c>
      <c r="T156" s="332">
        <v>0</v>
      </c>
      <c r="U156" s="332">
        <v>54</v>
      </c>
      <c r="V156" s="341">
        <v>52</v>
      </c>
      <c r="W156" s="333">
        <v>0.8</v>
      </c>
      <c r="X156" s="353">
        <v>5</v>
      </c>
      <c r="Y156" s="354">
        <v>0.05</v>
      </c>
      <c r="Z156" s="332">
        <v>52</v>
      </c>
      <c r="AA156" s="332">
        <v>52</v>
      </c>
      <c r="AB156" s="332" t="s">
        <v>629</v>
      </c>
    </row>
    <row r="157" spans="17:28">
      <c r="Q157" s="199" t="s">
        <v>932</v>
      </c>
      <c r="R157" s="327" t="s">
        <v>932</v>
      </c>
      <c r="S157" s="199" t="s">
        <v>933</v>
      </c>
      <c r="T157" s="332">
        <v>0</v>
      </c>
      <c r="U157" s="332">
        <v>55</v>
      </c>
      <c r="V157" s="341">
        <v>52</v>
      </c>
      <c r="W157" s="333">
        <v>0.8</v>
      </c>
      <c r="X157" s="353">
        <v>5</v>
      </c>
      <c r="Y157" s="354">
        <v>0.05</v>
      </c>
      <c r="Z157" s="332">
        <v>52</v>
      </c>
      <c r="AA157" s="332">
        <v>52</v>
      </c>
      <c r="AB157" s="332" t="s">
        <v>629</v>
      </c>
    </row>
    <row r="158" spans="17:28">
      <c r="Q158" s="199" t="s">
        <v>939</v>
      </c>
      <c r="R158" s="327" t="s">
        <v>939</v>
      </c>
      <c r="S158" s="199" t="s">
        <v>940</v>
      </c>
      <c r="T158" s="332">
        <v>0</v>
      </c>
      <c r="U158" s="332">
        <v>56</v>
      </c>
      <c r="V158" s="332">
        <v>52</v>
      </c>
      <c r="W158" s="333">
        <v>0.8</v>
      </c>
      <c r="X158" s="353">
        <v>5</v>
      </c>
      <c r="Y158" s="354">
        <v>0.05</v>
      </c>
      <c r="Z158" s="332">
        <v>52</v>
      </c>
      <c r="AA158" s="332">
        <v>52</v>
      </c>
      <c r="AB158" s="332" t="s">
        <v>629</v>
      </c>
    </row>
    <row r="159" spans="17:28">
      <c r="Q159" s="199" t="s">
        <v>945</v>
      </c>
      <c r="R159" s="327" t="s">
        <v>945</v>
      </c>
      <c r="S159" s="199" t="s">
        <v>946</v>
      </c>
      <c r="T159" s="332">
        <v>0</v>
      </c>
      <c r="U159" s="332">
        <v>57</v>
      </c>
      <c r="V159" s="332">
        <v>52</v>
      </c>
      <c r="W159" s="333">
        <v>0.8</v>
      </c>
      <c r="X159" s="353">
        <v>5</v>
      </c>
      <c r="Y159" s="354">
        <v>0.05</v>
      </c>
      <c r="Z159" s="332">
        <v>52</v>
      </c>
      <c r="AA159" s="332">
        <v>52</v>
      </c>
      <c r="AB159" s="332" t="s">
        <v>629</v>
      </c>
    </row>
    <row r="160" spans="17:28">
      <c r="Q160" s="323" t="s">
        <v>951</v>
      </c>
      <c r="R160" s="322" t="s">
        <v>951</v>
      </c>
      <c r="S160" s="323" t="s">
        <v>952</v>
      </c>
      <c r="T160" s="324">
        <v>0</v>
      </c>
      <c r="U160" s="324">
        <v>58</v>
      </c>
      <c r="V160" s="324">
        <v>5</v>
      </c>
      <c r="W160" s="330">
        <v>0.3</v>
      </c>
      <c r="X160" s="331">
        <v>5</v>
      </c>
      <c r="Y160" s="330">
        <v>0.1</v>
      </c>
      <c r="Z160" s="324">
        <v>0</v>
      </c>
      <c r="AA160" s="324">
        <v>0</v>
      </c>
      <c r="AB160" s="324" t="s">
        <v>629</v>
      </c>
    </row>
    <row r="161" spans="17:28">
      <c r="Q161" s="199" t="s">
        <v>957</v>
      </c>
      <c r="R161" s="327" t="s">
        <v>957</v>
      </c>
      <c r="S161" s="199" t="s">
        <v>958</v>
      </c>
      <c r="T161" s="332">
        <v>0</v>
      </c>
      <c r="U161" s="332">
        <v>59</v>
      </c>
      <c r="V161" s="332">
        <v>58</v>
      </c>
      <c r="W161" s="333">
        <v>0.8</v>
      </c>
      <c r="X161" s="353">
        <v>5</v>
      </c>
      <c r="Y161" s="354">
        <v>0.05</v>
      </c>
      <c r="Z161" s="332">
        <v>58</v>
      </c>
      <c r="AA161" s="332">
        <v>58</v>
      </c>
      <c r="AB161" s="332" t="s">
        <v>629</v>
      </c>
    </row>
    <row r="162" spans="17:28">
      <c r="Q162" s="199" t="s">
        <v>963</v>
      </c>
      <c r="R162" s="327" t="s">
        <v>963</v>
      </c>
      <c r="S162" s="199" t="s">
        <v>964</v>
      </c>
      <c r="T162" s="332">
        <v>0</v>
      </c>
      <c r="U162" s="332">
        <v>60</v>
      </c>
      <c r="V162" s="332">
        <v>58</v>
      </c>
      <c r="W162" s="333">
        <v>0.8</v>
      </c>
      <c r="X162" s="353">
        <v>5</v>
      </c>
      <c r="Y162" s="354">
        <v>0.05</v>
      </c>
      <c r="Z162" s="332">
        <v>58</v>
      </c>
      <c r="AA162" s="332">
        <v>58</v>
      </c>
      <c r="AB162" s="332" t="s">
        <v>629</v>
      </c>
    </row>
    <row r="163" spans="17:28">
      <c r="Q163" s="199" t="s">
        <v>969</v>
      </c>
      <c r="R163" s="327" t="s">
        <v>969</v>
      </c>
      <c r="S163" s="199" t="s">
        <v>970</v>
      </c>
      <c r="T163" s="332">
        <v>0</v>
      </c>
      <c r="U163" s="332">
        <v>61</v>
      </c>
      <c r="V163" s="332">
        <v>58</v>
      </c>
      <c r="W163" s="333">
        <v>0.8</v>
      </c>
      <c r="X163" s="353">
        <v>5</v>
      </c>
      <c r="Y163" s="354">
        <v>0.05</v>
      </c>
      <c r="Z163" s="332">
        <v>58</v>
      </c>
      <c r="AA163" s="332">
        <v>58</v>
      </c>
      <c r="AB163" s="332" t="s">
        <v>629</v>
      </c>
    </row>
    <row r="164" spans="17:28">
      <c r="Q164" s="323" t="s">
        <v>974</v>
      </c>
      <c r="R164" s="322" t="s">
        <v>974</v>
      </c>
      <c r="S164" s="323" t="s">
        <v>975</v>
      </c>
      <c r="T164" s="324">
        <v>5</v>
      </c>
      <c r="U164" s="324">
        <v>62</v>
      </c>
      <c r="V164" s="324">
        <v>5</v>
      </c>
      <c r="W164" s="330">
        <v>0.3</v>
      </c>
      <c r="X164" s="331">
        <v>5</v>
      </c>
      <c r="Y164" s="330">
        <v>0.1</v>
      </c>
      <c r="Z164" s="324">
        <v>0</v>
      </c>
      <c r="AA164" s="324">
        <v>0</v>
      </c>
      <c r="AB164" s="324" t="s">
        <v>629</v>
      </c>
    </row>
    <row r="165" spans="17:28">
      <c r="Q165" s="199" t="s">
        <v>981</v>
      </c>
      <c r="R165" s="327" t="s">
        <v>981</v>
      </c>
      <c r="S165" s="199" t="s">
        <v>982</v>
      </c>
      <c r="T165" s="332">
        <v>0</v>
      </c>
      <c r="U165" s="332">
        <v>63</v>
      </c>
      <c r="V165" s="332">
        <v>0</v>
      </c>
      <c r="W165" s="333">
        <v>0.8</v>
      </c>
      <c r="X165" s="362">
        <v>5</v>
      </c>
      <c r="Y165" s="354">
        <v>0.05</v>
      </c>
      <c r="Z165" s="332">
        <v>5</v>
      </c>
      <c r="AA165" s="332">
        <v>5</v>
      </c>
      <c r="AB165" s="332"/>
    </row>
    <row r="166" spans="17:28">
      <c r="Q166" s="323" t="s">
        <v>988</v>
      </c>
      <c r="R166" s="322" t="s">
        <v>988</v>
      </c>
      <c r="S166" s="323" t="s">
        <v>989</v>
      </c>
      <c r="T166" s="324">
        <v>0</v>
      </c>
      <c r="U166" s="324">
        <v>64</v>
      </c>
      <c r="V166" s="324">
        <v>5</v>
      </c>
      <c r="W166" s="330">
        <v>0.3</v>
      </c>
      <c r="X166" s="331">
        <v>5</v>
      </c>
      <c r="Y166" s="330">
        <v>0.1</v>
      </c>
      <c r="Z166" s="324">
        <v>0</v>
      </c>
      <c r="AA166" s="324">
        <v>0</v>
      </c>
      <c r="AB166" s="324" t="s">
        <v>629</v>
      </c>
    </row>
    <row r="167" spans="17:28">
      <c r="Q167" s="337" t="s">
        <v>994</v>
      </c>
      <c r="R167" s="338" t="s">
        <v>994</v>
      </c>
      <c r="S167" s="337" t="s">
        <v>995</v>
      </c>
      <c r="T167" s="339">
        <v>3</v>
      </c>
      <c r="U167" s="340">
        <v>65</v>
      </c>
      <c r="V167" s="340">
        <v>0</v>
      </c>
      <c r="W167" s="325">
        <v>0</v>
      </c>
      <c r="X167" s="326">
        <v>0</v>
      </c>
      <c r="Y167" s="325">
        <v>0</v>
      </c>
      <c r="Z167" s="324">
        <v>0</v>
      </c>
      <c r="AA167" s="324">
        <v>0</v>
      </c>
      <c r="AB167" s="324" t="s">
        <v>629</v>
      </c>
    </row>
    <row r="168" spans="17:28">
      <c r="Q168" s="199" t="s">
        <v>1002</v>
      </c>
      <c r="R168" s="327" t="s">
        <v>1002</v>
      </c>
      <c r="S168" s="199" t="s">
        <v>1003</v>
      </c>
      <c r="T168" s="332">
        <v>0</v>
      </c>
      <c r="U168" s="332">
        <v>66</v>
      </c>
      <c r="V168" s="341">
        <v>64</v>
      </c>
      <c r="W168" s="333">
        <v>0.8</v>
      </c>
      <c r="X168" s="353">
        <v>5</v>
      </c>
      <c r="Y168" s="354">
        <v>0.05</v>
      </c>
      <c r="Z168" s="332">
        <v>64</v>
      </c>
      <c r="AA168" s="332">
        <v>64</v>
      </c>
      <c r="AB168" s="332" t="s">
        <v>629</v>
      </c>
    </row>
    <row r="169" spans="17:28">
      <c r="Q169" s="199" t="s">
        <v>1007</v>
      </c>
      <c r="R169" s="327" t="s">
        <v>1007</v>
      </c>
      <c r="S169" s="199" t="s">
        <v>1008</v>
      </c>
      <c r="T169" s="332">
        <v>0</v>
      </c>
      <c r="U169" s="332">
        <v>67</v>
      </c>
      <c r="V169" s="341">
        <v>64</v>
      </c>
      <c r="W169" s="333">
        <v>0.8</v>
      </c>
      <c r="X169" s="353">
        <v>5</v>
      </c>
      <c r="Y169" s="354">
        <v>0.05</v>
      </c>
      <c r="Z169" s="332">
        <v>64</v>
      </c>
      <c r="AA169" s="332">
        <v>64</v>
      </c>
      <c r="AB169" s="332" t="s">
        <v>629</v>
      </c>
    </row>
    <row r="170" spans="17:28">
      <c r="Q170" s="199" t="s">
        <v>1011</v>
      </c>
      <c r="R170" s="327" t="s">
        <v>1011</v>
      </c>
      <c r="S170" s="199" t="s">
        <v>1012</v>
      </c>
      <c r="T170" s="332">
        <v>0</v>
      </c>
      <c r="U170" s="332">
        <v>68</v>
      </c>
      <c r="V170" s="332">
        <v>64</v>
      </c>
      <c r="W170" s="333">
        <v>0.8</v>
      </c>
      <c r="X170" s="353">
        <v>5</v>
      </c>
      <c r="Y170" s="354">
        <v>0.05</v>
      </c>
      <c r="Z170" s="332">
        <v>64</v>
      </c>
      <c r="AA170" s="332">
        <v>64</v>
      </c>
      <c r="AB170" s="332" t="s">
        <v>629</v>
      </c>
    </row>
    <row r="171" spans="17:28">
      <c r="Q171" s="337" t="s">
        <v>1018</v>
      </c>
      <c r="R171" s="338" t="s">
        <v>1018</v>
      </c>
      <c r="S171" s="337" t="s">
        <v>1019</v>
      </c>
      <c r="T171" s="339">
        <v>3</v>
      </c>
      <c r="U171" s="340">
        <v>69</v>
      </c>
      <c r="V171" s="340">
        <v>0</v>
      </c>
      <c r="W171" s="325">
        <v>0</v>
      </c>
      <c r="X171" s="326">
        <v>0</v>
      </c>
      <c r="Y171" s="325">
        <v>0</v>
      </c>
      <c r="Z171" s="324">
        <v>0</v>
      </c>
      <c r="AA171" s="324">
        <v>0</v>
      </c>
      <c r="AB171" s="324" t="s">
        <v>629</v>
      </c>
    </row>
    <row r="172" spans="17:28">
      <c r="Q172" s="199" t="s">
        <v>1022</v>
      </c>
      <c r="R172" s="327" t="s">
        <v>1022</v>
      </c>
      <c r="S172" s="199" t="s">
        <v>1023</v>
      </c>
      <c r="T172" s="332">
        <v>0</v>
      </c>
      <c r="U172" s="332">
        <v>70</v>
      </c>
      <c r="V172" s="341">
        <v>64</v>
      </c>
      <c r="W172" s="333">
        <v>0.8</v>
      </c>
      <c r="X172" s="353">
        <v>5</v>
      </c>
      <c r="Y172" s="354">
        <v>0.05</v>
      </c>
      <c r="Z172" s="332">
        <v>64</v>
      </c>
      <c r="AA172" s="332">
        <v>64</v>
      </c>
      <c r="AB172" s="332" t="s">
        <v>629</v>
      </c>
    </row>
    <row r="173" spans="17:28">
      <c r="Q173" s="199" t="s">
        <v>1027</v>
      </c>
      <c r="R173" s="327" t="s">
        <v>1027</v>
      </c>
      <c r="S173" s="199" t="s">
        <v>1028</v>
      </c>
      <c r="T173" s="332">
        <v>0</v>
      </c>
      <c r="U173" s="332">
        <v>71</v>
      </c>
      <c r="V173" s="341">
        <v>64</v>
      </c>
      <c r="W173" s="333">
        <v>0.8</v>
      </c>
      <c r="X173" s="353">
        <v>5</v>
      </c>
      <c r="Y173" s="354">
        <v>0.05</v>
      </c>
      <c r="Z173" s="332">
        <v>64</v>
      </c>
      <c r="AA173" s="332">
        <v>64</v>
      </c>
      <c r="AB173" s="332" t="s">
        <v>629</v>
      </c>
    </row>
    <row r="174" spans="17:28">
      <c r="Q174" s="323" t="s">
        <v>1031</v>
      </c>
      <c r="R174" s="322" t="s">
        <v>1031</v>
      </c>
      <c r="S174" s="323" t="s">
        <v>1032</v>
      </c>
      <c r="T174" s="324">
        <v>0</v>
      </c>
      <c r="U174" s="324">
        <v>72</v>
      </c>
      <c r="V174" s="324">
        <v>5</v>
      </c>
      <c r="W174" s="330">
        <v>0.3</v>
      </c>
      <c r="X174" s="331">
        <v>5</v>
      </c>
      <c r="Y174" s="368">
        <v>0.1</v>
      </c>
      <c r="Z174" s="324">
        <v>0</v>
      </c>
      <c r="AA174" s="324">
        <v>0</v>
      </c>
      <c r="AB174" s="324" t="s">
        <v>629</v>
      </c>
    </row>
    <row r="175" spans="17:28">
      <c r="Q175" s="199" t="s">
        <v>1035</v>
      </c>
      <c r="R175" s="327" t="s">
        <v>1035</v>
      </c>
      <c r="S175" s="199" t="s">
        <v>1036</v>
      </c>
      <c r="T175" s="332">
        <v>0</v>
      </c>
      <c r="U175" s="332">
        <v>73</v>
      </c>
      <c r="V175" s="332">
        <v>72</v>
      </c>
      <c r="W175" s="333">
        <v>0.8</v>
      </c>
      <c r="X175" s="353">
        <v>5</v>
      </c>
      <c r="Y175" s="354">
        <v>0.05</v>
      </c>
      <c r="Z175" s="332">
        <v>72</v>
      </c>
      <c r="AA175" s="332">
        <v>72</v>
      </c>
      <c r="AB175" s="332" t="s">
        <v>629</v>
      </c>
    </row>
    <row r="176" spans="17:28">
      <c r="Q176" s="199" t="s">
        <v>1039</v>
      </c>
      <c r="R176" s="327" t="s">
        <v>1039</v>
      </c>
      <c r="S176" s="199" t="s">
        <v>1040</v>
      </c>
      <c r="T176" s="332">
        <v>0</v>
      </c>
      <c r="U176" s="332">
        <v>74</v>
      </c>
      <c r="V176" s="332">
        <v>72</v>
      </c>
      <c r="W176" s="333">
        <v>0.8</v>
      </c>
      <c r="X176" s="353">
        <v>5</v>
      </c>
      <c r="Y176" s="354">
        <v>0.05</v>
      </c>
      <c r="Z176" s="332">
        <v>72</v>
      </c>
      <c r="AA176" s="332">
        <v>72</v>
      </c>
      <c r="AB176" s="332" t="s">
        <v>629</v>
      </c>
    </row>
    <row r="177" spans="17:28">
      <c r="Q177" s="199" t="s">
        <v>1043</v>
      </c>
      <c r="R177" s="327" t="s">
        <v>1043</v>
      </c>
      <c r="S177" s="199" t="s">
        <v>1044</v>
      </c>
      <c r="T177" s="332">
        <v>0</v>
      </c>
      <c r="U177" s="332">
        <v>75</v>
      </c>
      <c r="V177" s="332">
        <v>72</v>
      </c>
      <c r="W177" s="333">
        <v>0.8</v>
      </c>
      <c r="X177" s="353">
        <v>5</v>
      </c>
      <c r="Y177" s="354">
        <v>0.05</v>
      </c>
      <c r="Z177" s="332">
        <v>72</v>
      </c>
      <c r="AA177" s="332">
        <v>72</v>
      </c>
      <c r="AB177" s="332" t="s">
        <v>629</v>
      </c>
    </row>
    <row r="178" spans="17:28">
      <c r="Q178" s="199" t="s">
        <v>1047</v>
      </c>
      <c r="R178" s="327" t="s">
        <v>1047</v>
      </c>
      <c r="S178" s="199" t="s">
        <v>1048</v>
      </c>
      <c r="T178" s="332">
        <v>0</v>
      </c>
      <c r="U178" s="332">
        <v>76</v>
      </c>
      <c r="V178" s="332">
        <v>72</v>
      </c>
      <c r="W178" s="333">
        <v>0.8</v>
      </c>
      <c r="X178" s="353">
        <v>5</v>
      </c>
      <c r="Y178" s="354">
        <v>0.05</v>
      </c>
      <c r="Z178" s="332">
        <v>72</v>
      </c>
      <c r="AA178" s="332">
        <v>72</v>
      </c>
      <c r="AB178" s="332" t="s">
        <v>629</v>
      </c>
    </row>
    <row r="179" spans="17:28">
      <c r="Q179" s="323" t="s">
        <v>1051</v>
      </c>
      <c r="R179" s="322" t="s">
        <v>1051</v>
      </c>
      <c r="S179" s="323" t="s">
        <v>1052</v>
      </c>
      <c r="T179" s="324">
        <v>0</v>
      </c>
      <c r="U179" s="324">
        <v>77</v>
      </c>
      <c r="V179" s="324">
        <v>5</v>
      </c>
      <c r="W179" s="330">
        <v>0.3</v>
      </c>
      <c r="X179" s="331">
        <v>5</v>
      </c>
      <c r="Y179" s="330">
        <v>0.1</v>
      </c>
      <c r="Z179" s="324">
        <v>0</v>
      </c>
      <c r="AA179" s="324">
        <v>0</v>
      </c>
      <c r="AB179" s="324" t="s">
        <v>629</v>
      </c>
    </row>
    <row r="180" spans="17:28">
      <c r="Q180" s="323" t="s">
        <v>271</v>
      </c>
      <c r="R180" s="322" t="s">
        <v>271</v>
      </c>
      <c r="S180" s="323" t="s">
        <v>1056</v>
      </c>
      <c r="T180" s="324">
        <v>0</v>
      </c>
      <c r="U180" s="324">
        <v>78</v>
      </c>
      <c r="V180" s="324">
        <v>5</v>
      </c>
      <c r="W180" s="330">
        <v>0.3</v>
      </c>
      <c r="X180" s="331">
        <v>5</v>
      </c>
      <c r="Y180" s="330">
        <v>0.1</v>
      </c>
      <c r="Z180" s="324">
        <v>0</v>
      </c>
      <c r="AA180" s="324">
        <v>0</v>
      </c>
      <c r="AB180" s="324" t="s">
        <v>629</v>
      </c>
    </row>
    <row r="181" spans="17:28">
      <c r="Q181" s="323" t="s">
        <v>1059</v>
      </c>
      <c r="R181" s="322" t="s">
        <v>1059</v>
      </c>
      <c r="S181" s="323" t="s">
        <v>1060</v>
      </c>
      <c r="T181" s="324">
        <v>0</v>
      </c>
      <c r="U181" s="324">
        <v>79</v>
      </c>
      <c r="V181" s="324">
        <v>5</v>
      </c>
      <c r="W181" s="330">
        <v>0.3</v>
      </c>
      <c r="X181" s="331">
        <v>5</v>
      </c>
      <c r="Y181" s="330">
        <v>0.1</v>
      </c>
      <c r="Z181" s="324">
        <v>0</v>
      </c>
      <c r="AA181" s="324">
        <v>0</v>
      </c>
      <c r="AB181" s="324" t="s">
        <v>629</v>
      </c>
    </row>
    <row r="182" spans="17:28">
      <c r="Q182" s="199" t="s">
        <v>1063</v>
      </c>
      <c r="R182" s="327" t="s">
        <v>1063</v>
      </c>
      <c r="S182" s="199" t="s">
        <v>1064</v>
      </c>
      <c r="T182" s="332">
        <v>0</v>
      </c>
      <c r="U182" s="332">
        <v>80</v>
      </c>
      <c r="V182" s="332">
        <v>79</v>
      </c>
      <c r="W182" s="333">
        <v>0.8</v>
      </c>
      <c r="X182" s="353">
        <v>5</v>
      </c>
      <c r="Y182" s="354">
        <v>0.05</v>
      </c>
      <c r="Z182" s="332">
        <v>79</v>
      </c>
      <c r="AA182" s="332">
        <v>79</v>
      </c>
      <c r="AB182" s="332" t="s">
        <v>629</v>
      </c>
    </row>
    <row r="183" spans="17:28">
      <c r="Q183" s="199" t="s">
        <v>1068</v>
      </c>
      <c r="R183" s="327" t="s">
        <v>1068</v>
      </c>
      <c r="S183" s="199" t="s">
        <v>1069</v>
      </c>
      <c r="T183" s="332">
        <v>0</v>
      </c>
      <c r="U183" s="332">
        <v>81</v>
      </c>
      <c r="V183" s="332">
        <v>79</v>
      </c>
      <c r="W183" s="333">
        <v>0.8</v>
      </c>
      <c r="X183" s="353">
        <v>5</v>
      </c>
      <c r="Y183" s="354">
        <v>0.05</v>
      </c>
      <c r="Z183" s="332">
        <v>79</v>
      </c>
      <c r="AA183" s="332">
        <v>79</v>
      </c>
      <c r="AB183" s="332" t="s">
        <v>629</v>
      </c>
    </row>
    <row r="184" spans="17:28">
      <c r="Q184" s="323" t="s">
        <v>1070</v>
      </c>
      <c r="R184" s="322" t="s">
        <v>1070</v>
      </c>
      <c r="S184" s="323" t="s">
        <v>1071</v>
      </c>
      <c r="T184" s="324">
        <v>0</v>
      </c>
      <c r="U184" s="324">
        <v>82</v>
      </c>
      <c r="V184" s="324">
        <v>5</v>
      </c>
      <c r="W184" s="330">
        <v>0.3</v>
      </c>
      <c r="X184" s="331">
        <v>5</v>
      </c>
      <c r="Y184" s="330">
        <v>0.1</v>
      </c>
      <c r="Z184" s="324">
        <v>0</v>
      </c>
      <c r="AA184" s="324">
        <v>0</v>
      </c>
      <c r="AB184" s="324" t="s">
        <v>629</v>
      </c>
    </row>
    <row r="185" spans="17:28">
      <c r="Q185" s="199" t="s">
        <v>1072</v>
      </c>
      <c r="R185" s="327" t="s">
        <v>1072</v>
      </c>
      <c r="S185" s="199" t="s">
        <v>1073</v>
      </c>
      <c r="T185" s="332">
        <v>0</v>
      </c>
      <c r="U185" s="332">
        <v>83</v>
      </c>
      <c r="V185" s="332">
        <v>82</v>
      </c>
      <c r="W185" s="333">
        <v>0.8</v>
      </c>
      <c r="X185" s="353">
        <v>5</v>
      </c>
      <c r="Y185" s="354">
        <v>0.05</v>
      </c>
      <c r="Z185" s="332">
        <v>82</v>
      </c>
      <c r="AA185" s="332">
        <v>82</v>
      </c>
      <c r="AB185" s="332" t="s">
        <v>629</v>
      </c>
    </row>
    <row r="186" spans="17:28">
      <c r="Q186" s="199" t="s">
        <v>1074</v>
      </c>
      <c r="R186" s="327" t="s">
        <v>1074</v>
      </c>
      <c r="S186" s="199" t="s">
        <v>1075</v>
      </c>
      <c r="T186" s="332">
        <v>0</v>
      </c>
      <c r="U186" s="332">
        <v>84</v>
      </c>
      <c r="V186" s="332">
        <v>82</v>
      </c>
      <c r="W186" s="333">
        <v>0.8</v>
      </c>
      <c r="X186" s="353">
        <v>5</v>
      </c>
      <c r="Y186" s="354">
        <v>0.05</v>
      </c>
      <c r="Z186" s="332">
        <v>82</v>
      </c>
      <c r="AA186" s="332">
        <v>82</v>
      </c>
      <c r="AB186" s="332" t="s">
        <v>629</v>
      </c>
    </row>
    <row r="187" spans="17:28">
      <c r="Q187" s="323" t="s">
        <v>1076</v>
      </c>
      <c r="R187" s="322" t="s">
        <v>1076</v>
      </c>
      <c r="S187" s="323" t="s">
        <v>1077</v>
      </c>
      <c r="T187" s="324">
        <v>0</v>
      </c>
      <c r="U187" s="324">
        <v>85</v>
      </c>
      <c r="V187" s="324">
        <v>5</v>
      </c>
      <c r="W187" s="330">
        <v>0.3</v>
      </c>
      <c r="X187" s="331">
        <v>5</v>
      </c>
      <c r="Y187" s="330">
        <v>0.1</v>
      </c>
      <c r="Z187" s="324">
        <v>0</v>
      </c>
      <c r="AA187" s="324">
        <v>0</v>
      </c>
      <c r="AB187" s="324" t="s">
        <v>629</v>
      </c>
    </row>
    <row r="188" spans="17:28">
      <c r="Q188" s="199" t="s">
        <v>1078</v>
      </c>
      <c r="R188" s="327" t="s">
        <v>1078</v>
      </c>
      <c r="S188" s="199" t="s">
        <v>1079</v>
      </c>
      <c r="T188" s="332">
        <v>0</v>
      </c>
      <c r="U188" s="332">
        <v>86</v>
      </c>
      <c r="V188" s="332">
        <v>85</v>
      </c>
      <c r="W188" s="333">
        <v>0.8</v>
      </c>
      <c r="X188" s="353">
        <v>5</v>
      </c>
      <c r="Y188" s="354">
        <v>0.05</v>
      </c>
      <c r="Z188" s="332">
        <v>85</v>
      </c>
      <c r="AA188" s="332">
        <v>85</v>
      </c>
      <c r="AB188" s="332" t="s">
        <v>629</v>
      </c>
    </row>
    <row r="189" spans="17:28">
      <c r="Q189" s="199" t="s">
        <v>1080</v>
      </c>
      <c r="R189" s="327" t="s">
        <v>1080</v>
      </c>
      <c r="S189" s="199" t="s">
        <v>1081</v>
      </c>
      <c r="T189" s="332">
        <v>0</v>
      </c>
      <c r="U189" s="332">
        <v>87</v>
      </c>
      <c r="V189" s="332">
        <v>85</v>
      </c>
      <c r="W189" s="333">
        <v>0.8</v>
      </c>
      <c r="X189" s="353">
        <v>5</v>
      </c>
      <c r="Y189" s="354">
        <v>0.05</v>
      </c>
      <c r="Z189" s="332">
        <v>85</v>
      </c>
      <c r="AA189" s="332">
        <v>85</v>
      </c>
      <c r="AB189" s="332" t="s">
        <v>629</v>
      </c>
    </row>
    <row r="190" spans="17:28">
      <c r="Q190" s="199" t="s">
        <v>1082</v>
      </c>
      <c r="R190" s="327" t="s">
        <v>1082</v>
      </c>
      <c r="S190" s="199" t="s">
        <v>1083</v>
      </c>
      <c r="T190" s="332">
        <v>0</v>
      </c>
      <c r="U190" s="332">
        <v>88</v>
      </c>
      <c r="V190" s="332">
        <v>85</v>
      </c>
      <c r="W190" s="333">
        <v>0.8</v>
      </c>
      <c r="X190" s="353">
        <v>5</v>
      </c>
      <c r="Y190" s="354">
        <v>0.05</v>
      </c>
      <c r="Z190" s="332">
        <v>85</v>
      </c>
      <c r="AA190" s="332">
        <v>85</v>
      </c>
      <c r="AB190" s="332" t="s">
        <v>629</v>
      </c>
    </row>
    <row r="191" spans="17:28">
      <c r="Q191" s="323" t="s">
        <v>647</v>
      </c>
      <c r="R191" s="322" t="s">
        <v>647</v>
      </c>
      <c r="S191" s="323" t="s">
        <v>1084</v>
      </c>
      <c r="T191" s="324">
        <v>0</v>
      </c>
      <c r="U191" s="324">
        <v>89</v>
      </c>
      <c r="V191" s="324">
        <v>5</v>
      </c>
      <c r="W191" s="330">
        <v>0.3</v>
      </c>
      <c r="X191" s="331">
        <v>5</v>
      </c>
      <c r="Y191" s="330">
        <v>0.1</v>
      </c>
      <c r="Z191" s="324">
        <v>0</v>
      </c>
      <c r="AA191" s="324">
        <v>0</v>
      </c>
      <c r="AB191" s="324" t="s">
        <v>629</v>
      </c>
    </row>
    <row r="192" spans="17:28">
      <c r="Q192" s="323" t="s">
        <v>1085</v>
      </c>
      <c r="R192" s="322" t="s">
        <v>1085</v>
      </c>
      <c r="S192" s="323" t="s">
        <v>1086</v>
      </c>
      <c r="T192" s="324">
        <v>0</v>
      </c>
      <c r="U192" s="324">
        <v>90</v>
      </c>
      <c r="V192" s="324">
        <v>5</v>
      </c>
      <c r="W192" s="330">
        <v>0.3</v>
      </c>
      <c r="X192" s="331">
        <v>5</v>
      </c>
      <c r="Y192" s="330">
        <v>0.1</v>
      </c>
      <c r="Z192" s="324">
        <v>0</v>
      </c>
      <c r="AA192" s="324">
        <v>0</v>
      </c>
      <c r="AB192" s="324" t="s">
        <v>629</v>
      </c>
    </row>
    <row r="193" spans="17:28">
      <c r="Q193" s="323" t="s">
        <v>1087</v>
      </c>
      <c r="R193" s="322" t="s">
        <v>1088</v>
      </c>
      <c r="S193" s="323" t="s">
        <v>1089</v>
      </c>
      <c r="T193" s="324">
        <v>0</v>
      </c>
      <c r="U193" s="324">
        <v>91</v>
      </c>
      <c r="V193" s="324">
        <v>95</v>
      </c>
      <c r="W193" s="370">
        <v>0.3</v>
      </c>
      <c r="X193" s="371">
        <v>95</v>
      </c>
      <c r="Y193" s="370">
        <v>0.1</v>
      </c>
      <c r="Z193" s="324">
        <v>0</v>
      </c>
      <c r="AA193" s="324">
        <v>0</v>
      </c>
      <c r="AB193" s="324" t="s">
        <v>629</v>
      </c>
    </row>
    <row r="194" spans="17:28">
      <c r="Q194" s="199" t="s">
        <v>1090</v>
      </c>
      <c r="R194" s="327" t="s">
        <v>1091</v>
      </c>
      <c r="S194" s="199" t="s">
        <v>1092</v>
      </c>
      <c r="T194" s="332">
        <v>0</v>
      </c>
      <c r="U194" s="332">
        <v>92</v>
      </c>
      <c r="V194" s="332">
        <v>91</v>
      </c>
      <c r="W194" s="372">
        <v>0.3</v>
      </c>
      <c r="X194" s="334">
        <v>91</v>
      </c>
      <c r="Y194" s="373">
        <v>0.5</v>
      </c>
      <c r="Z194" s="332">
        <v>0</v>
      </c>
      <c r="AA194" s="332">
        <v>0</v>
      </c>
      <c r="AB194" s="332" t="s">
        <v>629</v>
      </c>
    </row>
    <row r="195" spans="17:28">
      <c r="Q195" s="199" t="s">
        <v>1093</v>
      </c>
      <c r="R195" s="327" t="s">
        <v>1094</v>
      </c>
      <c r="S195" s="199" t="s">
        <v>1095</v>
      </c>
      <c r="T195" s="332">
        <v>0</v>
      </c>
      <c r="U195" s="332">
        <v>93</v>
      </c>
      <c r="V195" s="332">
        <v>91</v>
      </c>
      <c r="W195" s="372">
        <v>0.3</v>
      </c>
      <c r="X195" s="334">
        <v>91</v>
      </c>
      <c r="Y195" s="373">
        <v>0.5</v>
      </c>
      <c r="Z195" s="332">
        <v>0</v>
      </c>
      <c r="AA195" s="332">
        <v>0</v>
      </c>
      <c r="AB195" s="332" t="s">
        <v>629</v>
      </c>
    </row>
    <row r="196" spans="17:28">
      <c r="Q196" s="199" t="s">
        <v>1096</v>
      </c>
      <c r="R196" s="327" t="s">
        <v>1097</v>
      </c>
      <c r="S196" s="199" t="s">
        <v>1098</v>
      </c>
      <c r="T196" s="332">
        <v>0</v>
      </c>
      <c r="U196" s="332">
        <v>94</v>
      </c>
      <c r="V196" s="332">
        <v>91</v>
      </c>
      <c r="W196" s="372">
        <v>0.3</v>
      </c>
      <c r="X196" s="334">
        <v>91</v>
      </c>
      <c r="Y196" s="373">
        <v>0.5</v>
      </c>
      <c r="Z196" s="332">
        <v>0</v>
      </c>
      <c r="AA196" s="332">
        <v>0</v>
      </c>
      <c r="AB196" s="332" t="s">
        <v>629</v>
      </c>
    </row>
    <row r="197" spans="17:28">
      <c r="Q197" s="323" t="s">
        <v>631</v>
      </c>
      <c r="R197" s="322" t="s">
        <v>1099</v>
      </c>
      <c r="S197" s="323" t="s">
        <v>1100</v>
      </c>
      <c r="T197" s="324">
        <v>0</v>
      </c>
      <c r="U197" s="324">
        <v>95</v>
      </c>
      <c r="V197" s="324">
        <v>0</v>
      </c>
      <c r="W197" s="374">
        <v>0</v>
      </c>
      <c r="X197" s="326">
        <v>0</v>
      </c>
      <c r="Y197" s="325">
        <v>0</v>
      </c>
      <c r="Z197" s="324">
        <v>0</v>
      </c>
      <c r="AA197" s="324">
        <v>0</v>
      </c>
      <c r="AB197" s="324" t="s">
        <v>629</v>
      </c>
    </row>
    <row r="198" spans="17:28">
      <c r="Q198" s="323" t="s">
        <v>1101</v>
      </c>
      <c r="R198" s="322" t="s">
        <v>1102</v>
      </c>
      <c r="S198" s="323" t="s">
        <v>576</v>
      </c>
      <c r="T198" s="324">
        <v>1</v>
      </c>
      <c r="U198" s="324">
        <v>96</v>
      </c>
      <c r="V198" s="324">
        <v>0</v>
      </c>
      <c r="W198" s="374">
        <v>0</v>
      </c>
      <c r="X198" s="326">
        <v>0</v>
      </c>
      <c r="Y198" s="325">
        <v>0</v>
      </c>
      <c r="Z198" s="324">
        <v>0</v>
      </c>
      <c r="AA198" s="324">
        <v>0</v>
      </c>
      <c r="AB198" s="324" t="s">
        <v>629</v>
      </c>
    </row>
    <row r="199" spans="17:28">
      <c r="Q199" s="199" t="s">
        <v>1103</v>
      </c>
      <c r="R199" s="327" t="s">
        <v>1104</v>
      </c>
      <c r="S199" s="199" t="s">
        <v>577</v>
      </c>
      <c r="T199" s="378">
        <v>3</v>
      </c>
      <c r="U199" s="332">
        <v>97</v>
      </c>
      <c r="V199" s="332">
        <v>96</v>
      </c>
      <c r="W199" s="375">
        <v>0.5</v>
      </c>
      <c r="X199" s="334">
        <v>96</v>
      </c>
      <c r="Y199" s="373">
        <v>0.5</v>
      </c>
      <c r="Z199" s="332">
        <v>0</v>
      </c>
      <c r="AA199" s="332">
        <v>0</v>
      </c>
      <c r="AB199" s="332" t="s">
        <v>629</v>
      </c>
    </row>
    <row r="200" spans="17:28">
      <c r="Q200" s="199" t="s">
        <v>1105</v>
      </c>
      <c r="R200" s="327" t="s">
        <v>1106</v>
      </c>
      <c r="S200" s="199" t="s">
        <v>578</v>
      </c>
      <c r="T200" s="332">
        <v>1</v>
      </c>
      <c r="U200" s="332">
        <v>98</v>
      </c>
      <c r="V200" s="332">
        <v>96</v>
      </c>
      <c r="W200" s="375">
        <v>0.5</v>
      </c>
      <c r="X200" s="334">
        <v>96</v>
      </c>
      <c r="Y200" s="373">
        <v>0.5</v>
      </c>
      <c r="Z200" s="332">
        <v>0</v>
      </c>
      <c r="AA200" s="332">
        <v>0</v>
      </c>
      <c r="AB200" s="332" t="s">
        <v>629</v>
      </c>
    </row>
    <row r="201" spans="17:28">
      <c r="Q201" s="199" t="s">
        <v>1107</v>
      </c>
      <c r="R201" s="327" t="s">
        <v>1108</v>
      </c>
      <c r="S201" s="199" t="s">
        <v>579</v>
      </c>
      <c r="T201" s="378">
        <v>3</v>
      </c>
      <c r="U201" s="332">
        <v>99</v>
      </c>
      <c r="V201" s="332">
        <v>96</v>
      </c>
      <c r="W201" s="375">
        <v>0.5</v>
      </c>
      <c r="X201" s="334">
        <v>96</v>
      </c>
      <c r="Y201" s="373">
        <v>0.5</v>
      </c>
      <c r="Z201" s="332">
        <v>0</v>
      </c>
      <c r="AA201" s="332">
        <v>0</v>
      </c>
      <c r="AB201" s="332" t="s">
        <v>629</v>
      </c>
    </row>
    <row r="202" spans="17:28">
      <c r="Q202" s="199" t="s">
        <v>1109</v>
      </c>
      <c r="R202" s="327" t="s">
        <v>1110</v>
      </c>
      <c r="S202" s="199" t="s">
        <v>580</v>
      </c>
      <c r="T202" s="378">
        <v>3</v>
      </c>
      <c r="U202" s="332">
        <v>100</v>
      </c>
      <c r="V202" s="332">
        <v>96</v>
      </c>
      <c r="W202" s="375">
        <v>0.5</v>
      </c>
      <c r="X202" s="334">
        <v>96</v>
      </c>
      <c r="Y202" s="373">
        <v>0.5</v>
      </c>
      <c r="Z202" s="332">
        <v>0</v>
      </c>
      <c r="AA202" s="332">
        <v>0</v>
      </c>
      <c r="AB202" s="332" t="s">
        <v>629</v>
      </c>
    </row>
    <row r="203" spans="17:28">
      <c r="Q203" s="323" t="s">
        <v>1111</v>
      </c>
      <c r="R203" s="322" t="s">
        <v>1112</v>
      </c>
      <c r="S203" s="323" t="s">
        <v>581</v>
      </c>
      <c r="T203" s="324">
        <v>0</v>
      </c>
      <c r="U203" s="324">
        <v>101</v>
      </c>
      <c r="V203" s="324">
        <v>0</v>
      </c>
      <c r="W203" s="374">
        <v>0</v>
      </c>
      <c r="X203" s="326">
        <v>0</v>
      </c>
      <c r="Y203" s="325">
        <v>0</v>
      </c>
      <c r="Z203" s="324">
        <v>0</v>
      </c>
      <c r="AA203" s="324">
        <v>0</v>
      </c>
      <c r="AB203" s="324" t="s">
        <v>629</v>
      </c>
    </row>
    <row r="204" spans="17:28">
      <c r="Q204" s="199" t="s">
        <v>1113</v>
      </c>
      <c r="R204" s="327" t="s">
        <v>1114</v>
      </c>
      <c r="S204" s="199" t="s">
        <v>578</v>
      </c>
      <c r="T204" s="332">
        <v>0</v>
      </c>
      <c r="U204" s="332">
        <v>102</v>
      </c>
      <c r="V204" s="332">
        <v>101</v>
      </c>
      <c r="W204" s="375">
        <v>0.5</v>
      </c>
      <c r="X204" s="334">
        <v>101</v>
      </c>
      <c r="Y204" s="373">
        <v>0.5</v>
      </c>
      <c r="Z204" s="332">
        <v>0</v>
      </c>
      <c r="AA204" s="332">
        <v>0</v>
      </c>
      <c r="AB204" s="332" t="s">
        <v>629</v>
      </c>
    </row>
    <row r="205" spans="17:28">
      <c r="Q205" s="199" t="s">
        <v>1115</v>
      </c>
      <c r="R205" s="327" t="s">
        <v>1116</v>
      </c>
      <c r="S205" s="199" t="s">
        <v>579</v>
      </c>
      <c r="T205" s="378">
        <v>3</v>
      </c>
      <c r="U205" s="332">
        <v>103</v>
      </c>
      <c r="V205" s="332">
        <v>101</v>
      </c>
      <c r="W205" s="375">
        <v>0.5</v>
      </c>
      <c r="X205" s="334">
        <v>101</v>
      </c>
      <c r="Y205" s="373">
        <v>0.5</v>
      </c>
      <c r="Z205" s="332">
        <v>0</v>
      </c>
      <c r="AA205" s="332">
        <v>0</v>
      </c>
      <c r="AB205" s="332" t="s">
        <v>629</v>
      </c>
    </row>
    <row r="206" spans="17:28">
      <c r="Q206" s="199" t="s">
        <v>1117</v>
      </c>
      <c r="R206" s="199" t="s">
        <v>1118</v>
      </c>
      <c r="S206" s="199" t="s">
        <v>580</v>
      </c>
      <c r="T206" s="378">
        <v>3</v>
      </c>
      <c r="U206" s="332">
        <v>104</v>
      </c>
      <c r="V206" s="332">
        <v>101</v>
      </c>
      <c r="W206" s="375">
        <v>0.5</v>
      </c>
      <c r="X206" s="334">
        <v>101</v>
      </c>
      <c r="Y206" s="373">
        <v>0.5</v>
      </c>
      <c r="Z206" s="332">
        <v>0</v>
      </c>
      <c r="AA206" s="332">
        <v>0</v>
      </c>
      <c r="AB206" s="332" t="s">
        <v>629</v>
      </c>
    </row>
    <row r="207" spans="17:28">
      <c r="Q207" s="199" t="s">
        <v>1119</v>
      </c>
      <c r="R207" s="199" t="s">
        <v>1120</v>
      </c>
      <c r="S207" s="199" t="s">
        <v>585</v>
      </c>
      <c r="T207" s="332">
        <v>1</v>
      </c>
      <c r="U207" s="332">
        <v>105</v>
      </c>
      <c r="V207" s="332">
        <v>0</v>
      </c>
      <c r="W207" s="376">
        <v>0</v>
      </c>
      <c r="X207" s="377">
        <v>0</v>
      </c>
      <c r="Y207" s="376">
        <v>0</v>
      </c>
      <c r="Z207" s="332">
        <v>0</v>
      </c>
      <c r="AA207" s="332">
        <v>0</v>
      </c>
      <c r="AB207" s="332" t="s">
        <v>629</v>
      </c>
    </row>
    <row r="208" spans="17:28">
      <c r="Q208" s="323" t="s">
        <v>1121</v>
      </c>
      <c r="R208" s="323" t="s">
        <v>1122</v>
      </c>
      <c r="S208" s="323" t="s">
        <v>1123</v>
      </c>
      <c r="T208" s="324">
        <v>0</v>
      </c>
      <c r="U208" s="324">
        <v>106</v>
      </c>
      <c r="V208" s="324">
        <v>0</v>
      </c>
      <c r="W208" s="325">
        <v>0</v>
      </c>
      <c r="X208" s="326">
        <v>0</v>
      </c>
      <c r="Y208" s="325">
        <v>0</v>
      </c>
      <c r="Z208" s="324">
        <v>0</v>
      </c>
      <c r="AA208" s="324">
        <v>0</v>
      </c>
      <c r="AB208" s="324" t="s">
        <v>629</v>
      </c>
    </row>
    <row r="209" spans="17:28">
      <c r="Q209" s="199" t="s">
        <v>1124</v>
      </c>
      <c r="R209" s="199" t="s">
        <v>1125</v>
      </c>
      <c r="S209" s="199" t="s">
        <v>587</v>
      </c>
      <c r="T209" s="332">
        <v>2</v>
      </c>
      <c r="U209" s="332">
        <v>112</v>
      </c>
      <c r="V209" s="332">
        <v>0</v>
      </c>
      <c r="W209" s="376">
        <v>0</v>
      </c>
      <c r="X209" s="377">
        <v>0</v>
      </c>
      <c r="Y209" s="376">
        <v>0</v>
      </c>
      <c r="Z209" s="332">
        <v>0</v>
      </c>
      <c r="AA209" s="332">
        <v>0</v>
      </c>
      <c r="AB209" s="332" t="s">
        <v>629</v>
      </c>
    </row>
  </sheetData>
  <sortState xmlns:xlrd2="http://schemas.microsoft.com/office/spreadsheetml/2017/richdata2" ref="B29:C65">
    <sortCondition ref="B22:B58"/>
  </sortState>
  <mergeCells count="54">
    <mergeCell ref="AG2:AL2"/>
    <mergeCell ref="K69:N69"/>
    <mergeCell ref="K66:N66"/>
    <mergeCell ref="K67:N67"/>
    <mergeCell ref="K68:N68"/>
    <mergeCell ref="G43:N43"/>
    <mergeCell ref="E36:G36"/>
    <mergeCell ref="K52:N52"/>
    <mergeCell ref="K53:N53"/>
    <mergeCell ref="K44:N44"/>
    <mergeCell ref="K45:N45"/>
    <mergeCell ref="K46:N46"/>
    <mergeCell ref="K47:N47"/>
    <mergeCell ref="K48:N48"/>
    <mergeCell ref="E34:G34"/>
    <mergeCell ref="E35:G35"/>
    <mergeCell ref="B3:C3"/>
    <mergeCell ref="E30:H30"/>
    <mergeCell ref="E31:G31"/>
    <mergeCell ref="E32:G32"/>
    <mergeCell ref="E33:G33"/>
    <mergeCell ref="E25:K25"/>
    <mergeCell ref="J30:M30"/>
    <mergeCell ref="AC2:AE2"/>
    <mergeCell ref="W2:Y2"/>
    <mergeCell ref="Z2:AA2"/>
    <mergeCell ref="Q2:V2"/>
    <mergeCell ref="E2:P2"/>
    <mergeCell ref="K56:N56"/>
    <mergeCell ref="K57:N57"/>
    <mergeCell ref="K58:N58"/>
    <mergeCell ref="K64:N64"/>
    <mergeCell ref="K65:N65"/>
    <mergeCell ref="K59:N59"/>
    <mergeCell ref="K60:N60"/>
    <mergeCell ref="K61:N61"/>
    <mergeCell ref="K62:N62"/>
    <mergeCell ref="K63:N63"/>
    <mergeCell ref="K49:N49"/>
    <mergeCell ref="K50:N50"/>
    <mergeCell ref="K51:N51"/>
    <mergeCell ref="K54:N54"/>
    <mergeCell ref="K55:N55"/>
    <mergeCell ref="K70:N70"/>
    <mergeCell ref="K71:N71"/>
    <mergeCell ref="K72:N72"/>
    <mergeCell ref="K73:N73"/>
    <mergeCell ref="K74:N74"/>
    <mergeCell ref="K80:N80"/>
    <mergeCell ref="K79:N79"/>
    <mergeCell ref="K75:N75"/>
    <mergeCell ref="K76:N76"/>
    <mergeCell ref="K77:N77"/>
    <mergeCell ref="K78:N78"/>
  </mergeCells>
  <dataValidations count="3">
    <dataValidation type="list" allowBlank="1" showInputMessage="1" showErrorMessage="1" sqref="C21" xr:uid="{00000000-0002-0000-0A00-000000000000}">
      <formula1>"Classical Flags,SDMX Flags"</formula1>
    </dataValidation>
    <dataValidation type="list" allowBlank="1" showInputMessage="1" showErrorMessage="1" sqref="C20 AJ4:AL10" xr:uid="{00000000-0002-0000-0A00-000001000000}">
      <formula1>"Yes,No"</formula1>
    </dataValidation>
    <dataValidation type="list" allowBlank="1" showInputMessage="1" showErrorMessage="1" sqref="O4:O22" xr:uid="{00000000-0002-0000-0A00-000002000000}">
      <formula1>$E$39:$E$46</formula1>
    </dataValidation>
  </dataValidation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ODEL1">
    <tabColor indexed="42"/>
  </sheetPr>
  <dimension ref="A1:CT144"/>
  <sheetViews>
    <sheetView showGridLines="0" showOutlineSymbols="0" zoomScale="80" zoomScaleNormal="80" zoomScaleSheetLayoutView="100" workbookViewId="0">
      <pane xSplit="5" ySplit="4" topLeftCell="V5" activePane="bottomRight" state="frozen"/>
      <selection pane="topRight" activeCell="AN63" sqref="AN63"/>
      <selection pane="bottomLeft" activeCell="AN63" sqref="AN63"/>
      <selection pane="bottomRight" activeCell="BD5" sqref="BD5"/>
    </sheetView>
  </sheetViews>
  <sheetFormatPr defaultColWidth="9.28515625" defaultRowHeight="12.75" outlineLevelCol="1"/>
  <cols>
    <col min="1" max="1" width="11.7109375" hidden="1" customWidth="1" outlineLevel="1" collapsed="1"/>
    <col min="2" max="2" width="10.28515625" customWidth="1" collapsed="1"/>
    <col min="3" max="3" width="2.7109375" customWidth="1"/>
    <col min="4" max="4" width="10" customWidth="1"/>
    <col min="5" max="5" width="56.7109375" customWidth="1"/>
    <col min="6" max="6" width="15.28515625" customWidth="1"/>
    <col min="7" max="7" width="2.28515625" customWidth="1"/>
    <col min="8" max="8" width="14.7109375" customWidth="1"/>
    <col min="9" max="9" width="2.28515625" customWidth="1"/>
    <col min="10" max="10" width="14.7109375" customWidth="1"/>
    <col min="11" max="11" width="2.28515625" customWidth="1"/>
    <col min="12" max="12" width="14.7109375" customWidth="1"/>
    <col min="13" max="13" width="2.28515625" customWidth="1"/>
    <col min="14" max="14" width="14.7109375" customWidth="1"/>
    <col min="15" max="15" width="2.28515625" customWidth="1"/>
    <col min="16" max="16" width="14.7109375" customWidth="1"/>
    <col min="17" max="17" width="2.28515625" customWidth="1"/>
    <col min="18" max="18" width="14.7109375" customWidth="1"/>
    <col min="19" max="19" width="2.28515625" customWidth="1"/>
    <col min="20" max="20" width="14.7109375" customWidth="1"/>
    <col min="21" max="21" width="2.28515625" customWidth="1"/>
    <col min="22" max="22" width="14.7109375" customWidth="1"/>
    <col min="23" max="23" width="2.28515625" customWidth="1"/>
    <col min="24" max="24" width="14.7109375" customWidth="1"/>
    <col min="25" max="25" width="2.28515625" customWidth="1"/>
    <col min="26" max="26" width="14.7109375" customWidth="1"/>
    <col min="27" max="27" width="2.28515625" customWidth="1"/>
    <col min="28" max="28" width="14.7109375" customWidth="1"/>
    <col min="29" max="29" width="2.28515625" customWidth="1"/>
    <col min="30" max="30" width="14.7109375" customWidth="1"/>
    <col min="31" max="31" width="2.28515625" customWidth="1"/>
    <col min="32" max="32" width="14.7109375" customWidth="1"/>
    <col min="33" max="33" width="2.28515625" customWidth="1"/>
    <col min="34" max="34" width="14.7109375" customWidth="1"/>
    <col min="35" max="35" width="2.28515625" customWidth="1"/>
    <col min="36" max="36" width="14.7109375" customWidth="1"/>
    <col min="37" max="37" width="2.28515625" customWidth="1"/>
    <col min="38" max="38" width="14.7109375" customWidth="1"/>
    <col min="39" max="39" width="2.28515625" customWidth="1"/>
    <col min="40" max="40" width="14.7109375" customWidth="1"/>
    <col min="41" max="41" width="2.28515625" customWidth="1"/>
    <col min="42" max="42" width="14.7109375" customWidth="1"/>
    <col min="43" max="43" width="2.28515625" customWidth="1"/>
    <col min="44" max="44" width="14.7109375" customWidth="1"/>
    <col min="45" max="45" width="2.28515625" customWidth="1"/>
    <col min="46" max="46" width="14.7109375" customWidth="1"/>
    <col min="47" max="47" width="2.28515625" customWidth="1"/>
    <col min="48" max="48" width="14.7109375" customWidth="1"/>
    <col min="49" max="49" width="2.28515625" customWidth="1"/>
    <col min="50" max="50" width="14.7109375" customWidth="1"/>
    <col min="51" max="51" width="2.28515625" customWidth="1"/>
    <col min="52" max="52" width="14.7109375" customWidth="1"/>
    <col min="53" max="53" width="2.28515625" customWidth="1"/>
    <col min="54" max="54" width="14.7109375" customWidth="1"/>
    <col min="55" max="55" width="2.28515625" customWidth="1"/>
    <col min="56" max="56" width="14.7109375" customWidth="1"/>
    <col min="57" max="57" width="2.28515625" customWidth="1"/>
    <col min="58" max="58" width="14.7109375" customWidth="1"/>
    <col min="59" max="59" width="2.28515625" customWidth="1"/>
    <col min="60" max="60" width="14.7109375" customWidth="1"/>
    <col min="61" max="61" width="2.28515625" customWidth="1"/>
    <col min="88" max="90" width="4.7109375" customWidth="1"/>
    <col min="91" max="91" width="6.7109375" customWidth="1"/>
    <col min="92" max="92" width="13.42578125" customWidth="1"/>
    <col min="93" max="98" width="4.7109375" customWidth="1"/>
  </cols>
  <sheetData>
    <row r="1" spans="1:98" ht="30" customHeight="1" thickBot="1">
      <c r="A1" t="s">
        <v>562</v>
      </c>
      <c r="B1" s="528" t="s">
        <v>563</v>
      </c>
      <c r="C1" s="529"/>
      <c r="D1" s="204" t="str">
        <f>intro!F7</f>
        <v>NO</v>
      </c>
      <c r="E1" s="15"/>
      <c r="F1" s="521"/>
      <c r="G1" s="555"/>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1"/>
      <c r="AI1" s="521"/>
      <c r="AJ1" s="521"/>
      <c r="AK1" s="521"/>
      <c r="CJ1" s="554" t="s">
        <v>214</v>
      </c>
      <c r="CK1" s="554" t="s">
        <v>218</v>
      </c>
      <c r="CL1" s="554" t="s">
        <v>222</v>
      </c>
      <c r="CM1" s="554" t="s">
        <v>225</v>
      </c>
      <c r="CN1" s="554" t="s">
        <v>1126</v>
      </c>
      <c r="CO1" s="554" t="s">
        <v>234</v>
      </c>
      <c r="CP1" s="554" t="s">
        <v>236</v>
      </c>
      <c r="CQ1" s="554" t="s">
        <v>238</v>
      </c>
      <c r="CR1" s="554" t="s">
        <v>259</v>
      </c>
      <c r="CS1" s="554" t="s">
        <v>240</v>
      </c>
      <c r="CT1" s="554" t="s">
        <v>242</v>
      </c>
    </row>
    <row r="2" spans="1:98" ht="30" customHeight="1" thickBot="1">
      <c r="B2" s="522" t="s">
        <v>564</v>
      </c>
      <c r="C2" s="523"/>
      <c r="D2" s="7" t="s">
        <v>195</v>
      </c>
      <c r="E2" s="297" t="s">
        <v>626</v>
      </c>
      <c r="F2" s="521"/>
      <c r="G2" s="521"/>
      <c r="H2" s="521"/>
      <c r="I2" s="521"/>
      <c r="J2" s="521"/>
      <c r="K2" s="521"/>
      <c r="L2" s="521"/>
      <c r="M2" s="521"/>
      <c r="N2" s="521"/>
      <c r="O2" s="521"/>
      <c r="P2" s="521"/>
      <c r="Q2" s="521"/>
      <c r="R2" s="521"/>
      <c r="S2" s="521"/>
      <c r="T2" s="521"/>
      <c r="U2" s="521"/>
      <c r="V2" s="521"/>
      <c r="W2" s="521"/>
      <c r="X2" s="521"/>
      <c r="Y2" s="521"/>
      <c r="Z2" s="521"/>
      <c r="AA2" s="521"/>
      <c r="AB2" s="521"/>
      <c r="AC2" s="521"/>
      <c r="AD2" s="521"/>
      <c r="AE2" s="521"/>
      <c r="AF2" s="521"/>
      <c r="AG2" s="521"/>
      <c r="AH2" s="521"/>
      <c r="AI2" s="521"/>
      <c r="AJ2" s="521"/>
      <c r="AK2" s="521"/>
      <c r="CI2" s="36"/>
      <c r="CJ2" s="554"/>
      <c r="CK2" s="554"/>
      <c r="CL2" s="554"/>
      <c r="CM2" s="554"/>
      <c r="CN2" s="554"/>
      <c r="CO2" s="554"/>
      <c r="CP2" s="554"/>
      <c r="CQ2" s="554"/>
      <c r="CR2" s="554"/>
      <c r="CS2" s="554"/>
      <c r="CT2" s="554"/>
    </row>
    <row r="3" spans="1:98" ht="30" customHeight="1" thickBot="1">
      <c r="A3" s="21" t="s">
        <v>625</v>
      </c>
      <c r="B3" s="524" t="s">
        <v>567</v>
      </c>
      <c r="C3" s="525" t="s">
        <v>568</v>
      </c>
      <c r="D3" s="526" t="s">
        <v>1127</v>
      </c>
      <c r="E3" s="527"/>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1"/>
      <c r="AI3" s="521"/>
      <c r="AJ3" s="521"/>
      <c r="AK3" s="521"/>
      <c r="AV3" s="511"/>
      <c r="AW3" s="511"/>
      <c r="CJ3" s="554"/>
      <c r="CK3" s="554"/>
      <c r="CL3" s="554"/>
      <c r="CM3" s="554"/>
      <c r="CN3" s="554"/>
      <c r="CO3" s="554"/>
      <c r="CP3" s="554"/>
      <c r="CQ3" s="554"/>
      <c r="CR3" s="554"/>
      <c r="CS3" s="554"/>
      <c r="CT3" s="554"/>
    </row>
    <row r="4" spans="1:98" ht="30" customHeight="1" thickBot="1">
      <c r="A4" s="22"/>
      <c r="B4" s="512" t="s">
        <v>570</v>
      </c>
      <c r="C4" s="513"/>
      <c r="D4" s="513"/>
      <c r="E4" s="514"/>
      <c r="F4" s="190">
        <v>1995</v>
      </c>
      <c r="G4" s="191"/>
      <c r="H4" s="192">
        <v>1996</v>
      </c>
      <c r="I4" s="191"/>
      <c r="J4" s="192">
        <v>1997</v>
      </c>
      <c r="K4" s="191"/>
      <c r="L4" s="192">
        <v>1998</v>
      </c>
      <c r="M4" s="191"/>
      <c r="N4" s="192">
        <v>1999</v>
      </c>
      <c r="O4" s="191"/>
      <c r="P4" s="192">
        <v>2000</v>
      </c>
      <c r="Q4" s="191"/>
      <c r="R4" s="192">
        <v>2001</v>
      </c>
      <c r="S4" s="191"/>
      <c r="T4" s="192">
        <v>2002</v>
      </c>
      <c r="U4" s="191"/>
      <c r="V4" s="192">
        <v>2003</v>
      </c>
      <c r="W4" s="191"/>
      <c r="X4" s="192">
        <v>2004</v>
      </c>
      <c r="Y4" s="191"/>
      <c r="Z4" s="192">
        <v>2005</v>
      </c>
      <c r="AA4" s="191"/>
      <c r="AB4" s="192">
        <v>2006</v>
      </c>
      <c r="AC4" s="191"/>
      <c r="AD4" s="192">
        <v>2007</v>
      </c>
      <c r="AE4" s="191"/>
      <c r="AF4" s="192">
        <v>2008</v>
      </c>
      <c r="AG4" s="191"/>
      <c r="AH4" s="192">
        <v>2009</v>
      </c>
      <c r="AI4" s="191"/>
      <c r="AJ4" s="192">
        <v>2010</v>
      </c>
      <c r="AK4" s="191"/>
      <c r="AL4" s="192">
        <v>2011</v>
      </c>
      <c r="AM4" s="191"/>
      <c r="AN4" s="192">
        <v>2012</v>
      </c>
      <c r="AO4" s="191"/>
      <c r="AP4" s="192">
        <v>2013</v>
      </c>
      <c r="AQ4" s="191"/>
      <c r="AR4" s="192">
        <v>2014</v>
      </c>
      <c r="AS4" s="191"/>
      <c r="AT4" s="192">
        <v>2015</v>
      </c>
      <c r="AU4" s="191"/>
      <c r="AV4" s="192">
        <v>2016</v>
      </c>
      <c r="AW4" s="191"/>
      <c r="AX4" s="192">
        <v>2017</v>
      </c>
      <c r="AY4" s="191"/>
      <c r="AZ4" s="192">
        <v>2018</v>
      </c>
      <c r="BA4" s="191"/>
      <c r="BB4" s="193">
        <v>2019</v>
      </c>
      <c r="BC4" s="191"/>
      <c r="BD4" s="193">
        <v>2020</v>
      </c>
      <c r="BE4" s="191"/>
      <c r="BF4" s="193">
        <v>2021</v>
      </c>
      <c r="BG4" s="191"/>
      <c r="BH4" s="67">
        <v>2022</v>
      </c>
      <c r="BI4" s="301"/>
      <c r="CJ4" s="149"/>
      <c r="CK4" s="149"/>
      <c r="CL4" s="149"/>
      <c r="CM4" s="149"/>
      <c r="CN4" s="149"/>
      <c r="CO4" s="149"/>
      <c r="CP4" s="149"/>
      <c r="CQ4" s="149"/>
      <c r="CR4" s="149"/>
      <c r="CS4" s="149"/>
      <c r="CT4" s="149"/>
    </row>
    <row r="5" spans="1:98" s="9" customFormat="1" ht="20.100000000000001" customHeight="1">
      <c r="A5" s="23"/>
      <c r="B5" s="515" t="str">
        <f>Parameters!Q4</f>
        <v>A_U   01-99</v>
      </c>
      <c r="C5" s="516"/>
      <c r="D5" s="517" t="str">
        <f>Parameters!S4</f>
        <v>Total industries</v>
      </c>
      <c r="E5" s="518"/>
      <c r="F5" s="220"/>
      <c r="G5" s="181"/>
      <c r="H5" s="221"/>
      <c r="I5" s="181"/>
      <c r="J5" s="221"/>
      <c r="K5" s="181"/>
      <c r="L5" s="221"/>
      <c r="M5" s="181"/>
      <c r="N5" s="221"/>
      <c r="O5" s="181"/>
      <c r="P5" s="221"/>
      <c r="Q5" s="181"/>
      <c r="R5" s="221"/>
      <c r="S5" s="181"/>
      <c r="T5" s="221"/>
      <c r="U5" s="181"/>
      <c r="V5" s="221"/>
      <c r="W5" s="181"/>
      <c r="X5" s="221"/>
      <c r="Y5" s="181"/>
      <c r="Z5" s="221"/>
      <c r="AA5" s="181"/>
      <c r="AB5" s="221"/>
      <c r="AC5" s="181"/>
      <c r="AD5" s="221"/>
      <c r="AE5" s="181"/>
      <c r="AF5" s="163">
        <v>48974.279806500002</v>
      </c>
      <c r="AG5" s="181"/>
      <c r="AH5" s="163">
        <v>45976.176979199998</v>
      </c>
      <c r="AI5" s="181"/>
      <c r="AJ5" s="163">
        <v>49292.661252999998</v>
      </c>
      <c r="AK5" s="181"/>
      <c r="AL5" s="163">
        <v>54233.618912500002</v>
      </c>
      <c r="AM5" s="181"/>
      <c r="AN5" s="163">
        <v>53768.023135800002</v>
      </c>
      <c r="AO5" s="181"/>
      <c r="AP5" s="163">
        <v>54060.377826700002</v>
      </c>
      <c r="AQ5" s="181"/>
      <c r="AR5" s="163">
        <v>53575.3912796</v>
      </c>
      <c r="AS5" s="181"/>
      <c r="AT5" s="163">
        <v>60608.067152700001</v>
      </c>
      <c r="AU5" s="181"/>
      <c r="AV5" s="163">
        <v>51990.0820465</v>
      </c>
      <c r="AW5" s="181"/>
      <c r="AX5" s="163">
        <v>54543.981671200003</v>
      </c>
      <c r="AY5" s="181"/>
      <c r="AZ5" s="163">
        <v>57633.698659499998</v>
      </c>
      <c r="BA5" s="181"/>
      <c r="BB5" s="163">
        <v>58002.820021699998</v>
      </c>
      <c r="BC5" s="181"/>
      <c r="BD5" s="163">
        <v>52402.1662621</v>
      </c>
      <c r="BE5" s="181"/>
      <c r="BF5" s="163">
        <v>51953.815624900002</v>
      </c>
      <c r="BG5" s="181"/>
      <c r="BH5" s="221"/>
      <c r="BI5" s="183"/>
      <c r="CJ5" s="150" t="s">
        <v>271</v>
      </c>
      <c r="CK5" s="150" t="s">
        <v>219</v>
      </c>
      <c r="CL5" s="150" t="s">
        <v>1128</v>
      </c>
      <c r="CM5" s="150" t="s">
        <v>1129</v>
      </c>
      <c r="CN5" s="150" t="s">
        <v>1130</v>
      </c>
      <c r="CO5" s="150" t="s">
        <v>195</v>
      </c>
      <c r="CP5" s="150" t="s">
        <v>1131</v>
      </c>
      <c r="CQ5" s="150" t="s">
        <v>1132</v>
      </c>
      <c r="CR5" s="150">
        <v>3</v>
      </c>
      <c r="CS5" s="150" t="s">
        <v>1133</v>
      </c>
      <c r="CT5" s="150" t="s">
        <v>1134</v>
      </c>
    </row>
    <row r="6" spans="1:98" s="9" customFormat="1" ht="20.100000000000001" customHeight="1">
      <c r="A6" s="24"/>
      <c r="B6" s="83" t="str">
        <f>Parameters!Q5</f>
        <v>A</v>
      </c>
      <c r="C6" s="305"/>
      <c r="D6" s="519" t="str">
        <f>Parameters!S5</f>
        <v>Agriculture, forestry and fishing</v>
      </c>
      <c r="E6" s="520"/>
      <c r="F6" s="222"/>
      <c r="G6" s="379"/>
      <c r="H6" s="223"/>
      <c r="I6" s="379"/>
      <c r="J6" s="223"/>
      <c r="K6" s="379"/>
      <c r="L6" s="223"/>
      <c r="M6" s="379"/>
      <c r="N6" s="223"/>
      <c r="O6" s="379"/>
      <c r="P6" s="223"/>
      <c r="Q6" s="379"/>
      <c r="R6" s="223"/>
      <c r="S6" s="379"/>
      <c r="T6" s="223"/>
      <c r="U6" s="379"/>
      <c r="V6" s="223"/>
      <c r="W6" s="379"/>
      <c r="X6" s="223"/>
      <c r="Y6" s="379"/>
      <c r="Z6" s="223"/>
      <c r="AA6" s="379"/>
      <c r="AB6" s="223"/>
      <c r="AC6" s="379"/>
      <c r="AD6" s="223"/>
      <c r="AE6" s="379"/>
      <c r="AF6" s="164">
        <v>1289.3090188000001</v>
      </c>
      <c r="AG6" s="379"/>
      <c r="AH6" s="164">
        <v>1356.3819249000001</v>
      </c>
      <c r="AI6" s="379"/>
      <c r="AJ6" s="164">
        <v>1287.9098621999999</v>
      </c>
      <c r="AK6" s="379"/>
      <c r="AL6" s="164">
        <v>1177.329608</v>
      </c>
      <c r="AM6" s="379"/>
      <c r="AN6" s="164">
        <v>1190.2301178</v>
      </c>
      <c r="AO6" s="379"/>
      <c r="AP6" s="164">
        <v>1142.4982376999999</v>
      </c>
      <c r="AQ6" s="379"/>
      <c r="AR6" s="164">
        <v>1156.2738755</v>
      </c>
      <c r="AS6" s="379"/>
      <c r="AT6" s="164">
        <v>1157.7671330000001</v>
      </c>
      <c r="AU6" s="379"/>
      <c r="AV6" s="164">
        <v>1222.9942028999999</v>
      </c>
      <c r="AW6" s="379"/>
      <c r="AX6" s="164">
        <v>1301.9336290000001</v>
      </c>
      <c r="AY6" s="379"/>
      <c r="AZ6" s="164">
        <v>1369.2410479</v>
      </c>
      <c r="BA6" s="379"/>
      <c r="BB6" s="164">
        <v>1349.1039737999999</v>
      </c>
      <c r="BC6" s="379"/>
      <c r="BD6" s="164">
        <v>1465.8280477000001</v>
      </c>
      <c r="BE6" s="379"/>
      <c r="BF6" s="164">
        <v>1497.9397590999999</v>
      </c>
      <c r="BG6" s="379"/>
      <c r="BH6" s="223"/>
      <c r="BI6" s="184"/>
      <c r="CJ6" s="150"/>
      <c r="CK6" s="150"/>
      <c r="CL6" s="150"/>
      <c r="CM6" s="151" t="s">
        <v>206</v>
      </c>
      <c r="CN6" s="150" t="s">
        <v>1130</v>
      </c>
      <c r="CO6" s="150"/>
      <c r="CP6" s="150"/>
      <c r="CQ6" s="150"/>
      <c r="CR6" s="150"/>
      <c r="CS6" s="150"/>
      <c r="CT6" s="150"/>
    </row>
    <row r="7" spans="1:98" s="10" customFormat="1" ht="12.75" customHeight="1">
      <c r="A7" s="307"/>
      <c r="B7" s="308" t="str">
        <f>Parameters!Q6</f>
        <v>A01</v>
      </c>
      <c r="C7" s="309"/>
      <c r="D7" s="495" t="str">
        <f>Parameters!S6</f>
        <v>Crop and animal production, hunting and related service activities</v>
      </c>
      <c r="E7" s="510"/>
      <c r="F7" s="224"/>
      <c r="G7" s="379"/>
      <c r="H7" s="225"/>
      <c r="I7" s="379"/>
      <c r="J7" s="225"/>
      <c r="K7" s="379"/>
      <c r="L7" s="225"/>
      <c r="M7" s="379"/>
      <c r="N7" s="225"/>
      <c r="O7" s="379"/>
      <c r="P7" s="225"/>
      <c r="Q7" s="379"/>
      <c r="R7" s="225"/>
      <c r="S7" s="379"/>
      <c r="T7" s="225"/>
      <c r="U7" s="379"/>
      <c r="V7" s="225"/>
      <c r="W7" s="379"/>
      <c r="X7" s="225"/>
      <c r="Y7" s="379"/>
      <c r="Z7" s="225"/>
      <c r="AA7" s="379"/>
      <c r="AB7" s="225"/>
      <c r="AC7" s="379"/>
      <c r="AD7" s="225"/>
      <c r="AE7" s="379"/>
      <c r="AF7" s="165">
        <v>491.48390139999998</v>
      </c>
      <c r="AG7" s="379"/>
      <c r="AH7" s="165">
        <v>484.8234799</v>
      </c>
      <c r="AI7" s="379"/>
      <c r="AJ7" s="165">
        <v>525.91955459999997</v>
      </c>
      <c r="AK7" s="379"/>
      <c r="AL7" s="165">
        <v>486.80667019999999</v>
      </c>
      <c r="AM7" s="379"/>
      <c r="AN7" s="165">
        <v>470.87931159999999</v>
      </c>
      <c r="AO7" s="379"/>
      <c r="AP7" s="165">
        <v>489.92128639999999</v>
      </c>
      <c r="AQ7" s="379"/>
      <c r="AR7" s="165">
        <v>483.35796599999998</v>
      </c>
      <c r="AS7" s="379"/>
      <c r="AT7" s="165">
        <v>467.53686720000002</v>
      </c>
      <c r="AU7" s="379"/>
      <c r="AV7" s="165">
        <v>497.55952680000001</v>
      </c>
      <c r="AW7" s="379"/>
      <c r="AX7" s="165">
        <v>495.93371730000001</v>
      </c>
      <c r="AY7" s="379"/>
      <c r="AZ7" s="165">
        <v>498.05432630000001</v>
      </c>
      <c r="BA7" s="379"/>
      <c r="BB7" s="165">
        <v>498.67957589999997</v>
      </c>
      <c r="BC7" s="379"/>
      <c r="BD7" s="165">
        <v>519.7582036</v>
      </c>
      <c r="BE7" s="379"/>
      <c r="BF7" s="165">
        <v>516.90271529999995</v>
      </c>
      <c r="BG7" s="379"/>
      <c r="BH7" s="225"/>
      <c r="BI7" s="184"/>
      <c r="CJ7" s="150"/>
      <c r="CK7" s="150"/>
      <c r="CL7" s="150"/>
      <c r="CM7" s="151" t="s">
        <v>650</v>
      </c>
      <c r="CN7" s="150" t="s">
        <v>1130</v>
      </c>
      <c r="CO7" s="150"/>
      <c r="CP7" s="150"/>
      <c r="CQ7" s="150"/>
      <c r="CR7" s="150"/>
      <c r="CS7" s="150"/>
      <c r="CT7" s="150"/>
    </row>
    <row r="8" spans="1:98" s="11" customFormat="1" ht="12.75" customHeight="1">
      <c r="A8" s="307"/>
      <c r="B8" s="308" t="str">
        <f>Parameters!Q7</f>
        <v>A02</v>
      </c>
      <c r="C8" s="309"/>
      <c r="D8" s="495" t="str">
        <f>Parameters!S7</f>
        <v>Forestry and logging</v>
      </c>
      <c r="E8" s="530"/>
      <c r="F8" s="224"/>
      <c r="G8" s="379"/>
      <c r="H8" s="225"/>
      <c r="I8" s="379"/>
      <c r="J8" s="225"/>
      <c r="K8" s="379"/>
      <c r="L8" s="225"/>
      <c r="M8" s="379"/>
      <c r="N8" s="225"/>
      <c r="O8" s="379"/>
      <c r="P8" s="225"/>
      <c r="Q8" s="379"/>
      <c r="R8" s="225"/>
      <c r="S8" s="379"/>
      <c r="T8" s="225"/>
      <c r="U8" s="379"/>
      <c r="V8" s="225"/>
      <c r="W8" s="379"/>
      <c r="X8" s="225"/>
      <c r="Y8" s="379"/>
      <c r="Z8" s="225"/>
      <c r="AA8" s="379"/>
      <c r="AB8" s="225"/>
      <c r="AC8" s="379"/>
      <c r="AD8" s="225"/>
      <c r="AE8" s="379"/>
      <c r="AF8" s="165">
        <v>35.456019099999999</v>
      </c>
      <c r="AG8" s="379"/>
      <c r="AH8" s="165">
        <v>35.585414299999997</v>
      </c>
      <c r="AI8" s="379"/>
      <c r="AJ8" s="165">
        <v>62.235098100000002</v>
      </c>
      <c r="AK8" s="379"/>
      <c r="AL8" s="165">
        <v>60.0748721</v>
      </c>
      <c r="AM8" s="379"/>
      <c r="AN8" s="165">
        <v>72.408472200000006</v>
      </c>
      <c r="AO8" s="379"/>
      <c r="AP8" s="165">
        <v>67.775685999999993</v>
      </c>
      <c r="AQ8" s="379"/>
      <c r="AR8" s="165">
        <v>48.862713900000003</v>
      </c>
      <c r="AS8" s="379"/>
      <c r="AT8" s="165">
        <v>46.232160499999999</v>
      </c>
      <c r="AU8" s="379"/>
      <c r="AV8" s="165">
        <v>47.859395499999998</v>
      </c>
      <c r="AW8" s="379"/>
      <c r="AX8" s="165">
        <v>46.951813100000003</v>
      </c>
      <c r="AY8" s="379"/>
      <c r="AZ8" s="165">
        <v>46.560404499999997</v>
      </c>
      <c r="BA8" s="379"/>
      <c r="BB8" s="165">
        <v>40.433677799999998</v>
      </c>
      <c r="BC8" s="379"/>
      <c r="BD8" s="165">
        <v>43.711074799999999</v>
      </c>
      <c r="BE8" s="379"/>
      <c r="BF8" s="165">
        <v>61.557631899999997</v>
      </c>
      <c r="BG8" s="379"/>
      <c r="BH8" s="225"/>
      <c r="BI8" s="184"/>
      <c r="CJ8" s="150"/>
      <c r="CK8" s="150"/>
      <c r="CL8" s="150"/>
      <c r="CM8" s="151" t="s">
        <v>657</v>
      </c>
      <c r="CN8" s="150" t="s">
        <v>1130</v>
      </c>
      <c r="CO8" s="150"/>
      <c r="CP8" s="150"/>
      <c r="CQ8" s="150"/>
      <c r="CR8" s="150"/>
      <c r="CS8" s="150"/>
      <c r="CT8" s="150"/>
    </row>
    <row r="9" spans="1:98" s="11" customFormat="1" ht="12.75" customHeight="1">
      <c r="A9" s="310"/>
      <c r="B9" s="308" t="str">
        <f>Parameters!Q8</f>
        <v>A03</v>
      </c>
      <c r="C9" s="309"/>
      <c r="D9" s="495" t="str">
        <f>Parameters!S8</f>
        <v>Fishing and aquaculture</v>
      </c>
      <c r="E9" s="497"/>
      <c r="F9" s="224"/>
      <c r="G9" s="379"/>
      <c r="H9" s="225"/>
      <c r="I9" s="379"/>
      <c r="J9" s="225"/>
      <c r="K9" s="379"/>
      <c r="L9" s="225"/>
      <c r="M9" s="379"/>
      <c r="N9" s="225"/>
      <c r="O9" s="379"/>
      <c r="P9" s="225"/>
      <c r="Q9" s="379"/>
      <c r="R9" s="225"/>
      <c r="S9" s="379"/>
      <c r="T9" s="225"/>
      <c r="U9" s="379"/>
      <c r="V9" s="225"/>
      <c r="W9" s="379"/>
      <c r="X9" s="225"/>
      <c r="Y9" s="379"/>
      <c r="Z9" s="225"/>
      <c r="AA9" s="379"/>
      <c r="AB9" s="225"/>
      <c r="AC9" s="379"/>
      <c r="AD9" s="225"/>
      <c r="AE9" s="379"/>
      <c r="AF9" s="165">
        <v>762.36909830000002</v>
      </c>
      <c r="AG9" s="379"/>
      <c r="AH9" s="165">
        <v>835.97303069999998</v>
      </c>
      <c r="AI9" s="379"/>
      <c r="AJ9" s="165">
        <v>699.75520949999998</v>
      </c>
      <c r="AK9" s="379"/>
      <c r="AL9" s="165">
        <v>630.44806570000003</v>
      </c>
      <c r="AM9" s="379"/>
      <c r="AN9" s="165">
        <v>646.94233399999996</v>
      </c>
      <c r="AO9" s="379"/>
      <c r="AP9" s="165">
        <v>584.80126529999995</v>
      </c>
      <c r="AQ9" s="379"/>
      <c r="AR9" s="165">
        <v>624.05319559999998</v>
      </c>
      <c r="AS9" s="379"/>
      <c r="AT9" s="165">
        <v>643.99810530000002</v>
      </c>
      <c r="AU9" s="379"/>
      <c r="AV9" s="165">
        <v>677.57528060000004</v>
      </c>
      <c r="AW9" s="379"/>
      <c r="AX9" s="165">
        <v>759.04809869999997</v>
      </c>
      <c r="AY9" s="379"/>
      <c r="AZ9" s="165">
        <v>824.62631710000005</v>
      </c>
      <c r="BA9" s="379"/>
      <c r="BB9" s="165">
        <v>809.99072000000001</v>
      </c>
      <c r="BC9" s="379"/>
      <c r="BD9" s="165">
        <v>902.35876929999995</v>
      </c>
      <c r="BE9" s="379"/>
      <c r="BF9" s="165">
        <v>919.47941189999995</v>
      </c>
      <c r="BG9" s="379"/>
      <c r="BH9" s="225"/>
      <c r="BI9" s="184"/>
      <c r="CJ9" s="150"/>
      <c r="CK9" s="150"/>
      <c r="CL9" s="150"/>
      <c r="CM9" s="151" t="s">
        <v>665</v>
      </c>
      <c r="CN9" s="150" t="s">
        <v>1130</v>
      </c>
      <c r="CO9" s="150"/>
      <c r="CP9" s="150"/>
      <c r="CQ9" s="150"/>
      <c r="CR9" s="150"/>
      <c r="CS9" s="150"/>
      <c r="CT9" s="150"/>
    </row>
    <row r="10" spans="1:98" s="10" customFormat="1" ht="12.75" customHeight="1">
      <c r="A10" s="25"/>
      <c r="B10" s="87" t="str">
        <f>Parameters!Q9</f>
        <v>B</v>
      </c>
      <c r="C10" s="88"/>
      <c r="D10" s="498" t="str">
        <f>Parameters!S9</f>
        <v>Mining and quarrying</v>
      </c>
      <c r="E10" s="507"/>
      <c r="F10" s="222"/>
      <c r="G10" s="379"/>
      <c r="H10" s="223"/>
      <c r="I10" s="379"/>
      <c r="J10" s="223"/>
      <c r="K10" s="379"/>
      <c r="L10" s="223"/>
      <c r="M10" s="379"/>
      <c r="N10" s="223"/>
      <c r="O10" s="379"/>
      <c r="P10" s="223"/>
      <c r="Q10" s="379"/>
      <c r="R10" s="223"/>
      <c r="S10" s="379"/>
      <c r="T10" s="223"/>
      <c r="U10" s="379"/>
      <c r="V10" s="223"/>
      <c r="W10" s="379"/>
      <c r="X10" s="223"/>
      <c r="Y10" s="379"/>
      <c r="Z10" s="223"/>
      <c r="AA10" s="379"/>
      <c r="AB10" s="223"/>
      <c r="AC10" s="379"/>
      <c r="AD10" s="223"/>
      <c r="AE10" s="379"/>
      <c r="AF10" s="164">
        <v>15334.4534155</v>
      </c>
      <c r="AG10" s="379"/>
      <c r="AH10" s="164">
        <v>14218.203628900001</v>
      </c>
      <c r="AI10" s="379"/>
      <c r="AJ10" s="164">
        <v>15223.7034518</v>
      </c>
      <c r="AK10" s="379"/>
      <c r="AL10" s="164">
        <v>14961.573849099999</v>
      </c>
      <c r="AM10" s="379"/>
      <c r="AN10" s="164">
        <v>14971.2488689</v>
      </c>
      <c r="AO10" s="379"/>
      <c r="AP10" s="164">
        <v>15002.648502599999</v>
      </c>
      <c r="AQ10" s="379"/>
      <c r="AR10" s="164">
        <v>15827.557761</v>
      </c>
      <c r="AS10" s="379"/>
      <c r="AT10" s="164">
        <v>16223.9684063</v>
      </c>
      <c r="AU10" s="379"/>
      <c r="AV10" s="164">
        <v>15747.400247899999</v>
      </c>
      <c r="AW10" s="379"/>
      <c r="AX10" s="164">
        <v>15371.7927779</v>
      </c>
      <c r="AY10" s="379"/>
      <c r="AZ10" s="164">
        <v>15154.2976994</v>
      </c>
      <c r="BA10" s="379"/>
      <c r="BB10" s="164">
        <v>15151.9551993</v>
      </c>
      <c r="BC10" s="379"/>
      <c r="BD10" s="164">
        <v>14451.3644621</v>
      </c>
      <c r="BE10" s="379"/>
      <c r="BF10" s="164">
        <v>13308.653035400001</v>
      </c>
      <c r="BG10" s="379"/>
      <c r="BH10" s="223"/>
      <c r="BI10" s="184"/>
      <c r="CJ10" s="150"/>
      <c r="CK10" s="150"/>
      <c r="CL10" s="150"/>
      <c r="CM10" s="151" t="s">
        <v>267</v>
      </c>
      <c r="CN10" s="150" t="s">
        <v>1130</v>
      </c>
      <c r="CO10" s="150"/>
      <c r="CP10" s="150"/>
      <c r="CQ10" s="150"/>
      <c r="CR10" s="150"/>
      <c r="CS10" s="150"/>
      <c r="CT10" s="150"/>
    </row>
    <row r="11" spans="1:98" s="10" customFormat="1" ht="12.75" customHeight="1">
      <c r="A11" s="25"/>
      <c r="B11" s="87" t="str">
        <f>Parameters!Q10</f>
        <v>C</v>
      </c>
      <c r="C11" s="88"/>
      <c r="D11" s="498" t="str">
        <f>Parameters!S10</f>
        <v>Manufacturing</v>
      </c>
      <c r="E11" s="499"/>
      <c r="F11" s="222"/>
      <c r="G11" s="379"/>
      <c r="H11" s="223"/>
      <c r="I11" s="379"/>
      <c r="J11" s="223"/>
      <c r="K11" s="379"/>
      <c r="L11" s="223"/>
      <c r="M11" s="379"/>
      <c r="N11" s="223"/>
      <c r="O11" s="379"/>
      <c r="P11" s="223"/>
      <c r="Q11" s="379"/>
      <c r="R11" s="223"/>
      <c r="S11" s="379"/>
      <c r="T11" s="223"/>
      <c r="U11" s="379"/>
      <c r="V11" s="223"/>
      <c r="W11" s="379"/>
      <c r="X11" s="223"/>
      <c r="Y11" s="379"/>
      <c r="Z11" s="223"/>
      <c r="AA11" s="379"/>
      <c r="AB11" s="223"/>
      <c r="AC11" s="379"/>
      <c r="AD11" s="223"/>
      <c r="AE11" s="379"/>
      <c r="AF11" s="164">
        <v>12035.569838699999</v>
      </c>
      <c r="AG11" s="379"/>
      <c r="AH11" s="164">
        <v>10402.688587099999</v>
      </c>
      <c r="AI11" s="379"/>
      <c r="AJ11" s="164">
        <v>11508.0440079</v>
      </c>
      <c r="AK11" s="379"/>
      <c r="AL11" s="164">
        <v>11500.8690833</v>
      </c>
      <c r="AM11" s="379"/>
      <c r="AN11" s="164">
        <v>11251.0607315</v>
      </c>
      <c r="AO11" s="379"/>
      <c r="AP11" s="164">
        <v>11258.7799572</v>
      </c>
      <c r="AQ11" s="379"/>
      <c r="AR11" s="164">
        <v>10875.388838700001</v>
      </c>
      <c r="AS11" s="379"/>
      <c r="AT11" s="164">
        <v>11231.023477799999</v>
      </c>
      <c r="AU11" s="379"/>
      <c r="AV11" s="164">
        <v>11024.498844899999</v>
      </c>
      <c r="AW11" s="379"/>
      <c r="AX11" s="164">
        <v>11486.4846977</v>
      </c>
      <c r="AY11" s="379"/>
      <c r="AZ11" s="164">
        <v>11499.411041200001</v>
      </c>
      <c r="BA11" s="379"/>
      <c r="BB11" s="164">
        <v>11071.4719845</v>
      </c>
      <c r="BC11" s="379"/>
      <c r="BD11" s="164">
        <v>11094.2352577</v>
      </c>
      <c r="BE11" s="379"/>
      <c r="BF11" s="164">
        <v>11362.5931882</v>
      </c>
      <c r="BG11" s="379"/>
      <c r="BH11" s="223"/>
      <c r="BI11" s="184"/>
      <c r="CJ11" s="150"/>
      <c r="CK11" s="150"/>
      <c r="CL11" s="150"/>
      <c r="CM11" s="151" t="s">
        <v>273</v>
      </c>
      <c r="CN11" s="150" t="s">
        <v>1130</v>
      </c>
      <c r="CO11" s="150"/>
      <c r="CP11" s="150"/>
      <c r="CQ11" s="150"/>
      <c r="CR11" s="150"/>
      <c r="CS11" s="150"/>
      <c r="CT11" s="150"/>
    </row>
    <row r="12" spans="1:98" s="10" customFormat="1" ht="12.75" customHeight="1">
      <c r="A12" s="26"/>
      <c r="B12" s="89" t="str">
        <f>Parameters!Q11</f>
        <v>C10-C12</v>
      </c>
      <c r="C12" s="90"/>
      <c r="D12" s="504" t="str">
        <f>Parameters!S11</f>
        <v>Manufacture of food products, beverages and tobacco
products</v>
      </c>
      <c r="E12" s="505"/>
      <c r="F12" s="226"/>
      <c r="G12" s="379"/>
      <c r="H12" s="227"/>
      <c r="I12" s="379"/>
      <c r="J12" s="227"/>
      <c r="K12" s="379"/>
      <c r="L12" s="227"/>
      <c r="M12" s="379"/>
      <c r="N12" s="227"/>
      <c r="O12" s="379"/>
      <c r="P12" s="227"/>
      <c r="Q12" s="379"/>
      <c r="R12" s="227"/>
      <c r="S12" s="379"/>
      <c r="T12" s="227"/>
      <c r="U12" s="379"/>
      <c r="V12" s="227"/>
      <c r="W12" s="379"/>
      <c r="X12" s="227"/>
      <c r="Y12" s="379"/>
      <c r="Z12" s="227"/>
      <c r="AA12" s="379"/>
      <c r="AB12" s="227"/>
      <c r="AC12" s="379"/>
      <c r="AD12" s="227"/>
      <c r="AE12" s="379"/>
      <c r="AF12" s="166">
        <v>515.3799004</v>
      </c>
      <c r="AG12" s="379"/>
      <c r="AH12" s="166">
        <v>445.89467130000003</v>
      </c>
      <c r="AI12" s="379"/>
      <c r="AJ12" s="166">
        <v>499.59374680000002</v>
      </c>
      <c r="AK12" s="379"/>
      <c r="AL12" s="166">
        <v>482.62565890000002</v>
      </c>
      <c r="AM12" s="379"/>
      <c r="AN12" s="166">
        <v>482.57534140000001</v>
      </c>
      <c r="AO12" s="379"/>
      <c r="AP12" s="166">
        <v>450.60167840000003</v>
      </c>
      <c r="AQ12" s="379"/>
      <c r="AR12" s="166">
        <v>428.56968920000003</v>
      </c>
      <c r="AS12" s="379"/>
      <c r="AT12" s="166">
        <v>479.14496680000002</v>
      </c>
      <c r="AU12" s="379"/>
      <c r="AV12" s="166">
        <v>495.93923960000001</v>
      </c>
      <c r="AW12" s="379"/>
      <c r="AX12" s="166">
        <v>535.20999789999996</v>
      </c>
      <c r="AY12" s="379"/>
      <c r="AZ12" s="166">
        <v>478.73338489999998</v>
      </c>
      <c r="BA12" s="379"/>
      <c r="BB12" s="166">
        <v>468.4408206</v>
      </c>
      <c r="BC12" s="379"/>
      <c r="BD12" s="166">
        <v>529.90376449999997</v>
      </c>
      <c r="BE12" s="379"/>
      <c r="BF12" s="166">
        <v>494.53888510000002</v>
      </c>
      <c r="BG12" s="379"/>
      <c r="BH12" s="227"/>
      <c r="BI12" s="184"/>
      <c r="CJ12" s="150"/>
      <c r="CK12" s="150"/>
      <c r="CL12" s="150"/>
      <c r="CM12" s="152" t="s">
        <v>1135</v>
      </c>
      <c r="CN12" s="150" t="s">
        <v>1130</v>
      </c>
      <c r="CO12" s="150"/>
      <c r="CP12" s="150"/>
      <c r="CQ12" s="150"/>
      <c r="CR12" s="150"/>
      <c r="CS12" s="150"/>
      <c r="CT12" s="150"/>
    </row>
    <row r="13" spans="1:98" s="10" customFormat="1" ht="12.75" customHeight="1">
      <c r="A13" s="26"/>
      <c r="B13" s="89" t="str">
        <f>Parameters!Q12</f>
        <v>C13-C15</v>
      </c>
      <c r="C13" s="90"/>
      <c r="D13" s="504" t="str">
        <f>Parameters!S12</f>
        <v>Manufacture of textiles, wearing apparel and leather products</v>
      </c>
      <c r="E13" s="506"/>
      <c r="F13" s="226"/>
      <c r="G13" s="379"/>
      <c r="H13" s="227"/>
      <c r="I13" s="379"/>
      <c r="J13" s="227"/>
      <c r="K13" s="379"/>
      <c r="L13" s="227"/>
      <c r="M13" s="379"/>
      <c r="N13" s="227"/>
      <c r="O13" s="379"/>
      <c r="P13" s="227"/>
      <c r="Q13" s="379"/>
      <c r="R13" s="227"/>
      <c r="S13" s="379"/>
      <c r="T13" s="227"/>
      <c r="U13" s="379"/>
      <c r="V13" s="227"/>
      <c r="W13" s="379"/>
      <c r="X13" s="227"/>
      <c r="Y13" s="379"/>
      <c r="Z13" s="227"/>
      <c r="AA13" s="379"/>
      <c r="AB13" s="227"/>
      <c r="AC13" s="379"/>
      <c r="AD13" s="227"/>
      <c r="AE13" s="379"/>
      <c r="AF13" s="166">
        <v>12.753094000000001</v>
      </c>
      <c r="AG13" s="379"/>
      <c r="AH13" s="166">
        <v>6.1940299000000003</v>
      </c>
      <c r="AI13" s="379"/>
      <c r="AJ13" s="166">
        <v>5.6503930000000002</v>
      </c>
      <c r="AK13" s="379"/>
      <c r="AL13" s="166">
        <v>6.0178886</v>
      </c>
      <c r="AM13" s="379"/>
      <c r="AN13" s="166">
        <v>4.0751982</v>
      </c>
      <c r="AO13" s="379"/>
      <c r="AP13" s="166">
        <v>6.1080576000000004</v>
      </c>
      <c r="AQ13" s="379"/>
      <c r="AR13" s="166">
        <v>7.0448968000000001</v>
      </c>
      <c r="AS13" s="379"/>
      <c r="AT13" s="166">
        <v>8.0272459999999999</v>
      </c>
      <c r="AU13" s="379"/>
      <c r="AV13" s="166">
        <v>7.2470794999999999</v>
      </c>
      <c r="AW13" s="379"/>
      <c r="AX13" s="166">
        <v>5.4271761999999999</v>
      </c>
      <c r="AY13" s="379"/>
      <c r="AZ13" s="166">
        <v>4.6379339999999996</v>
      </c>
      <c r="BA13" s="379"/>
      <c r="BB13" s="166">
        <v>5.0979612999999997</v>
      </c>
      <c r="BC13" s="379"/>
      <c r="BD13" s="166">
        <v>5.3700545000000002</v>
      </c>
      <c r="BE13" s="379"/>
      <c r="BF13" s="166">
        <v>5.1240226</v>
      </c>
      <c r="BG13" s="379"/>
      <c r="BH13" s="227"/>
      <c r="BI13" s="184"/>
      <c r="CJ13" s="150"/>
      <c r="CK13" s="150"/>
      <c r="CL13" s="150"/>
      <c r="CM13" s="151" t="s">
        <v>1136</v>
      </c>
      <c r="CN13" s="150" t="s">
        <v>1130</v>
      </c>
      <c r="CO13" s="150"/>
      <c r="CP13" s="150"/>
      <c r="CQ13" s="150"/>
      <c r="CR13" s="150"/>
      <c r="CS13" s="150"/>
      <c r="CT13" s="150"/>
    </row>
    <row r="14" spans="1:98" s="10" customFormat="1">
      <c r="A14" s="26"/>
      <c r="B14" s="89" t="str">
        <f>Parameters!Q13</f>
        <v>C16-C18</v>
      </c>
      <c r="C14" s="90"/>
      <c r="D14" s="504" t="str">
        <f>Parameters!S13</f>
        <v>Manufacture of wood, paper, printing and reproduction</v>
      </c>
      <c r="E14" s="506"/>
      <c r="F14" s="252"/>
      <c r="G14" s="380"/>
      <c r="H14" s="253"/>
      <c r="I14" s="380"/>
      <c r="J14" s="253"/>
      <c r="K14" s="380"/>
      <c r="L14" s="253"/>
      <c r="M14" s="380"/>
      <c r="N14" s="253"/>
      <c r="O14" s="380"/>
      <c r="P14" s="253"/>
      <c r="Q14" s="380"/>
      <c r="R14" s="253"/>
      <c r="S14" s="380"/>
      <c r="T14" s="253"/>
      <c r="U14" s="380"/>
      <c r="V14" s="253"/>
      <c r="W14" s="380"/>
      <c r="X14" s="253"/>
      <c r="Y14" s="380"/>
      <c r="Z14" s="253"/>
      <c r="AA14" s="380"/>
      <c r="AB14" s="253"/>
      <c r="AC14" s="380"/>
      <c r="AD14" s="253"/>
      <c r="AE14" s="380"/>
      <c r="AF14" s="253">
        <v>431.5611907</v>
      </c>
      <c r="AG14" s="380"/>
      <c r="AH14" s="253">
        <v>382.61987119999998</v>
      </c>
      <c r="AI14" s="380"/>
      <c r="AJ14" s="253">
        <v>475.31739199999998</v>
      </c>
      <c r="AK14" s="380"/>
      <c r="AL14" s="253">
        <v>383.3020161</v>
      </c>
      <c r="AM14" s="380"/>
      <c r="AN14" s="253">
        <v>267.97328800000003</v>
      </c>
      <c r="AO14" s="380"/>
      <c r="AP14" s="253">
        <v>188.8398397</v>
      </c>
      <c r="AQ14" s="380"/>
      <c r="AR14" s="253">
        <v>154.70846309999999</v>
      </c>
      <c r="AS14" s="380"/>
      <c r="AT14" s="253">
        <v>144.80507950000001</v>
      </c>
      <c r="AU14" s="380"/>
      <c r="AV14" s="253">
        <v>158.87384829999999</v>
      </c>
      <c r="AW14" s="380"/>
      <c r="AX14" s="253">
        <v>149.33145809999999</v>
      </c>
      <c r="AY14" s="380"/>
      <c r="AZ14" s="253">
        <v>165.06644470000001</v>
      </c>
      <c r="BA14" s="380"/>
      <c r="BB14" s="253">
        <v>178.66046460000001</v>
      </c>
      <c r="BC14" s="380"/>
      <c r="BD14" s="253">
        <v>129.26223680000001</v>
      </c>
      <c r="BE14" s="380"/>
      <c r="BF14" s="253">
        <v>165.1484183</v>
      </c>
      <c r="BG14" s="380"/>
      <c r="BH14" s="253"/>
      <c r="BI14" s="254"/>
      <c r="CJ14" s="150"/>
      <c r="CK14" s="150"/>
      <c r="CL14" s="150"/>
      <c r="CM14" s="151"/>
      <c r="CN14" s="150"/>
      <c r="CO14" s="150"/>
      <c r="CP14" s="150"/>
      <c r="CQ14" s="150"/>
      <c r="CR14" s="150"/>
      <c r="CS14" s="150"/>
      <c r="CT14" s="150"/>
    </row>
    <row r="15" spans="1:98" s="12" customFormat="1" ht="22.5" customHeight="1">
      <c r="A15" s="310"/>
      <c r="B15" s="308" t="str">
        <f>Parameters!Q14</f>
        <v>C16</v>
      </c>
      <c r="C15" s="94"/>
      <c r="D15" s="495" t="str">
        <f>Parameters!S14</f>
        <v>Manufacture of wood and of products of wood and cork, except furniture; manufacture of articles of straw and plaiting materials</v>
      </c>
      <c r="E15" s="496"/>
      <c r="F15" s="224"/>
      <c r="G15" s="379"/>
      <c r="H15" s="225"/>
      <c r="I15" s="379"/>
      <c r="J15" s="225"/>
      <c r="K15" s="379"/>
      <c r="L15" s="225"/>
      <c r="M15" s="379"/>
      <c r="N15" s="225"/>
      <c r="O15" s="379"/>
      <c r="P15" s="225"/>
      <c r="Q15" s="379"/>
      <c r="R15" s="225"/>
      <c r="S15" s="379"/>
      <c r="T15" s="225"/>
      <c r="U15" s="379"/>
      <c r="V15" s="225"/>
      <c r="W15" s="379"/>
      <c r="X15" s="225"/>
      <c r="Y15" s="379"/>
      <c r="Z15" s="225"/>
      <c r="AA15" s="379"/>
      <c r="AB15" s="225"/>
      <c r="AC15" s="379"/>
      <c r="AD15" s="225"/>
      <c r="AE15" s="379"/>
      <c r="AF15" s="165">
        <v>51.942461600000001</v>
      </c>
      <c r="AG15" s="379"/>
      <c r="AH15" s="165">
        <v>35.440148100000002</v>
      </c>
      <c r="AI15" s="379"/>
      <c r="AJ15" s="165">
        <v>50.273422400000001</v>
      </c>
      <c r="AK15" s="379"/>
      <c r="AL15" s="165">
        <v>66.057114299999995</v>
      </c>
      <c r="AM15" s="379"/>
      <c r="AN15" s="165">
        <v>49.301056799999998</v>
      </c>
      <c r="AO15" s="379"/>
      <c r="AP15" s="165">
        <v>36.661678000000002</v>
      </c>
      <c r="AQ15" s="379"/>
      <c r="AR15" s="165">
        <v>33.167444400000001</v>
      </c>
      <c r="AS15" s="379"/>
      <c r="AT15" s="165">
        <v>38.004155400000002</v>
      </c>
      <c r="AU15" s="379"/>
      <c r="AV15" s="165">
        <v>37.257677600000001</v>
      </c>
      <c r="AW15" s="379"/>
      <c r="AX15" s="165">
        <v>41.683851300000001</v>
      </c>
      <c r="AY15" s="379"/>
      <c r="AZ15" s="165">
        <v>47.945901200000002</v>
      </c>
      <c r="BA15" s="379"/>
      <c r="BB15" s="165">
        <v>55.392640200000002</v>
      </c>
      <c r="BC15" s="379"/>
      <c r="BD15" s="165">
        <v>39.164601500000003</v>
      </c>
      <c r="BE15" s="379"/>
      <c r="BF15" s="165">
        <v>41.564098700000002</v>
      </c>
      <c r="BG15" s="379"/>
      <c r="BH15" s="225"/>
      <c r="BI15" s="184"/>
      <c r="CJ15" s="150"/>
      <c r="CK15" s="150"/>
      <c r="CL15" s="150"/>
      <c r="CM15" s="151" t="s">
        <v>703</v>
      </c>
      <c r="CN15" s="150" t="s">
        <v>1130</v>
      </c>
      <c r="CO15" s="150"/>
      <c r="CP15" s="150"/>
      <c r="CQ15" s="150"/>
      <c r="CR15" s="150"/>
      <c r="CS15" s="150"/>
      <c r="CT15" s="150"/>
    </row>
    <row r="16" spans="1:98" s="11" customFormat="1" ht="12.75" customHeight="1">
      <c r="A16" s="310"/>
      <c r="B16" s="308" t="str">
        <f>Parameters!Q15</f>
        <v>C17</v>
      </c>
      <c r="C16" s="309"/>
      <c r="D16" s="495" t="str">
        <f>Parameters!S15</f>
        <v>Manufacture of paper and paper products</v>
      </c>
      <c r="E16" s="510"/>
      <c r="F16" s="224"/>
      <c r="G16" s="379"/>
      <c r="H16" s="225"/>
      <c r="I16" s="379"/>
      <c r="J16" s="225"/>
      <c r="K16" s="379"/>
      <c r="L16" s="225"/>
      <c r="M16" s="379"/>
      <c r="N16" s="225"/>
      <c r="O16" s="379"/>
      <c r="P16" s="225"/>
      <c r="Q16" s="379"/>
      <c r="R16" s="225"/>
      <c r="S16" s="379"/>
      <c r="T16" s="225"/>
      <c r="U16" s="379"/>
      <c r="V16" s="225"/>
      <c r="W16" s="379"/>
      <c r="X16" s="225"/>
      <c r="Y16" s="379"/>
      <c r="Z16" s="225"/>
      <c r="AA16" s="379"/>
      <c r="AB16" s="225"/>
      <c r="AC16" s="379"/>
      <c r="AD16" s="225"/>
      <c r="AE16" s="379"/>
      <c r="AF16" s="165">
        <v>362.03022750000002</v>
      </c>
      <c r="AG16" s="379"/>
      <c r="AH16" s="165">
        <v>340.38621110000003</v>
      </c>
      <c r="AI16" s="379"/>
      <c r="AJ16" s="165">
        <v>414.50529390000003</v>
      </c>
      <c r="AK16" s="379"/>
      <c r="AL16" s="165">
        <v>309.78014930000001</v>
      </c>
      <c r="AM16" s="379"/>
      <c r="AN16" s="165">
        <v>213.20963649999999</v>
      </c>
      <c r="AO16" s="379"/>
      <c r="AP16" s="165">
        <v>147.9919155</v>
      </c>
      <c r="AQ16" s="379"/>
      <c r="AR16" s="165">
        <v>115.845012</v>
      </c>
      <c r="AS16" s="379"/>
      <c r="AT16" s="165">
        <v>101.64631850000001</v>
      </c>
      <c r="AU16" s="379"/>
      <c r="AV16" s="165">
        <v>119.17243449999999</v>
      </c>
      <c r="AW16" s="379"/>
      <c r="AX16" s="165">
        <v>103.452778</v>
      </c>
      <c r="AY16" s="379"/>
      <c r="AZ16" s="165">
        <v>113.6368884</v>
      </c>
      <c r="BA16" s="379"/>
      <c r="BB16" s="165">
        <v>119.43723989999999</v>
      </c>
      <c r="BC16" s="379"/>
      <c r="BD16" s="165">
        <v>87.230449500000006</v>
      </c>
      <c r="BE16" s="379"/>
      <c r="BF16" s="165">
        <v>121.2427149</v>
      </c>
      <c r="BG16" s="379"/>
      <c r="BH16" s="225"/>
      <c r="BI16" s="184"/>
      <c r="CJ16" s="150"/>
      <c r="CK16" s="150"/>
      <c r="CL16" s="150"/>
      <c r="CM16" s="151" t="s">
        <v>707</v>
      </c>
      <c r="CN16" s="150" t="s">
        <v>1130</v>
      </c>
      <c r="CO16" s="150"/>
      <c r="CP16" s="150"/>
      <c r="CQ16" s="150"/>
      <c r="CR16" s="150"/>
      <c r="CS16" s="150"/>
      <c r="CT16" s="150"/>
    </row>
    <row r="17" spans="1:98" s="11" customFormat="1" ht="12.75" customHeight="1">
      <c r="A17" s="310"/>
      <c r="B17" s="308" t="str">
        <f>Parameters!Q16</f>
        <v>C18</v>
      </c>
      <c r="C17" s="309"/>
      <c r="D17" s="495" t="str">
        <f>Parameters!S16</f>
        <v>Printing and reproduction of recorded media</v>
      </c>
      <c r="E17" s="510"/>
      <c r="F17" s="224"/>
      <c r="G17" s="379"/>
      <c r="H17" s="225"/>
      <c r="I17" s="379"/>
      <c r="J17" s="225"/>
      <c r="K17" s="379"/>
      <c r="L17" s="225"/>
      <c r="M17" s="379"/>
      <c r="N17" s="225"/>
      <c r="O17" s="379"/>
      <c r="P17" s="225"/>
      <c r="Q17" s="379"/>
      <c r="R17" s="225"/>
      <c r="S17" s="379"/>
      <c r="T17" s="225"/>
      <c r="U17" s="379"/>
      <c r="V17" s="225"/>
      <c r="W17" s="379"/>
      <c r="X17" s="225"/>
      <c r="Y17" s="379"/>
      <c r="Z17" s="225"/>
      <c r="AA17" s="379"/>
      <c r="AB17" s="225"/>
      <c r="AC17" s="379"/>
      <c r="AD17" s="225"/>
      <c r="AE17" s="379"/>
      <c r="AF17" s="165">
        <v>17.588501600000001</v>
      </c>
      <c r="AG17" s="379"/>
      <c r="AH17" s="165">
        <v>6.7935119999999998</v>
      </c>
      <c r="AI17" s="379"/>
      <c r="AJ17" s="165">
        <v>10.538675599999999</v>
      </c>
      <c r="AK17" s="379"/>
      <c r="AL17" s="165">
        <v>7.4647525000000003</v>
      </c>
      <c r="AM17" s="379"/>
      <c r="AN17" s="165">
        <v>5.4625947000000004</v>
      </c>
      <c r="AO17" s="379"/>
      <c r="AP17" s="165">
        <v>4.1862462999999996</v>
      </c>
      <c r="AQ17" s="379"/>
      <c r="AR17" s="165">
        <v>5.6960066999999999</v>
      </c>
      <c r="AS17" s="379"/>
      <c r="AT17" s="165">
        <v>5.1546057000000003</v>
      </c>
      <c r="AU17" s="379"/>
      <c r="AV17" s="165">
        <v>2.4437361000000002</v>
      </c>
      <c r="AW17" s="379"/>
      <c r="AX17" s="165">
        <v>4.1948287999999998</v>
      </c>
      <c r="AY17" s="379"/>
      <c r="AZ17" s="165">
        <v>3.4836551</v>
      </c>
      <c r="BA17" s="379"/>
      <c r="BB17" s="165">
        <v>3.8305843999999998</v>
      </c>
      <c r="BC17" s="379"/>
      <c r="BD17" s="165">
        <v>2.8671858000000001</v>
      </c>
      <c r="BE17" s="379"/>
      <c r="BF17" s="165">
        <v>2.3416047</v>
      </c>
      <c r="BG17" s="379"/>
      <c r="BH17" s="225"/>
      <c r="BI17" s="184"/>
      <c r="CJ17" s="150"/>
      <c r="CK17" s="150"/>
      <c r="CL17" s="150"/>
      <c r="CM17" s="151" t="s">
        <v>711</v>
      </c>
      <c r="CN17" s="150" t="s">
        <v>1130</v>
      </c>
      <c r="CO17" s="150"/>
      <c r="CP17" s="150"/>
      <c r="CQ17" s="150"/>
      <c r="CR17" s="150"/>
      <c r="CS17" s="150"/>
      <c r="CT17" s="150"/>
    </row>
    <row r="18" spans="1:98" s="12" customFormat="1" ht="12.75" customHeight="1">
      <c r="A18" s="26"/>
      <c r="B18" s="89" t="str">
        <f>Parameters!Q17</f>
        <v>C19</v>
      </c>
      <c r="C18" s="90"/>
      <c r="D18" s="504" t="str">
        <f>Parameters!S17</f>
        <v>Manufacture of coke and refined petroleum products</v>
      </c>
      <c r="E18" s="505"/>
      <c r="F18" s="226"/>
      <c r="G18" s="379"/>
      <c r="H18" s="227"/>
      <c r="I18" s="379"/>
      <c r="J18" s="227"/>
      <c r="K18" s="379"/>
      <c r="L18" s="227"/>
      <c r="M18" s="379"/>
      <c r="N18" s="227"/>
      <c r="O18" s="379"/>
      <c r="P18" s="227"/>
      <c r="Q18" s="379"/>
      <c r="R18" s="227"/>
      <c r="S18" s="379"/>
      <c r="T18" s="227"/>
      <c r="U18" s="379"/>
      <c r="V18" s="227"/>
      <c r="W18" s="379"/>
      <c r="X18" s="227"/>
      <c r="Y18" s="379"/>
      <c r="Z18" s="227"/>
      <c r="AA18" s="379"/>
      <c r="AB18" s="227"/>
      <c r="AC18" s="379"/>
      <c r="AD18" s="227"/>
      <c r="AE18" s="379"/>
      <c r="AF18" s="166">
        <v>4677.8358175000003</v>
      </c>
      <c r="AG18" s="379" t="s">
        <v>387</v>
      </c>
      <c r="AH18" s="166">
        <v>4330.8440393000001</v>
      </c>
      <c r="AI18" s="379" t="s">
        <v>387</v>
      </c>
      <c r="AJ18" s="166">
        <v>4697.1249498999996</v>
      </c>
      <c r="AK18" s="379" t="s">
        <v>387</v>
      </c>
      <c r="AL18" s="166">
        <v>4841.4980641000002</v>
      </c>
      <c r="AM18" s="379" t="s">
        <v>387</v>
      </c>
      <c r="AN18" s="166">
        <v>4792.1807140000001</v>
      </c>
      <c r="AO18" s="379" t="s">
        <v>387</v>
      </c>
      <c r="AP18" s="166">
        <v>4739.4658691000004</v>
      </c>
      <c r="AQ18" s="379" t="s">
        <v>387</v>
      </c>
      <c r="AR18" s="166">
        <v>4476.0676444000001</v>
      </c>
      <c r="AS18" s="379" t="s">
        <v>387</v>
      </c>
      <c r="AT18" s="166">
        <v>4959.5698804000003</v>
      </c>
      <c r="AU18" s="379" t="s">
        <v>387</v>
      </c>
      <c r="AV18" s="166">
        <v>4592.6076568999997</v>
      </c>
      <c r="AW18" s="379" t="s">
        <v>387</v>
      </c>
      <c r="AX18" s="166">
        <v>4661.5617195000004</v>
      </c>
      <c r="AY18" s="379" t="s">
        <v>387</v>
      </c>
      <c r="AZ18" s="166">
        <v>4819.4853861000001</v>
      </c>
      <c r="BA18" s="379" t="s">
        <v>387</v>
      </c>
      <c r="BB18" s="166">
        <v>4363.6602873000002</v>
      </c>
      <c r="BC18" s="379" t="s">
        <v>387</v>
      </c>
      <c r="BD18" s="166">
        <v>4442.1028358000003</v>
      </c>
      <c r="BE18" s="379" t="s">
        <v>387</v>
      </c>
      <c r="BF18" s="166">
        <v>4499.6567514999997</v>
      </c>
      <c r="BG18" s="379" t="s">
        <v>387</v>
      </c>
      <c r="BH18" s="227"/>
      <c r="BI18" s="184"/>
      <c r="CJ18" s="150"/>
      <c r="CK18" s="150"/>
      <c r="CL18" s="150"/>
      <c r="CM18" s="151" t="s">
        <v>716</v>
      </c>
      <c r="CN18" s="150" t="s">
        <v>1130</v>
      </c>
      <c r="CO18" s="150"/>
      <c r="CP18" s="150"/>
      <c r="CQ18" s="150"/>
      <c r="CR18" s="150"/>
      <c r="CS18" s="150"/>
      <c r="CT18" s="150"/>
    </row>
    <row r="19" spans="1:98" s="11" customFormat="1" ht="12.75" customHeight="1">
      <c r="A19" s="26"/>
      <c r="B19" s="89" t="str">
        <f>Parameters!Q18</f>
        <v>C20</v>
      </c>
      <c r="C19" s="90"/>
      <c r="D19" s="504" t="str">
        <f>Parameters!S18</f>
        <v>Manufacture of chemicals and chemical products</v>
      </c>
      <c r="E19" s="505"/>
      <c r="F19" s="226"/>
      <c r="G19" s="379"/>
      <c r="H19" s="227"/>
      <c r="I19" s="379"/>
      <c r="J19" s="227"/>
      <c r="K19" s="379"/>
      <c r="L19" s="227"/>
      <c r="M19" s="379"/>
      <c r="N19" s="227"/>
      <c r="O19" s="379"/>
      <c r="P19" s="227"/>
      <c r="Q19" s="379"/>
      <c r="R19" s="227"/>
      <c r="S19" s="379"/>
      <c r="T19" s="227"/>
      <c r="U19" s="379"/>
      <c r="V19" s="227"/>
      <c r="W19" s="379"/>
      <c r="X19" s="227"/>
      <c r="Y19" s="379"/>
      <c r="Z19" s="227"/>
      <c r="AA19" s="379"/>
      <c r="AB19" s="227"/>
      <c r="AC19" s="379"/>
      <c r="AD19" s="227"/>
      <c r="AE19" s="379"/>
      <c r="AF19" s="166">
        <v>0</v>
      </c>
      <c r="AG19" s="379" t="s">
        <v>387</v>
      </c>
      <c r="AH19" s="166">
        <v>0</v>
      </c>
      <c r="AI19" s="379" t="s">
        <v>387</v>
      </c>
      <c r="AJ19" s="166">
        <v>0</v>
      </c>
      <c r="AK19" s="379" t="s">
        <v>387</v>
      </c>
      <c r="AL19" s="166">
        <v>0</v>
      </c>
      <c r="AM19" s="379" t="s">
        <v>387</v>
      </c>
      <c r="AN19" s="166">
        <v>0</v>
      </c>
      <c r="AO19" s="379" t="s">
        <v>387</v>
      </c>
      <c r="AP19" s="166">
        <v>0</v>
      </c>
      <c r="AQ19" s="379" t="s">
        <v>387</v>
      </c>
      <c r="AR19" s="166">
        <v>0</v>
      </c>
      <c r="AS19" s="379" t="s">
        <v>387</v>
      </c>
      <c r="AT19" s="166">
        <v>0</v>
      </c>
      <c r="AU19" s="379" t="s">
        <v>387</v>
      </c>
      <c r="AV19" s="166">
        <v>0</v>
      </c>
      <c r="AW19" s="379" t="s">
        <v>387</v>
      </c>
      <c r="AX19" s="166">
        <v>0</v>
      </c>
      <c r="AY19" s="379" t="s">
        <v>387</v>
      </c>
      <c r="AZ19" s="166">
        <v>0</v>
      </c>
      <c r="BA19" s="379" t="s">
        <v>387</v>
      </c>
      <c r="BB19" s="166">
        <v>0</v>
      </c>
      <c r="BC19" s="379" t="s">
        <v>387</v>
      </c>
      <c r="BD19" s="166">
        <v>0</v>
      </c>
      <c r="BE19" s="379" t="s">
        <v>387</v>
      </c>
      <c r="BF19" s="166">
        <v>0</v>
      </c>
      <c r="BG19" s="379" t="s">
        <v>387</v>
      </c>
      <c r="BH19" s="227"/>
      <c r="BI19" s="184"/>
      <c r="CJ19" s="150"/>
      <c r="CK19" s="150"/>
      <c r="CL19" s="150"/>
      <c r="CM19" s="151" t="s">
        <v>723</v>
      </c>
      <c r="CN19" s="150" t="s">
        <v>1130</v>
      </c>
      <c r="CO19" s="150"/>
      <c r="CP19" s="150"/>
      <c r="CQ19" s="150"/>
      <c r="CR19" s="150"/>
      <c r="CS19" s="150"/>
      <c r="CT19" s="150"/>
    </row>
    <row r="20" spans="1:98" s="11" customFormat="1" ht="12.75" customHeight="1">
      <c r="A20" s="26"/>
      <c r="B20" s="89" t="str">
        <f>Parameters!Q19</f>
        <v>C21</v>
      </c>
      <c r="C20" s="90"/>
      <c r="D20" s="504" t="str">
        <f>Parameters!S19</f>
        <v>Manufacture of basic pharmaceutical products and pharmaceutical preparations</v>
      </c>
      <c r="E20" s="505"/>
      <c r="F20" s="226"/>
      <c r="G20" s="379"/>
      <c r="H20" s="227"/>
      <c r="I20" s="379"/>
      <c r="J20" s="227"/>
      <c r="K20" s="379"/>
      <c r="L20" s="227"/>
      <c r="M20" s="379"/>
      <c r="N20" s="227"/>
      <c r="O20" s="379"/>
      <c r="P20" s="227"/>
      <c r="Q20" s="379"/>
      <c r="R20" s="227"/>
      <c r="S20" s="379"/>
      <c r="T20" s="227"/>
      <c r="U20" s="379"/>
      <c r="V20" s="227"/>
      <c r="W20" s="379"/>
      <c r="X20" s="227"/>
      <c r="Y20" s="379"/>
      <c r="Z20" s="227"/>
      <c r="AA20" s="379"/>
      <c r="AB20" s="227"/>
      <c r="AC20" s="379"/>
      <c r="AD20" s="227"/>
      <c r="AE20" s="379"/>
      <c r="AF20" s="166">
        <v>0</v>
      </c>
      <c r="AG20" s="379" t="s">
        <v>387</v>
      </c>
      <c r="AH20" s="166">
        <v>0</v>
      </c>
      <c r="AI20" s="379" t="s">
        <v>387</v>
      </c>
      <c r="AJ20" s="166">
        <v>0</v>
      </c>
      <c r="AK20" s="379" t="s">
        <v>387</v>
      </c>
      <c r="AL20" s="166">
        <v>0</v>
      </c>
      <c r="AM20" s="379" t="s">
        <v>387</v>
      </c>
      <c r="AN20" s="166">
        <v>0</v>
      </c>
      <c r="AO20" s="379" t="s">
        <v>387</v>
      </c>
      <c r="AP20" s="166">
        <v>0</v>
      </c>
      <c r="AQ20" s="379" t="s">
        <v>387</v>
      </c>
      <c r="AR20" s="166">
        <v>0</v>
      </c>
      <c r="AS20" s="379" t="s">
        <v>387</v>
      </c>
      <c r="AT20" s="166">
        <v>0</v>
      </c>
      <c r="AU20" s="379" t="s">
        <v>387</v>
      </c>
      <c r="AV20" s="166">
        <v>0</v>
      </c>
      <c r="AW20" s="379" t="s">
        <v>387</v>
      </c>
      <c r="AX20" s="166">
        <v>0</v>
      </c>
      <c r="AY20" s="379" t="s">
        <v>387</v>
      </c>
      <c r="AZ20" s="166">
        <v>0</v>
      </c>
      <c r="BA20" s="379" t="s">
        <v>387</v>
      </c>
      <c r="BB20" s="166">
        <v>0</v>
      </c>
      <c r="BC20" s="379" t="s">
        <v>387</v>
      </c>
      <c r="BD20" s="166">
        <v>0</v>
      </c>
      <c r="BE20" s="379" t="s">
        <v>387</v>
      </c>
      <c r="BF20" s="166">
        <v>0</v>
      </c>
      <c r="BG20" s="379" t="s">
        <v>387</v>
      </c>
      <c r="BH20" s="227"/>
      <c r="BI20" s="184"/>
      <c r="CJ20" s="150"/>
      <c r="CK20" s="150"/>
      <c r="CL20" s="150"/>
      <c r="CM20" s="151" t="s">
        <v>728</v>
      </c>
      <c r="CN20" s="150" t="s">
        <v>1130</v>
      </c>
      <c r="CO20" s="150"/>
      <c r="CP20" s="150"/>
      <c r="CQ20" s="150"/>
      <c r="CR20" s="150"/>
      <c r="CS20" s="150"/>
      <c r="CT20" s="150"/>
    </row>
    <row r="21" spans="1:98" s="11" customFormat="1" ht="12.75" customHeight="1">
      <c r="A21" s="26"/>
      <c r="B21" s="89" t="str">
        <f>Parameters!Q20</f>
        <v>C22_C23</v>
      </c>
      <c r="C21" s="90"/>
      <c r="D21" s="504" t="str">
        <f>Parameters!S20</f>
        <v>Manufacture of rubber and plastic products and other non-metallic mineral products</v>
      </c>
      <c r="E21" s="506"/>
      <c r="F21" s="252"/>
      <c r="G21" s="380"/>
      <c r="H21" s="253"/>
      <c r="I21" s="380"/>
      <c r="J21" s="253"/>
      <c r="K21" s="380"/>
      <c r="L21" s="253"/>
      <c r="M21" s="380"/>
      <c r="N21" s="253"/>
      <c r="O21" s="380"/>
      <c r="P21" s="253"/>
      <c r="Q21" s="380"/>
      <c r="R21" s="253"/>
      <c r="S21" s="380"/>
      <c r="T21" s="253"/>
      <c r="U21" s="380"/>
      <c r="V21" s="253"/>
      <c r="W21" s="380"/>
      <c r="X21" s="253"/>
      <c r="Y21" s="380"/>
      <c r="Z21" s="253"/>
      <c r="AA21" s="380"/>
      <c r="AB21" s="253"/>
      <c r="AC21" s="380"/>
      <c r="AD21" s="253"/>
      <c r="AE21" s="380"/>
      <c r="AF21" s="253">
        <v>1930.1207414999999</v>
      </c>
      <c r="AG21" s="380"/>
      <c r="AH21" s="253">
        <v>1830.9579136</v>
      </c>
      <c r="AI21" s="380"/>
      <c r="AJ21" s="253">
        <v>1889.92939</v>
      </c>
      <c r="AK21" s="380"/>
      <c r="AL21" s="253">
        <v>1897.9190048</v>
      </c>
      <c r="AM21" s="380"/>
      <c r="AN21" s="253">
        <v>1851.9094405999999</v>
      </c>
      <c r="AO21" s="380"/>
      <c r="AP21" s="253">
        <v>1887.5926867999999</v>
      </c>
      <c r="AQ21" s="380"/>
      <c r="AR21" s="253">
        <v>1781.4657473</v>
      </c>
      <c r="AS21" s="380"/>
      <c r="AT21" s="253">
        <v>1727.5896143</v>
      </c>
      <c r="AU21" s="380"/>
      <c r="AV21" s="253">
        <v>1779.3201422</v>
      </c>
      <c r="AW21" s="380"/>
      <c r="AX21" s="253">
        <v>1917.0631178000001</v>
      </c>
      <c r="AY21" s="380"/>
      <c r="AZ21" s="253">
        <v>1866.2959727</v>
      </c>
      <c r="BA21" s="380"/>
      <c r="BB21" s="253">
        <v>1815.663661</v>
      </c>
      <c r="BC21" s="380"/>
      <c r="BD21" s="253">
        <v>1751.0955260999999</v>
      </c>
      <c r="BE21" s="380"/>
      <c r="BF21" s="253">
        <v>1753.4804439</v>
      </c>
      <c r="BG21" s="380"/>
      <c r="BH21" s="253"/>
      <c r="BI21" s="254"/>
      <c r="CJ21" s="150"/>
      <c r="CK21" s="150"/>
      <c r="CL21" s="150"/>
      <c r="CM21" s="151"/>
      <c r="CN21" s="150"/>
      <c r="CO21" s="150"/>
      <c r="CP21" s="150"/>
      <c r="CQ21" s="150"/>
      <c r="CR21" s="150"/>
      <c r="CS21" s="150"/>
      <c r="CT21" s="150"/>
    </row>
    <row r="22" spans="1:98" s="12" customFormat="1" ht="12.75" customHeight="1">
      <c r="A22" s="310"/>
      <c r="B22" s="308" t="str">
        <f>Parameters!Q21</f>
        <v>C22</v>
      </c>
      <c r="C22" s="96"/>
      <c r="D22" s="495" t="str">
        <f>Parameters!S21</f>
        <v>Manufacture of rubber and plastic products</v>
      </c>
      <c r="E22" s="496"/>
      <c r="F22" s="224"/>
      <c r="G22" s="379"/>
      <c r="H22" s="228"/>
      <c r="I22" s="379"/>
      <c r="J22" s="228"/>
      <c r="K22" s="379"/>
      <c r="L22" s="228"/>
      <c r="M22" s="379"/>
      <c r="N22" s="228"/>
      <c r="O22" s="379"/>
      <c r="P22" s="228"/>
      <c r="Q22" s="379"/>
      <c r="R22" s="228"/>
      <c r="S22" s="379"/>
      <c r="T22" s="228"/>
      <c r="U22" s="379"/>
      <c r="V22" s="228"/>
      <c r="W22" s="379"/>
      <c r="X22" s="228"/>
      <c r="Y22" s="379"/>
      <c r="Z22" s="228"/>
      <c r="AA22" s="379"/>
      <c r="AB22" s="228"/>
      <c r="AC22" s="379"/>
      <c r="AD22" s="228"/>
      <c r="AE22" s="379"/>
      <c r="AF22" s="167">
        <v>24.934064200000002</v>
      </c>
      <c r="AG22" s="379"/>
      <c r="AH22" s="167">
        <v>29.595896</v>
      </c>
      <c r="AI22" s="379"/>
      <c r="AJ22" s="167">
        <v>37.4615407</v>
      </c>
      <c r="AK22" s="379"/>
      <c r="AL22" s="167">
        <v>49.671957499999998</v>
      </c>
      <c r="AM22" s="379"/>
      <c r="AN22" s="167">
        <v>51.460947300000001</v>
      </c>
      <c r="AO22" s="379"/>
      <c r="AP22" s="167">
        <v>46.9844176</v>
      </c>
      <c r="AQ22" s="379"/>
      <c r="AR22" s="167">
        <v>46.2096248</v>
      </c>
      <c r="AS22" s="379"/>
      <c r="AT22" s="167">
        <v>34.104218600000003</v>
      </c>
      <c r="AU22" s="379"/>
      <c r="AV22" s="165">
        <v>39.137159799999999</v>
      </c>
      <c r="AW22" s="379"/>
      <c r="AX22" s="165">
        <v>39.430202100000002</v>
      </c>
      <c r="AY22" s="379"/>
      <c r="AZ22" s="165">
        <v>44.206851299999997</v>
      </c>
      <c r="BA22" s="379"/>
      <c r="BB22" s="165">
        <v>32.085523999999999</v>
      </c>
      <c r="BC22" s="379"/>
      <c r="BD22" s="165">
        <v>34.410231400000001</v>
      </c>
      <c r="BE22" s="379"/>
      <c r="BF22" s="165">
        <v>47.098924799999999</v>
      </c>
      <c r="BG22" s="379"/>
      <c r="BH22" s="225"/>
      <c r="BI22" s="184"/>
      <c r="CJ22" s="150"/>
      <c r="CK22" s="150"/>
      <c r="CL22" s="150"/>
      <c r="CM22" s="151" t="s">
        <v>739</v>
      </c>
      <c r="CN22" s="150" t="s">
        <v>1130</v>
      </c>
      <c r="CO22" s="150"/>
      <c r="CP22" s="150"/>
      <c r="CQ22" s="150"/>
      <c r="CR22" s="150"/>
      <c r="CS22" s="150"/>
      <c r="CT22" s="150"/>
    </row>
    <row r="23" spans="1:98" s="12" customFormat="1" ht="12.75" customHeight="1">
      <c r="A23" s="310"/>
      <c r="B23" s="308" t="str">
        <f>Parameters!Q22</f>
        <v>C23</v>
      </c>
      <c r="C23" s="96"/>
      <c r="D23" s="495" t="str">
        <f>Parameters!S22</f>
        <v>Manufacture of other non-metallic mineral products</v>
      </c>
      <c r="E23" s="510"/>
      <c r="F23" s="224"/>
      <c r="G23" s="379"/>
      <c r="H23" s="228"/>
      <c r="I23" s="379"/>
      <c r="J23" s="228"/>
      <c r="K23" s="379"/>
      <c r="L23" s="228"/>
      <c r="M23" s="379"/>
      <c r="N23" s="228"/>
      <c r="O23" s="379"/>
      <c r="P23" s="228"/>
      <c r="Q23" s="379"/>
      <c r="R23" s="228"/>
      <c r="S23" s="379"/>
      <c r="T23" s="228"/>
      <c r="U23" s="379"/>
      <c r="V23" s="228"/>
      <c r="W23" s="379"/>
      <c r="X23" s="228"/>
      <c r="Y23" s="379"/>
      <c r="Z23" s="228"/>
      <c r="AA23" s="379"/>
      <c r="AB23" s="228"/>
      <c r="AC23" s="379"/>
      <c r="AD23" s="228"/>
      <c r="AE23" s="379"/>
      <c r="AF23" s="167">
        <v>1905.1866772999999</v>
      </c>
      <c r="AG23" s="379"/>
      <c r="AH23" s="167">
        <v>1801.3620177</v>
      </c>
      <c r="AI23" s="379"/>
      <c r="AJ23" s="167">
        <v>1852.4678492</v>
      </c>
      <c r="AK23" s="379"/>
      <c r="AL23" s="167">
        <v>1848.2470473000001</v>
      </c>
      <c r="AM23" s="379"/>
      <c r="AN23" s="167">
        <v>1800.4484933000001</v>
      </c>
      <c r="AO23" s="379"/>
      <c r="AP23" s="167">
        <v>1840.6082692</v>
      </c>
      <c r="AQ23" s="379"/>
      <c r="AR23" s="167">
        <v>1735.2561224999999</v>
      </c>
      <c r="AS23" s="379"/>
      <c r="AT23" s="167">
        <v>1693.4853957</v>
      </c>
      <c r="AU23" s="379"/>
      <c r="AV23" s="165">
        <v>1740.1829823999999</v>
      </c>
      <c r="AW23" s="379"/>
      <c r="AX23" s="165">
        <v>1877.6329157</v>
      </c>
      <c r="AY23" s="379"/>
      <c r="AZ23" s="165">
        <v>1822.0891214000001</v>
      </c>
      <c r="BA23" s="379"/>
      <c r="BB23" s="165">
        <v>1783.578137</v>
      </c>
      <c r="BC23" s="379"/>
      <c r="BD23" s="165">
        <v>1716.6852947</v>
      </c>
      <c r="BE23" s="379"/>
      <c r="BF23" s="165">
        <v>1706.3815191000001</v>
      </c>
      <c r="BG23" s="379"/>
      <c r="BH23" s="225"/>
      <c r="BI23" s="184"/>
      <c r="CJ23" s="150"/>
      <c r="CK23" s="150"/>
      <c r="CL23" s="150"/>
      <c r="CM23" s="151" t="s">
        <v>743</v>
      </c>
      <c r="CN23" s="150" t="s">
        <v>1130</v>
      </c>
      <c r="CO23" s="150"/>
      <c r="CP23" s="150"/>
      <c r="CQ23" s="150"/>
      <c r="CR23" s="150"/>
      <c r="CS23" s="150"/>
      <c r="CT23" s="150"/>
    </row>
    <row r="24" spans="1:98" s="12" customFormat="1" ht="24.75" customHeight="1">
      <c r="A24" s="26"/>
      <c r="B24" s="89" t="str">
        <f>Parameters!Q23</f>
        <v>C24_C25</v>
      </c>
      <c r="C24" s="90"/>
      <c r="D24" s="504" t="str">
        <f>Parameters!S23</f>
        <v>Manufacture of basic metals and fabricated metal products, except machinery and equipment</v>
      </c>
      <c r="E24" s="506"/>
      <c r="F24" s="252"/>
      <c r="G24" s="380"/>
      <c r="H24" s="253"/>
      <c r="I24" s="380"/>
      <c r="J24" s="253"/>
      <c r="K24" s="380"/>
      <c r="L24" s="253"/>
      <c r="M24" s="380"/>
      <c r="N24" s="253"/>
      <c r="O24" s="380"/>
      <c r="P24" s="253"/>
      <c r="Q24" s="380"/>
      <c r="R24" s="253"/>
      <c r="S24" s="380"/>
      <c r="T24" s="253"/>
      <c r="U24" s="380"/>
      <c r="V24" s="253"/>
      <c r="W24" s="380"/>
      <c r="X24" s="253"/>
      <c r="Y24" s="380"/>
      <c r="Z24" s="253"/>
      <c r="AA24" s="380"/>
      <c r="AB24" s="253"/>
      <c r="AC24" s="380"/>
      <c r="AD24" s="253"/>
      <c r="AE24" s="380"/>
      <c r="AF24" s="253">
        <v>4337.4356965999996</v>
      </c>
      <c r="AG24" s="380"/>
      <c r="AH24" s="253">
        <v>3299.5684698999999</v>
      </c>
      <c r="AI24" s="380"/>
      <c r="AJ24" s="253">
        <v>3800.1758174000001</v>
      </c>
      <c r="AK24" s="380"/>
      <c r="AL24" s="253">
        <v>3764.7260319000002</v>
      </c>
      <c r="AM24" s="380"/>
      <c r="AN24" s="253">
        <v>3728.4723408</v>
      </c>
      <c r="AO24" s="380"/>
      <c r="AP24" s="253">
        <v>3863.2243088999999</v>
      </c>
      <c r="AQ24" s="380"/>
      <c r="AR24" s="253">
        <v>3914.276867</v>
      </c>
      <c r="AS24" s="380"/>
      <c r="AT24" s="253">
        <v>3810.5783842999999</v>
      </c>
      <c r="AU24" s="380"/>
      <c r="AV24" s="253">
        <v>3901.4366054000002</v>
      </c>
      <c r="AW24" s="380"/>
      <c r="AX24" s="253">
        <v>4136.5948159999998</v>
      </c>
      <c r="AY24" s="380"/>
      <c r="AZ24" s="253">
        <v>4073.8364974000001</v>
      </c>
      <c r="BA24" s="380"/>
      <c r="BB24" s="253">
        <v>4130.0524815999997</v>
      </c>
      <c r="BC24" s="380"/>
      <c r="BD24" s="253">
        <v>4143.5501977000004</v>
      </c>
      <c r="BE24" s="380"/>
      <c r="BF24" s="253">
        <v>4339.9695444999998</v>
      </c>
      <c r="BG24" s="380"/>
      <c r="BH24" s="253"/>
      <c r="BI24" s="254"/>
      <c r="CJ24" s="150"/>
      <c r="CK24" s="150"/>
      <c r="CL24" s="150"/>
      <c r="CM24" s="151"/>
      <c r="CN24" s="150"/>
      <c r="CO24" s="150"/>
      <c r="CP24" s="150"/>
      <c r="CQ24" s="150"/>
      <c r="CR24" s="150"/>
      <c r="CS24" s="150"/>
      <c r="CT24" s="150"/>
    </row>
    <row r="25" spans="1:98" s="12" customFormat="1" ht="12.75" customHeight="1">
      <c r="A25" s="310"/>
      <c r="B25" s="308" t="str">
        <f>Parameters!Q24</f>
        <v>C24</v>
      </c>
      <c r="C25" s="96"/>
      <c r="D25" s="495" t="str">
        <f>Parameters!S24</f>
        <v>Manufacture of basic metals</v>
      </c>
      <c r="E25" s="496"/>
      <c r="F25" s="224"/>
      <c r="G25" s="379"/>
      <c r="H25" s="228"/>
      <c r="I25" s="379"/>
      <c r="J25" s="228"/>
      <c r="K25" s="379"/>
      <c r="L25" s="228"/>
      <c r="M25" s="379"/>
      <c r="N25" s="228"/>
      <c r="O25" s="379"/>
      <c r="P25" s="228"/>
      <c r="Q25" s="379"/>
      <c r="R25" s="228"/>
      <c r="S25" s="379"/>
      <c r="T25" s="228"/>
      <c r="U25" s="379"/>
      <c r="V25" s="228"/>
      <c r="W25" s="379"/>
      <c r="X25" s="228"/>
      <c r="Y25" s="379"/>
      <c r="Z25" s="228"/>
      <c r="AA25" s="379"/>
      <c r="AB25" s="228"/>
      <c r="AC25" s="379"/>
      <c r="AD25" s="228"/>
      <c r="AE25" s="379"/>
      <c r="AF25" s="167">
        <v>4302.5554700000002</v>
      </c>
      <c r="AG25" s="379"/>
      <c r="AH25" s="167">
        <v>3273.4570096000002</v>
      </c>
      <c r="AI25" s="379"/>
      <c r="AJ25" s="167">
        <v>3762.4450359000002</v>
      </c>
      <c r="AK25" s="379"/>
      <c r="AL25" s="167">
        <v>3735.5867659</v>
      </c>
      <c r="AM25" s="379"/>
      <c r="AN25" s="167">
        <v>3696.8993446999998</v>
      </c>
      <c r="AO25" s="379"/>
      <c r="AP25" s="167">
        <v>3833.4085808</v>
      </c>
      <c r="AQ25" s="379"/>
      <c r="AR25" s="167">
        <v>3890.3921148999998</v>
      </c>
      <c r="AS25" s="379"/>
      <c r="AT25" s="167">
        <v>3783.6041188999998</v>
      </c>
      <c r="AU25" s="379"/>
      <c r="AV25" s="165">
        <v>3874.3364873</v>
      </c>
      <c r="AW25" s="379"/>
      <c r="AX25" s="165">
        <v>4112.5147589999997</v>
      </c>
      <c r="AY25" s="379"/>
      <c r="AZ25" s="165">
        <v>4053.2381703000001</v>
      </c>
      <c r="BA25" s="379"/>
      <c r="BB25" s="165">
        <v>4102.3592296999996</v>
      </c>
      <c r="BC25" s="379"/>
      <c r="BD25" s="165">
        <v>4117.9591110000001</v>
      </c>
      <c r="BE25" s="379"/>
      <c r="BF25" s="165">
        <v>4312.9891343999998</v>
      </c>
      <c r="BG25" s="379"/>
      <c r="BH25" s="225"/>
      <c r="BI25" s="184"/>
      <c r="CJ25" s="150"/>
      <c r="CK25" s="150"/>
      <c r="CL25" s="150"/>
      <c r="CM25" s="151" t="s">
        <v>749</v>
      </c>
      <c r="CN25" s="150" t="s">
        <v>1130</v>
      </c>
      <c r="CO25" s="150"/>
      <c r="CP25" s="150"/>
      <c r="CQ25" s="150"/>
      <c r="CR25" s="150"/>
      <c r="CS25" s="150"/>
      <c r="CT25" s="150"/>
    </row>
    <row r="26" spans="1:98" s="11" customFormat="1" ht="12.75" customHeight="1">
      <c r="A26" s="310"/>
      <c r="B26" s="308" t="str">
        <f>Parameters!Q25</f>
        <v>C25</v>
      </c>
      <c r="C26" s="309"/>
      <c r="D26" s="495" t="str">
        <f>Parameters!S25</f>
        <v>Manufacture of fabricated metal products, except machinery and equipment</v>
      </c>
      <c r="E26" s="510"/>
      <c r="F26" s="224"/>
      <c r="G26" s="379"/>
      <c r="H26" s="225"/>
      <c r="I26" s="379"/>
      <c r="J26" s="225"/>
      <c r="K26" s="379"/>
      <c r="L26" s="225"/>
      <c r="M26" s="379"/>
      <c r="N26" s="225"/>
      <c r="O26" s="379"/>
      <c r="P26" s="225"/>
      <c r="Q26" s="379"/>
      <c r="R26" s="225"/>
      <c r="S26" s="379"/>
      <c r="T26" s="225"/>
      <c r="U26" s="379"/>
      <c r="V26" s="225"/>
      <c r="W26" s="379"/>
      <c r="X26" s="225"/>
      <c r="Y26" s="379"/>
      <c r="Z26" s="225"/>
      <c r="AA26" s="379"/>
      <c r="AB26" s="225"/>
      <c r="AC26" s="379"/>
      <c r="AD26" s="225"/>
      <c r="AE26" s="379"/>
      <c r="AF26" s="165">
        <v>34.8802266</v>
      </c>
      <c r="AG26" s="379"/>
      <c r="AH26" s="165">
        <v>26.111460300000001</v>
      </c>
      <c r="AI26" s="379"/>
      <c r="AJ26" s="165">
        <v>37.730781399999998</v>
      </c>
      <c r="AK26" s="379"/>
      <c r="AL26" s="165">
        <v>29.139265999999999</v>
      </c>
      <c r="AM26" s="379"/>
      <c r="AN26" s="165">
        <v>31.572996100000001</v>
      </c>
      <c r="AO26" s="379"/>
      <c r="AP26" s="165">
        <v>29.815728100000001</v>
      </c>
      <c r="AQ26" s="379"/>
      <c r="AR26" s="165">
        <v>23.8847521</v>
      </c>
      <c r="AS26" s="379"/>
      <c r="AT26" s="165">
        <v>26.9742654</v>
      </c>
      <c r="AU26" s="379"/>
      <c r="AV26" s="165">
        <v>27.100118200000001</v>
      </c>
      <c r="AW26" s="379"/>
      <c r="AX26" s="165">
        <v>24.080057</v>
      </c>
      <c r="AY26" s="379"/>
      <c r="AZ26" s="165">
        <v>20.598327099999999</v>
      </c>
      <c r="BA26" s="379"/>
      <c r="BB26" s="165">
        <v>27.693251799999999</v>
      </c>
      <c r="BC26" s="379"/>
      <c r="BD26" s="165">
        <v>25.591086799999999</v>
      </c>
      <c r="BE26" s="379"/>
      <c r="BF26" s="165">
        <v>26.9804101</v>
      </c>
      <c r="BG26" s="379"/>
      <c r="BH26" s="225"/>
      <c r="BI26" s="184"/>
      <c r="CJ26" s="150"/>
      <c r="CK26" s="150"/>
      <c r="CL26" s="150"/>
      <c r="CM26" s="151" t="s">
        <v>753</v>
      </c>
      <c r="CN26" s="150" t="s">
        <v>1130</v>
      </c>
      <c r="CO26" s="150"/>
      <c r="CP26" s="150"/>
      <c r="CQ26" s="150"/>
      <c r="CR26" s="150"/>
      <c r="CS26" s="150"/>
      <c r="CT26" s="150"/>
    </row>
    <row r="27" spans="1:98" s="11" customFormat="1" ht="12.75" customHeight="1">
      <c r="A27" s="26"/>
      <c r="B27" s="89" t="str">
        <f>Parameters!Q26</f>
        <v>C26</v>
      </c>
      <c r="C27" s="90"/>
      <c r="D27" s="504" t="str">
        <f>Parameters!S26</f>
        <v>Manufacture of computer, electronic and optical products</v>
      </c>
      <c r="E27" s="505"/>
      <c r="F27" s="226"/>
      <c r="G27" s="379"/>
      <c r="H27" s="227"/>
      <c r="I27" s="379"/>
      <c r="J27" s="227"/>
      <c r="K27" s="379"/>
      <c r="L27" s="227"/>
      <c r="M27" s="379"/>
      <c r="N27" s="227"/>
      <c r="O27" s="379"/>
      <c r="P27" s="227"/>
      <c r="Q27" s="379"/>
      <c r="R27" s="227"/>
      <c r="S27" s="379"/>
      <c r="T27" s="227"/>
      <c r="U27" s="379"/>
      <c r="V27" s="227"/>
      <c r="W27" s="379"/>
      <c r="X27" s="227"/>
      <c r="Y27" s="379"/>
      <c r="Z27" s="227"/>
      <c r="AA27" s="379"/>
      <c r="AB27" s="227"/>
      <c r="AC27" s="379"/>
      <c r="AD27" s="227"/>
      <c r="AE27" s="379"/>
      <c r="AF27" s="166">
        <v>0.74891660000000004</v>
      </c>
      <c r="AG27" s="379"/>
      <c r="AH27" s="166">
        <v>0.92356470000000002</v>
      </c>
      <c r="AI27" s="379"/>
      <c r="AJ27" s="166">
        <v>1.0605484000000001</v>
      </c>
      <c r="AK27" s="379"/>
      <c r="AL27" s="166">
        <v>0.51813690000000001</v>
      </c>
      <c r="AM27" s="379"/>
      <c r="AN27" s="166">
        <v>1.3674329000000001</v>
      </c>
      <c r="AO27" s="379"/>
      <c r="AP27" s="166">
        <v>0.99040689999999998</v>
      </c>
      <c r="AQ27" s="379"/>
      <c r="AR27" s="166">
        <v>0.67704180000000003</v>
      </c>
      <c r="AS27" s="379"/>
      <c r="AT27" s="166">
        <v>0.69020530000000002</v>
      </c>
      <c r="AU27" s="379"/>
      <c r="AV27" s="166">
        <v>0.66082059999999998</v>
      </c>
      <c r="AW27" s="379"/>
      <c r="AX27" s="166">
        <v>0.36156719999999998</v>
      </c>
      <c r="AY27" s="379"/>
      <c r="AZ27" s="166">
        <v>2.7236767999999998</v>
      </c>
      <c r="BA27" s="379"/>
      <c r="BB27" s="166">
        <v>1.0520763</v>
      </c>
      <c r="BC27" s="379"/>
      <c r="BD27" s="166">
        <v>1.8707826000000001</v>
      </c>
      <c r="BE27" s="379"/>
      <c r="BF27" s="166">
        <v>0.60264150000000005</v>
      </c>
      <c r="BG27" s="379"/>
      <c r="BH27" s="227"/>
      <c r="BI27" s="184"/>
      <c r="CJ27" s="150"/>
      <c r="CK27" s="150"/>
      <c r="CL27" s="150"/>
      <c r="CM27" s="151" t="s">
        <v>760</v>
      </c>
      <c r="CN27" s="150" t="s">
        <v>1130</v>
      </c>
      <c r="CO27" s="150"/>
      <c r="CP27" s="150"/>
      <c r="CQ27" s="150"/>
      <c r="CR27" s="150"/>
      <c r="CS27" s="150"/>
      <c r="CT27" s="150"/>
    </row>
    <row r="28" spans="1:98" s="12" customFormat="1" ht="12.75" customHeight="1">
      <c r="A28" s="26"/>
      <c r="B28" s="89" t="str">
        <f>Parameters!Q27</f>
        <v>C27</v>
      </c>
      <c r="C28" s="90"/>
      <c r="D28" s="504" t="str">
        <f>Parameters!S27</f>
        <v>Manufacture of electrical equipment</v>
      </c>
      <c r="E28" s="505"/>
      <c r="F28" s="226"/>
      <c r="G28" s="379"/>
      <c r="H28" s="227"/>
      <c r="I28" s="379"/>
      <c r="J28" s="227"/>
      <c r="K28" s="379"/>
      <c r="L28" s="227"/>
      <c r="M28" s="379"/>
      <c r="N28" s="227"/>
      <c r="O28" s="379"/>
      <c r="P28" s="227"/>
      <c r="Q28" s="379"/>
      <c r="R28" s="227"/>
      <c r="S28" s="379"/>
      <c r="T28" s="227"/>
      <c r="U28" s="379"/>
      <c r="V28" s="227"/>
      <c r="W28" s="379"/>
      <c r="X28" s="227"/>
      <c r="Y28" s="379"/>
      <c r="Z28" s="227"/>
      <c r="AA28" s="379"/>
      <c r="AB28" s="227"/>
      <c r="AC28" s="379"/>
      <c r="AD28" s="227"/>
      <c r="AE28" s="379"/>
      <c r="AF28" s="166">
        <v>11.718583499999999</v>
      </c>
      <c r="AG28" s="379"/>
      <c r="AH28" s="166">
        <v>7.9797115999999999</v>
      </c>
      <c r="AI28" s="379"/>
      <c r="AJ28" s="166">
        <v>9.0631526000000004</v>
      </c>
      <c r="AK28" s="379"/>
      <c r="AL28" s="166">
        <v>11.0792862</v>
      </c>
      <c r="AM28" s="379"/>
      <c r="AN28" s="166">
        <v>10.0864466</v>
      </c>
      <c r="AO28" s="379"/>
      <c r="AP28" s="166">
        <v>10.4781947</v>
      </c>
      <c r="AQ28" s="379"/>
      <c r="AR28" s="166">
        <v>6.8025177000000001</v>
      </c>
      <c r="AS28" s="379"/>
      <c r="AT28" s="166">
        <v>6.0630626000000003</v>
      </c>
      <c r="AU28" s="379"/>
      <c r="AV28" s="166">
        <v>6.0308599999999997</v>
      </c>
      <c r="AW28" s="379"/>
      <c r="AX28" s="166">
        <v>7.5118219000000002</v>
      </c>
      <c r="AY28" s="379"/>
      <c r="AZ28" s="166">
        <v>7.3802253999999996</v>
      </c>
      <c r="BA28" s="379"/>
      <c r="BB28" s="166">
        <v>6.1342347999999998</v>
      </c>
      <c r="BC28" s="379"/>
      <c r="BD28" s="166">
        <v>5.7352281999999999</v>
      </c>
      <c r="BE28" s="379"/>
      <c r="BF28" s="166">
        <v>4.0602454999999997</v>
      </c>
      <c r="BG28" s="379"/>
      <c r="BH28" s="227"/>
      <c r="BI28" s="184"/>
      <c r="CJ28" s="150"/>
      <c r="CK28" s="150"/>
      <c r="CL28" s="150"/>
      <c r="CM28" s="151" t="s">
        <v>763</v>
      </c>
      <c r="CN28" s="150" t="s">
        <v>1130</v>
      </c>
      <c r="CO28" s="150"/>
      <c r="CP28" s="150"/>
      <c r="CQ28" s="150"/>
      <c r="CR28" s="150"/>
      <c r="CS28" s="150"/>
      <c r="CT28" s="150"/>
    </row>
    <row r="29" spans="1:98" s="12" customFormat="1" ht="12.75" customHeight="1">
      <c r="A29" s="26"/>
      <c r="B29" s="89" t="str">
        <f>Parameters!Q28</f>
        <v>C28</v>
      </c>
      <c r="C29" s="90"/>
      <c r="D29" s="504" t="str">
        <f>Parameters!S28</f>
        <v>Manufacture of machinery and equipment n.e.c.</v>
      </c>
      <c r="E29" s="505"/>
      <c r="F29" s="226"/>
      <c r="G29" s="379"/>
      <c r="H29" s="227"/>
      <c r="I29" s="379"/>
      <c r="J29" s="227"/>
      <c r="K29" s="379"/>
      <c r="L29" s="227"/>
      <c r="M29" s="379"/>
      <c r="N29" s="227"/>
      <c r="O29" s="379"/>
      <c r="P29" s="227"/>
      <c r="Q29" s="379"/>
      <c r="R29" s="227"/>
      <c r="S29" s="379"/>
      <c r="T29" s="227"/>
      <c r="U29" s="379"/>
      <c r="V29" s="227"/>
      <c r="W29" s="379"/>
      <c r="X29" s="227"/>
      <c r="Y29" s="379"/>
      <c r="Z29" s="227"/>
      <c r="AA29" s="379"/>
      <c r="AB29" s="227"/>
      <c r="AC29" s="379"/>
      <c r="AD29" s="227"/>
      <c r="AE29" s="379"/>
      <c r="AF29" s="166">
        <v>28.516941500000001</v>
      </c>
      <c r="AG29" s="379"/>
      <c r="AH29" s="166">
        <v>26.862371499999998</v>
      </c>
      <c r="AI29" s="379"/>
      <c r="AJ29" s="166">
        <v>31.6629647</v>
      </c>
      <c r="AK29" s="379"/>
      <c r="AL29" s="166">
        <v>32.151531499999997</v>
      </c>
      <c r="AM29" s="379"/>
      <c r="AN29" s="166">
        <v>31.716827299999999</v>
      </c>
      <c r="AO29" s="379"/>
      <c r="AP29" s="166">
        <v>36.288475499999997</v>
      </c>
      <c r="AQ29" s="379"/>
      <c r="AR29" s="166">
        <v>31.3409893</v>
      </c>
      <c r="AS29" s="379"/>
      <c r="AT29" s="166">
        <v>30.514645900000001</v>
      </c>
      <c r="AU29" s="379"/>
      <c r="AV29" s="166">
        <v>22.274145799999999</v>
      </c>
      <c r="AW29" s="379"/>
      <c r="AX29" s="166">
        <v>20.840596099999999</v>
      </c>
      <c r="AY29" s="379"/>
      <c r="AZ29" s="166">
        <v>23.495579800000002</v>
      </c>
      <c r="BA29" s="379"/>
      <c r="BB29" s="166">
        <v>26.817014799999999</v>
      </c>
      <c r="BC29" s="379"/>
      <c r="BD29" s="166">
        <v>18.726476399999999</v>
      </c>
      <c r="BE29" s="379"/>
      <c r="BF29" s="166">
        <v>17.233373100000001</v>
      </c>
      <c r="BG29" s="379"/>
      <c r="BH29" s="227"/>
      <c r="BI29" s="184"/>
      <c r="CJ29" s="150"/>
      <c r="CK29" s="150"/>
      <c r="CL29" s="150"/>
      <c r="CM29" s="151" t="s">
        <v>768</v>
      </c>
      <c r="CN29" s="150" t="s">
        <v>1130</v>
      </c>
      <c r="CO29" s="150"/>
      <c r="CP29" s="150"/>
      <c r="CQ29" s="150"/>
      <c r="CR29" s="150"/>
      <c r="CS29" s="150"/>
      <c r="CT29" s="150"/>
    </row>
    <row r="30" spans="1:98" s="12" customFormat="1" ht="12.75" customHeight="1">
      <c r="A30" s="26"/>
      <c r="B30" s="89" t="str">
        <f>Parameters!Q29</f>
        <v>C29_C30</v>
      </c>
      <c r="C30" s="90"/>
      <c r="D30" s="504" t="str">
        <f>Parameters!S29</f>
        <v>Manufacture of motor vehicles, trailers, semi-trailers and of other transport equipment</v>
      </c>
      <c r="E30" s="506"/>
      <c r="F30" s="252"/>
      <c r="G30" s="380"/>
      <c r="H30" s="253"/>
      <c r="I30" s="380"/>
      <c r="J30" s="253"/>
      <c r="K30" s="380"/>
      <c r="L30" s="253"/>
      <c r="M30" s="380"/>
      <c r="N30" s="253"/>
      <c r="O30" s="380"/>
      <c r="P30" s="253"/>
      <c r="Q30" s="380"/>
      <c r="R30" s="253"/>
      <c r="S30" s="380"/>
      <c r="T30" s="253"/>
      <c r="U30" s="380"/>
      <c r="V30" s="253"/>
      <c r="W30" s="380"/>
      <c r="X30" s="253"/>
      <c r="Y30" s="380"/>
      <c r="Z30" s="253"/>
      <c r="AA30" s="380"/>
      <c r="AB30" s="253"/>
      <c r="AC30" s="380"/>
      <c r="AD30" s="253"/>
      <c r="AE30" s="380"/>
      <c r="AF30" s="253">
        <v>58.197031699999997</v>
      </c>
      <c r="AG30" s="380"/>
      <c r="AH30" s="253">
        <v>38.179672199999999</v>
      </c>
      <c r="AI30" s="380"/>
      <c r="AJ30" s="253">
        <v>50.639087000000004</v>
      </c>
      <c r="AK30" s="380"/>
      <c r="AL30" s="253">
        <v>41.742303399999997</v>
      </c>
      <c r="AM30" s="380"/>
      <c r="AN30" s="253">
        <v>47.256268499999997</v>
      </c>
      <c r="AO30" s="380"/>
      <c r="AP30" s="253">
        <v>46.689868599999997</v>
      </c>
      <c r="AQ30" s="380"/>
      <c r="AR30" s="253">
        <v>39.098102400000002</v>
      </c>
      <c r="AS30" s="380"/>
      <c r="AT30" s="253">
        <v>26.177757799999998</v>
      </c>
      <c r="AU30" s="380"/>
      <c r="AV30" s="253">
        <v>21.239552499999999</v>
      </c>
      <c r="AW30" s="380"/>
      <c r="AX30" s="253">
        <v>23.8071603</v>
      </c>
      <c r="AY30" s="380"/>
      <c r="AZ30" s="253">
        <v>25.289867300000001</v>
      </c>
      <c r="BA30" s="380"/>
      <c r="BB30" s="253">
        <v>37.878627399999999</v>
      </c>
      <c r="BC30" s="380"/>
      <c r="BD30" s="253">
        <v>26.490681200000001</v>
      </c>
      <c r="BE30" s="380"/>
      <c r="BF30" s="253">
        <v>43.517541100000003</v>
      </c>
      <c r="BG30" s="380"/>
      <c r="BH30" s="253"/>
      <c r="BI30" s="254"/>
      <c r="CJ30" s="150"/>
      <c r="CK30" s="150"/>
      <c r="CL30" s="150"/>
      <c r="CM30" s="151"/>
      <c r="CN30" s="150"/>
      <c r="CO30" s="150"/>
      <c r="CP30" s="150"/>
      <c r="CQ30" s="150"/>
      <c r="CR30" s="150"/>
      <c r="CS30" s="150"/>
      <c r="CT30" s="150"/>
    </row>
    <row r="31" spans="1:98" s="12" customFormat="1" ht="12.75" customHeight="1">
      <c r="A31" s="310"/>
      <c r="B31" s="308" t="str">
        <f>Parameters!Q30</f>
        <v>C29</v>
      </c>
      <c r="C31" s="309"/>
      <c r="D31" s="495" t="str">
        <f>Parameters!S30</f>
        <v>Manufacture of motor vehicles, trailers and semi-trailers</v>
      </c>
      <c r="E31" s="496"/>
      <c r="F31" s="224"/>
      <c r="G31" s="379"/>
      <c r="H31" s="225"/>
      <c r="I31" s="379"/>
      <c r="J31" s="225"/>
      <c r="K31" s="379"/>
      <c r="L31" s="225"/>
      <c r="M31" s="379"/>
      <c r="N31" s="225"/>
      <c r="O31" s="379"/>
      <c r="P31" s="225"/>
      <c r="Q31" s="379"/>
      <c r="R31" s="225"/>
      <c r="S31" s="379"/>
      <c r="T31" s="225"/>
      <c r="U31" s="379"/>
      <c r="V31" s="225"/>
      <c r="W31" s="379"/>
      <c r="X31" s="225"/>
      <c r="Y31" s="379"/>
      <c r="Z31" s="225"/>
      <c r="AA31" s="379"/>
      <c r="AB31" s="225"/>
      <c r="AC31" s="379"/>
      <c r="AD31" s="225"/>
      <c r="AE31" s="379"/>
      <c r="AF31" s="165">
        <v>13.235890700000001</v>
      </c>
      <c r="AG31" s="379"/>
      <c r="AH31" s="165">
        <v>7.6218073999999998</v>
      </c>
      <c r="AI31" s="379"/>
      <c r="AJ31" s="165">
        <v>20.976866099999999</v>
      </c>
      <c r="AK31" s="379"/>
      <c r="AL31" s="165">
        <v>13.543984500000001</v>
      </c>
      <c r="AM31" s="379"/>
      <c r="AN31" s="165">
        <v>14.207674799999999</v>
      </c>
      <c r="AO31" s="379"/>
      <c r="AP31" s="165">
        <v>13.311948900000001</v>
      </c>
      <c r="AQ31" s="379"/>
      <c r="AR31" s="165">
        <v>14.076884099999999</v>
      </c>
      <c r="AS31" s="379"/>
      <c r="AT31" s="165">
        <v>3.3043771999999998</v>
      </c>
      <c r="AU31" s="379"/>
      <c r="AV31" s="165">
        <v>2.4846773</v>
      </c>
      <c r="AW31" s="379"/>
      <c r="AX31" s="165">
        <v>3.9386024000000002</v>
      </c>
      <c r="AY31" s="379"/>
      <c r="AZ31" s="165">
        <v>3.8274301999999998</v>
      </c>
      <c r="BA31" s="379"/>
      <c r="BB31" s="165">
        <v>3.4681696</v>
      </c>
      <c r="BC31" s="379"/>
      <c r="BD31" s="165">
        <v>2.6959835999999999</v>
      </c>
      <c r="BE31" s="379"/>
      <c r="BF31" s="165">
        <v>5.0746604</v>
      </c>
      <c r="BG31" s="379"/>
      <c r="BH31" s="225"/>
      <c r="BI31" s="184"/>
      <c r="CJ31" s="150"/>
      <c r="CK31" s="150"/>
      <c r="CL31" s="150"/>
      <c r="CM31" s="151" t="s">
        <v>779</v>
      </c>
      <c r="CN31" s="150" t="s">
        <v>1130</v>
      </c>
      <c r="CO31" s="150"/>
      <c r="CP31" s="150"/>
      <c r="CQ31" s="150"/>
      <c r="CR31" s="150"/>
      <c r="CS31" s="150"/>
      <c r="CT31" s="150"/>
    </row>
    <row r="32" spans="1:98" s="12" customFormat="1" ht="12.75" customHeight="1">
      <c r="A32" s="310"/>
      <c r="B32" s="308" t="str">
        <f>Parameters!Q31</f>
        <v>C30</v>
      </c>
      <c r="C32" s="309"/>
      <c r="D32" s="495" t="str">
        <f>Parameters!S31</f>
        <v>Manufacture of other transport equipment</v>
      </c>
      <c r="E32" s="496"/>
      <c r="F32" s="224"/>
      <c r="G32" s="379"/>
      <c r="H32" s="225"/>
      <c r="I32" s="379"/>
      <c r="J32" s="225"/>
      <c r="K32" s="379"/>
      <c r="L32" s="225"/>
      <c r="M32" s="379"/>
      <c r="N32" s="225"/>
      <c r="O32" s="379"/>
      <c r="P32" s="225"/>
      <c r="Q32" s="379"/>
      <c r="R32" s="225"/>
      <c r="S32" s="379"/>
      <c r="T32" s="225"/>
      <c r="U32" s="379"/>
      <c r="V32" s="225"/>
      <c r="W32" s="379"/>
      <c r="X32" s="225"/>
      <c r="Y32" s="379"/>
      <c r="Z32" s="225"/>
      <c r="AA32" s="379"/>
      <c r="AB32" s="225"/>
      <c r="AC32" s="379"/>
      <c r="AD32" s="225"/>
      <c r="AE32" s="379"/>
      <c r="AF32" s="165">
        <v>44.961140999999998</v>
      </c>
      <c r="AG32" s="379"/>
      <c r="AH32" s="165">
        <v>30.557864800000001</v>
      </c>
      <c r="AI32" s="379"/>
      <c r="AJ32" s="165">
        <v>29.6622208</v>
      </c>
      <c r="AK32" s="379"/>
      <c r="AL32" s="165">
        <v>28.1983189</v>
      </c>
      <c r="AM32" s="379"/>
      <c r="AN32" s="165">
        <v>33.048593699999998</v>
      </c>
      <c r="AO32" s="379"/>
      <c r="AP32" s="165">
        <v>33.3779197</v>
      </c>
      <c r="AQ32" s="379"/>
      <c r="AR32" s="165">
        <v>25.021218300000001</v>
      </c>
      <c r="AS32" s="379"/>
      <c r="AT32" s="165">
        <v>22.873380600000001</v>
      </c>
      <c r="AU32" s="379"/>
      <c r="AV32" s="165">
        <v>18.754875299999998</v>
      </c>
      <c r="AW32" s="379"/>
      <c r="AX32" s="165">
        <v>19.868557899999999</v>
      </c>
      <c r="AY32" s="379"/>
      <c r="AZ32" s="165">
        <v>21.4624372</v>
      </c>
      <c r="BA32" s="379"/>
      <c r="BB32" s="165">
        <v>34.410457800000003</v>
      </c>
      <c r="BC32" s="379"/>
      <c r="BD32" s="165">
        <v>23.794697599999999</v>
      </c>
      <c r="BE32" s="379"/>
      <c r="BF32" s="165">
        <v>38.442880700000003</v>
      </c>
      <c r="BG32" s="379"/>
      <c r="BH32" s="225"/>
      <c r="BI32" s="184"/>
      <c r="CJ32" s="150"/>
      <c r="CK32" s="150"/>
      <c r="CL32" s="150"/>
      <c r="CM32" s="151" t="s">
        <v>788</v>
      </c>
      <c r="CN32" s="150" t="s">
        <v>1130</v>
      </c>
      <c r="CO32" s="150"/>
      <c r="CP32" s="150"/>
      <c r="CQ32" s="150"/>
      <c r="CR32" s="150"/>
      <c r="CS32" s="150"/>
      <c r="CT32" s="150"/>
    </row>
    <row r="33" spans="1:98" s="12" customFormat="1" ht="25.5" customHeight="1">
      <c r="A33" s="26"/>
      <c r="B33" s="89" t="str">
        <f>Parameters!Q32</f>
        <v>C31-C33</v>
      </c>
      <c r="C33" s="90"/>
      <c r="D33" s="504" t="str">
        <f>Parameters!S32</f>
        <v>Manufacture of furniture; jewellery, musical instruments, toys; repair and installation of machinery and equipment</v>
      </c>
      <c r="E33" s="506"/>
      <c r="F33" s="252"/>
      <c r="G33" s="380"/>
      <c r="H33" s="253"/>
      <c r="I33" s="380"/>
      <c r="J33" s="253"/>
      <c r="K33" s="380"/>
      <c r="L33" s="253"/>
      <c r="M33" s="380"/>
      <c r="N33" s="253"/>
      <c r="O33" s="380"/>
      <c r="P33" s="253"/>
      <c r="Q33" s="380"/>
      <c r="R33" s="253"/>
      <c r="S33" s="380"/>
      <c r="T33" s="253"/>
      <c r="U33" s="380"/>
      <c r="V33" s="253"/>
      <c r="W33" s="380"/>
      <c r="X33" s="253"/>
      <c r="Y33" s="380"/>
      <c r="Z33" s="253"/>
      <c r="AA33" s="380"/>
      <c r="AB33" s="253"/>
      <c r="AC33" s="380"/>
      <c r="AD33" s="253"/>
      <c r="AE33" s="380"/>
      <c r="AF33" s="253">
        <v>31.301924899999999</v>
      </c>
      <c r="AG33" s="380"/>
      <c r="AH33" s="253">
        <v>32.664271800000002</v>
      </c>
      <c r="AI33" s="380"/>
      <c r="AJ33" s="253">
        <v>47.826566300000003</v>
      </c>
      <c r="AK33" s="380"/>
      <c r="AL33" s="253">
        <v>39.289161100000001</v>
      </c>
      <c r="AM33" s="380"/>
      <c r="AN33" s="253">
        <v>33.4474333</v>
      </c>
      <c r="AO33" s="380"/>
      <c r="AP33" s="253">
        <v>28.500571099999998</v>
      </c>
      <c r="AQ33" s="380"/>
      <c r="AR33" s="253">
        <v>35.336879699999997</v>
      </c>
      <c r="AS33" s="380"/>
      <c r="AT33" s="253">
        <v>37.862634999999997</v>
      </c>
      <c r="AU33" s="380"/>
      <c r="AV33" s="253">
        <v>38.868894099999999</v>
      </c>
      <c r="AW33" s="380"/>
      <c r="AX33" s="253">
        <v>28.775266800000001</v>
      </c>
      <c r="AY33" s="380"/>
      <c r="AZ33" s="253">
        <v>32.466072199999999</v>
      </c>
      <c r="BA33" s="380"/>
      <c r="BB33" s="253">
        <v>38.014354900000001</v>
      </c>
      <c r="BC33" s="380"/>
      <c r="BD33" s="253">
        <v>40.127473999999999</v>
      </c>
      <c r="BE33" s="380"/>
      <c r="BF33" s="253">
        <v>39.261320900000001</v>
      </c>
      <c r="BG33" s="380"/>
      <c r="BH33" s="253"/>
      <c r="BI33" s="254"/>
      <c r="CJ33" s="150"/>
      <c r="CK33" s="150"/>
      <c r="CL33" s="150"/>
      <c r="CM33" s="151"/>
      <c r="CN33" s="150"/>
      <c r="CO33" s="150"/>
      <c r="CP33" s="150"/>
      <c r="CQ33" s="150"/>
      <c r="CR33" s="150"/>
      <c r="CS33" s="150"/>
      <c r="CT33" s="150"/>
    </row>
    <row r="34" spans="1:98" s="12" customFormat="1" ht="12.75" customHeight="1">
      <c r="A34" s="310"/>
      <c r="B34" s="308" t="str">
        <f>Parameters!Q33</f>
        <v>C31_C32</v>
      </c>
      <c r="C34" s="309"/>
      <c r="D34" s="495" t="str">
        <f>Parameters!S33</f>
        <v>Manufacture of furniture; other manufacturing</v>
      </c>
      <c r="E34" s="496"/>
      <c r="F34" s="224"/>
      <c r="G34" s="379"/>
      <c r="H34" s="225"/>
      <c r="I34" s="379"/>
      <c r="J34" s="225"/>
      <c r="K34" s="379"/>
      <c r="L34" s="225"/>
      <c r="M34" s="379"/>
      <c r="N34" s="225"/>
      <c r="O34" s="379"/>
      <c r="P34" s="225"/>
      <c r="Q34" s="379"/>
      <c r="R34" s="225"/>
      <c r="S34" s="379"/>
      <c r="T34" s="225"/>
      <c r="U34" s="379"/>
      <c r="V34" s="225"/>
      <c r="W34" s="379"/>
      <c r="X34" s="225"/>
      <c r="Y34" s="379"/>
      <c r="Z34" s="225"/>
      <c r="AA34" s="379"/>
      <c r="AB34" s="225"/>
      <c r="AC34" s="379"/>
      <c r="AD34" s="225"/>
      <c r="AE34" s="379"/>
      <c r="AF34" s="165">
        <v>13.993333399999999</v>
      </c>
      <c r="AG34" s="379"/>
      <c r="AH34" s="165">
        <v>10.2402827</v>
      </c>
      <c r="AI34" s="379"/>
      <c r="AJ34" s="165">
        <v>15.882744000000001</v>
      </c>
      <c r="AK34" s="379"/>
      <c r="AL34" s="165">
        <v>11.847225699999999</v>
      </c>
      <c r="AM34" s="379"/>
      <c r="AN34" s="165">
        <v>10.723909799999999</v>
      </c>
      <c r="AO34" s="379"/>
      <c r="AP34" s="165">
        <v>10.7131317</v>
      </c>
      <c r="AQ34" s="379"/>
      <c r="AR34" s="165">
        <v>10.492207499999999</v>
      </c>
      <c r="AS34" s="379"/>
      <c r="AT34" s="165">
        <v>7.6077278000000002</v>
      </c>
      <c r="AU34" s="379"/>
      <c r="AV34" s="165">
        <v>9.2862300999999992</v>
      </c>
      <c r="AW34" s="379"/>
      <c r="AX34" s="165">
        <v>8.2793521000000005</v>
      </c>
      <c r="AY34" s="379"/>
      <c r="AZ34" s="165">
        <v>8.5408611000000008</v>
      </c>
      <c r="BA34" s="379"/>
      <c r="BB34" s="165">
        <v>7.0954623999999997</v>
      </c>
      <c r="BC34" s="379"/>
      <c r="BD34" s="165">
        <v>9.0824949000000004</v>
      </c>
      <c r="BE34" s="379"/>
      <c r="BF34" s="165">
        <v>8.0705080000000002</v>
      </c>
      <c r="BG34" s="379"/>
      <c r="BH34" s="225"/>
      <c r="BI34" s="184"/>
      <c r="CJ34" s="150"/>
      <c r="CK34" s="150"/>
      <c r="CL34" s="150"/>
      <c r="CM34" s="151" t="s">
        <v>1137</v>
      </c>
      <c r="CN34" s="150" t="s">
        <v>1130</v>
      </c>
      <c r="CO34" s="150"/>
      <c r="CP34" s="150"/>
      <c r="CQ34" s="150"/>
      <c r="CR34" s="150"/>
      <c r="CS34" s="150"/>
      <c r="CT34" s="150"/>
    </row>
    <row r="35" spans="1:98" s="11" customFormat="1" ht="12.75" customHeight="1">
      <c r="A35" s="310"/>
      <c r="B35" s="308" t="str">
        <f>Parameters!Q34</f>
        <v>C33</v>
      </c>
      <c r="C35" s="309"/>
      <c r="D35" s="495" t="str">
        <f>Parameters!S34</f>
        <v>Repair and installation of machinery and equipment</v>
      </c>
      <c r="E35" s="510"/>
      <c r="F35" s="224"/>
      <c r="G35" s="379"/>
      <c r="H35" s="225"/>
      <c r="I35" s="379"/>
      <c r="J35" s="225"/>
      <c r="K35" s="379"/>
      <c r="L35" s="225"/>
      <c r="M35" s="379"/>
      <c r="N35" s="225"/>
      <c r="O35" s="379"/>
      <c r="P35" s="225"/>
      <c r="Q35" s="379"/>
      <c r="R35" s="225"/>
      <c r="S35" s="379"/>
      <c r="T35" s="225"/>
      <c r="U35" s="379"/>
      <c r="V35" s="225"/>
      <c r="W35" s="379"/>
      <c r="X35" s="225"/>
      <c r="Y35" s="379"/>
      <c r="Z35" s="225"/>
      <c r="AA35" s="379"/>
      <c r="AB35" s="225"/>
      <c r="AC35" s="379"/>
      <c r="AD35" s="225"/>
      <c r="AE35" s="379"/>
      <c r="AF35" s="165">
        <v>17.308591499999999</v>
      </c>
      <c r="AG35" s="379"/>
      <c r="AH35" s="165">
        <v>22.4239891</v>
      </c>
      <c r="AI35" s="379"/>
      <c r="AJ35" s="165">
        <v>31.943822300000001</v>
      </c>
      <c r="AK35" s="379"/>
      <c r="AL35" s="165">
        <v>27.441935300000001</v>
      </c>
      <c r="AM35" s="379"/>
      <c r="AN35" s="165">
        <v>22.723523499999999</v>
      </c>
      <c r="AO35" s="379"/>
      <c r="AP35" s="165">
        <v>17.7874394</v>
      </c>
      <c r="AQ35" s="379"/>
      <c r="AR35" s="165">
        <v>24.844672200000002</v>
      </c>
      <c r="AS35" s="379"/>
      <c r="AT35" s="165">
        <v>30.2549071</v>
      </c>
      <c r="AU35" s="379"/>
      <c r="AV35" s="165">
        <v>29.582664000000001</v>
      </c>
      <c r="AW35" s="379"/>
      <c r="AX35" s="165">
        <v>20.4959147</v>
      </c>
      <c r="AY35" s="379"/>
      <c r="AZ35" s="165">
        <v>23.925211099999999</v>
      </c>
      <c r="BA35" s="379"/>
      <c r="BB35" s="165">
        <v>30.9188926</v>
      </c>
      <c r="BC35" s="379"/>
      <c r="BD35" s="165">
        <v>31.0449792</v>
      </c>
      <c r="BE35" s="379"/>
      <c r="BF35" s="165">
        <v>31.190812900000001</v>
      </c>
      <c r="BG35" s="379"/>
      <c r="BH35" s="225"/>
      <c r="BI35" s="184"/>
      <c r="CJ35" s="150"/>
      <c r="CK35" s="150"/>
      <c r="CL35" s="150"/>
      <c r="CM35" s="151" t="s">
        <v>810</v>
      </c>
      <c r="CN35" s="150" t="s">
        <v>1130</v>
      </c>
      <c r="CO35" s="150"/>
      <c r="CP35" s="150"/>
      <c r="CQ35" s="150"/>
      <c r="CR35" s="150"/>
      <c r="CS35" s="150"/>
      <c r="CT35" s="150"/>
    </row>
    <row r="36" spans="1:98" s="10" customFormat="1" ht="12.75" customHeight="1">
      <c r="A36" s="25"/>
      <c r="B36" s="87" t="str">
        <f>Parameters!Q35</f>
        <v>D</v>
      </c>
      <c r="C36" s="88"/>
      <c r="D36" s="498" t="str">
        <f>Parameters!S35</f>
        <v>Electricity, gas, steam and air conditioning supply</v>
      </c>
      <c r="E36" s="496"/>
      <c r="F36" s="222"/>
      <c r="G36" s="379"/>
      <c r="H36" s="223"/>
      <c r="I36" s="379"/>
      <c r="J36" s="223"/>
      <c r="K36" s="379"/>
      <c r="L36" s="223"/>
      <c r="M36" s="379"/>
      <c r="N36" s="223"/>
      <c r="O36" s="379"/>
      <c r="P36" s="223"/>
      <c r="Q36" s="379"/>
      <c r="R36" s="223"/>
      <c r="S36" s="379"/>
      <c r="T36" s="223"/>
      <c r="U36" s="379"/>
      <c r="V36" s="223"/>
      <c r="W36" s="379"/>
      <c r="X36" s="223"/>
      <c r="Y36" s="379"/>
      <c r="Z36" s="223"/>
      <c r="AA36" s="379"/>
      <c r="AB36" s="223"/>
      <c r="AC36" s="379"/>
      <c r="AD36" s="223"/>
      <c r="AE36" s="379"/>
      <c r="AF36" s="164">
        <v>783.29413280000006</v>
      </c>
      <c r="AG36" s="379"/>
      <c r="AH36" s="164">
        <v>1985.2028571000001</v>
      </c>
      <c r="AI36" s="379"/>
      <c r="AJ36" s="164">
        <v>2442.1970777000001</v>
      </c>
      <c r="AK36" s="379"/>
      <c r="AL36" s="164">
        <v>2237.5207870999998</v>
      </c>
      <c r="AM36" s="379"/>
      <c r="AN36" s="164">
        <v>1715.2090166</v>
      </c>
      <c r="AO36" s="379"/>
      <c r="AP36" s="164">
        <v>1732.3104358999999</v>
      </c>
      <c r="AQ36" s="379"/>
      <c r="AR36" s="164">
        <v>1695.9682674000001</v>
      </c>
      <c r="AS36" s="379"/>
      <c r="AT36" s="164">
        <v>1681.533533</v>
      </c>
      <c r="AU36" s="379"/>
      <c r="AV36" s="164">
        <v>1638.2692482</v>
      </c>
      <c r="AW36" s="379"/>
      <c r="AX36" s="164">
        <v>1780.5147583999999</v>
      </c>
      <c r="AY36" s="379"/>
      <c r="AZ36" s="164">
        <v>1735.5961562</v>
      </c>
      <c r="BA36" s="379"/>
      <c r="BB36" s="164">
        <v>1625.4537938999999</v>
      </c>
      <c r="BC36" s="379"/>
      <c r="BD36" s="164">
        <v>1560.2770504</v>
      </c>
      <c r="BE36" s="379"/>
      <c r="BF36" s="164">
        <v>1613.4259380999999</v>
      </c>
      <c r="BG36" s="379"/>
      <c r="BH36" s="223"/>
      <c r="BI36" s="184"/>
      <c r="CJ36" s="150"/>
      <c r="CK36" s="150"/>
      <c r="CL36" s="150"/>
      <c r="CM36" s="151" t="s">
        <v>275</v>
      </c>
      <c r="CN36" s="150" t="s">
        <v>1130</v>
      </c>
      <c r="CO36" s="150"/>
      <c r="CP36" s="150"/>
      <c r="CQ36" s="150"/>
      <c r="CR36" s="150"/>
      <c r="CS36" s="150"/>
      <c r="CT36" s="150"/>
    </row>
    <row r="37" spans="1:98" s="10" customFormat="1">
      <c r="A37" s="25"/>
      <c r="B37" s="87" t="str">
        <f>Parameters!Q36</f>
        <v>E</v>
      </c>
      <c r="C37" s="88"/>
      <c r="D37" s="498" t="str">
        <f>Parameters!S36</f>
        <v>Water supply; sewerage, waste management and remediation activities</v>
      </c>
      <c r="E37" s="499"/>
      <c r="F37" s="222"/>
      <c r="G37" s="379"/>
      <c r="H37" s="223"/>
      <c r="I37" s="379"/>
      <c r="J37" s="223"/>
      <c r="K37" s="379"/>
      <c r="L37" s="223"/>
      <c r="M37" s="379"/>
      <c r="N37" s="223"/>
      <c r="O37" s="379"/>
      <c r="P37" s="223"/>
      <c r="Q37" s="379"/>
      <c r="R37" s="223"/>
      <c r="S37" s="379"/>
      <c r="T37" s="223"/>
      <c r="U37" s="379"/>
      <c r="V37" s="223"/>
      <c r="W37" s="379"/>
      <c r="X37" s="223"/>
      <c r="Y37" s="379"/>
      <c r="Z37" s="223"/>
      <c r="AA37" s="379"/>
      <c r="AB37" s="223"/>
      <c r="AC37" s="379"/>
      <c r="AD37" s="223"/>
      <c r="AE37" s="379"/>
      <c r="AF37" s="164">
        <v>224.64552610000001</v>
      </c>
      <c r="AG37" s="379"/>
      <c r="AH37" s="164">
        <v>197.16156889999999</v>
      </c>
      <c r="AI37" s="379"/>
      <c r="AJ37" s="164">
        <v>182.1418324</v>
      </c>
      <c r="AK37" s="379"/>
      <c r="AL37" s="164">
        <v>218.34766930000001</v>
      </c>
      <c r="AM37" s="379"/>
      <c r="AN37" s="164">
        <v>221.4974656</v>
      </c>
      <c r="AO37" s="379"/>
      <c r="AP37" s="164">
        <v>231.84133919999999</v>
      </c>
      <c r="AQ37" s="379"/>
      <c r="AR37" s="164">
        <v>238.6119813</v>
      </c>
      <c r="AS37" s="379"/>
      <c r="AT37" s="164">
        <v>269.3326141</v>
      </c>
      <c r="AU37" s="379"/>
      <c r="AV37" s="164">
        <v>277.91123499999998</v>
      </c>
      <c r="AW37" s="379"/>
      <c r="AX37" s="164">
        <v>268.84931560000001</v>
      </c>
      <c r="AY37" s="379"/>
      <c r="AZ37" s="164">
        <v>276.4578381</v>
      </c>
      <c r="BA37" s="379"/>
      <c r="BB37" s="164">
        <v>258.6652014</v>
      </c>
      <c r="BC37" s="379"/>
      <c r="BD37" s="164">
        <v>259.24585339999999</v>
      </c>
      <c r="BE37" s="379"/>
      <c r="BF37" s="164">
        <v>283.8044524</v>
      </c>
      <c r="BG37" s="379"/>
      <c r="BH37" s="223"/>
      <c r="BI37" s="184"/>
      <c r="CJ37" s="150"/>
      <c r="CK37" s="150"/>
      <c r="CL37" s="150"/>
      <c r="CM37" s="151" t="s">
        <v>269</v>
      </c>
      <c r="CN37" s="150" t="s">
        <v>1130</v>
      </c>
      <c r="CO37" s="150"/>
      <c r="CP37" s="150"/>
      <c r="CQ37" s="150"/>
      <c r="CR37" s="150"/>
      <c r="CS37" s="150"/>
      <c r="CT37" s="150"/>
    </row>
    <row r="38" spans="1:98" s="11" customFormat="1" ht="12.75" customHeight="1">
      <c r="A38" s="310"/>
      <c r="B38" s="308" t="str">
        <f>Parameters!Q37</f>
        <v>E36</v>
      </c>
      <c r="C38" s="309"/>
      <c r="D38" s="495" t="str">
        <f>Parameters!S37</f>
        <v>Water collection, treatment and supply</v>
      </c>
      <c r="E38" s="510"/>
      <c r="F38" s="224"/>
      <c r="G38" s="379"/>
      <c r="H38" s="225"/>
      <c r="I38" s="379"/>
      <c r="J38" s="225"/>
      <c r="K38" s="379"/>
      <c r="L38" s="225"/>
      <c r="M38" s="379"/>
      <c r="N38" s="225"/>
      <c r="O38" s="379"/>
      <c r="P38" s="225"/>
      <c r="Q38" s="379"/>
      <c r="R38" s="225"/>
      <c r="S38" s="379"/>
      <c r="T38" s="225"/>
      <c r="U38" s="379"/>
      <c r="V38" s="225"/>
      <c r="W38" s="379"/>
      <c r="X38" s="225"/>
      <c r="Y38" s="379"/>
      <c r="Z38" s="225"/>
      <c r="AA38" s="379"/>
      <c r="AB38" s="225"/>
      <c r="AC38" s="379"/>
      <c r="AD38" s="225"/>
      <c r="AE38" s="379"/>
      <c r="AF38" s="165">
        <v>1.5438631</v>
      </c>
      <c r="AG38" s="379"/>
      <c r="AH38" s="165">
        <v>1.6141099999999999</v>
      </c>
      <c r="AI38" s="379"/>
      <c r="AJ38" s="165">
        <v>3.4313627000000002</v>
      </c>
      <c r="AK38" s="379"/>
      <c r="AL38" s="165">
        <v>2.4884457000000002</v>
      </c>
      <c r="AM38" s="379"/>
      <c r="AN38" s="165">
        <v>2.0869920999999998</v>
      </c>
      <c r="AO38" s="379"/>
      <c r="AP38" s="165">
        <v>2.4524503000000002</v>
      </c>
      <c r="AQ38" s="379"/>
      <c r="AR38" s="165">
        <v>2.7626707000000001</v>
      </c>
      <c r="AS38" s="379"/>
      <c r="AT38" s="165">
        <v>3.6860553999999999</v>
      </c>
      <c r="AU38" s="379"/>
      <c r="AV38" s="165">
        <v>3.7248681000000001</v>
      </c>
      <c r="AW38" s="379"/>
      <c r="AX38" s="165">
        <v>1.8366377</v>
      </c>
      <c r="AY38" s="379"/>
      <c r="AZ38" s="165">
        <v>1.8211801000000001</v>
      </c>
      <c r="BA38" s="379"/>
      <c r="BB38" s="165">
        <v>1.3827521</v>
      </c>
      <c r="BC38" s="379"/>
      <c r="BD38" s="165">
        <v>1.9623879</v>
      </c>
      <c r="BE38" s="379"/>
      <c r="BF38" s="165">
        <v>2.3190792</v>
      </c>
      <c r="BG38" s="379"/>
      <c r="BH38" s="225"/>
      <c r="BI38" s="184"/>
      <c r="CJ38" s="150"/>
      <c r="CK38" s="150"/>
      <c r="CL38" s="150"/>
      <c r="CM38" s="151" t="s">
        <v>824</v>
      </c>
      <c r="CN38" s="150" t="s">
        <v>1130</v>
      </c>
      <c r="CO38" s="150"/>
      <c r="CP38" s="150"/>
      <c r="CQ38" s="150"/>
      <c r="CR38" s="150"/>
      <c r="CS38" s="150"/>
      <c r="CT38" s="150"/>
    </row>
    <row r="39" spans="1:98" s="11" customFormat="1" ht="12.75" customHeight="1">
      <c r="A39" s="310"/>
      <c r="B39" s="308" t="str">
        <f>Parameters!Q38</f>
        <v>E37-E39</v>
      </c>
      <c r="C39" s="309"/>
      <c r="D39" s="495" t="str">
        <f>Parameters!S38</f>
        <v>Sewerage, waste management, remediation activities</v>
      </c>
      <c r="E39" s="510"/>
      <c r="F39" s="224"/>
      <c r="G39" s="379"/>
      <c r="H39" s="225"/>
      <c r="I39" s="379"/>
      <c r="J39" s="225"/>
      <c r="K39" s="379"/>
      <c r="L39" s="225"/>
      <c r="M39" s="379"/>
      <c r="N39" s="225"/>
      <c r="O39" s="379"/>
      <c r="P39" s="225"/>
      <c r="Q39" s="379"/>
      <c r="R39" s="225"/>
      <c r="S39" s="379"/>
      <c r="T39" s="225"/>
      <c r="U39" s="379"/>
      <c r="V39" s="225"/>
      <c r="W39" s="379"/>
      <c r="X39" s="225"/>
      <c r="Y39" s="379"/>
      <c r="Z39" s="225"/>
      <c r="AA39" s="379"/>
      <c r="AB39" s="225"/>
      <c r="AC39" s="379"/>
      <c r="AD39" s="225"/>
      <c r="AE39" s="379"/>
      <c r="AF39" s="165">
        <v>223.1016631</v>
      </c>
      <c r="AG39" s="379"/>
      <c r="AH39" s="165">
        <v>195.54745879999999</v>
      </c>
      <c r="AI39" s="379"/>
      <c r="AJ39" s="165">
        <v>178.7104698</v>
      </c>
      <c r="AK39" s="379"/>
      <c r="AL39" s="165">
        <v>215.85922360000001</v>
      </c>
      <c r="AM39" s="379"/>
      <c r="AN39" s="165">
        <v>219.4104734</v>
      </c>
      <c r="AO39" s="379"/>
      <c r="AP39" s="165">
        <v>229.38888890000001</v>
      </c>
      <c r="AQ39" s="379"/>
      <c r="AR39" s="165">
        <v>235.8493106</v>
      </c>
      <c r="AS39" s="379"/>
      <c r="AT39" s="165">
        <v>265.64655870000001</v>
      </c>
      <c r="AU39" s="379"/>
      <c r="AV39" s="165">
        <v>274.1863669</v>
      </c>
      <c r="AW39" s="379"/>
      <c r="AX39" s="165">
        <v>267.01267790000003</v>
      </c>
      <c r="AY39" s="379"/>
      <c r="AZ39" s="165">
        <v>274.63665789999999</v>
      </c>
      <c r="BA39" s="379"/>
      <c r="BB39" s="165">
        <v>257.2824493</v>
      </c>
      <c r="BC39" s="379"/>
      <c r="BD39" s="165">
        <v>257.28346549999998</v>
      </c>
      <c r="BE39" s="379"/>
      <c r="BF39" s="165">
        <v>281.48537320000003</v>
      </c>
      <c r="BG39" s="379"/>
      <c r="BH39" s="225"/>
      <c r="BI39" s="184"/>
      <c r="CJ39" s="150"/>
      <c r="CK39" s="150"/>
      <c r="CL39" s="150"/>
      <c r="CM39" s="151" t="s">
        <v>1138</v>
      </c>
      <c r="CN39" s="150" t="s">
        <v>1130</v>
      </c>
      <c r="CO39" s="150"/>
      <c r="CP39" s="150"/>
      <c r="CQ39" s="150"/>
      <c r="CR39" s="150"/>
      <c r="CS39" s="150"/>
      <c r="CT39" s="150"/>
    </row>
    <row r="40" spans="1:98" s="10" customFormat="1" ht="12.75" customHeight="1">
      <c r="A40" s="27"/>
      <c r="B40" s="87" t="str">
        <f>Parameters!Q39</f>
        <v>F</v>
      </c>
      <c r="C40" s="88"/>
      <c r="D40" s="498" t="str">
        <f>Parameters!S39</f>
        <v>Construction</v>
      </c>
      <c r="E40" s="496"/>
      <c r="F40" s="222"/>
      <c r="G40" s="379"/>
      <c r="H40" s="223"/>
      <c r="I40" s="379"/>
      <c r="J40" s="223"/>
      <c r="K40" s="379"/>
      <c r="L40" s="223"/>
      <c r="M40" s="379"/>
      <c r="N40" s="223"/>
      <c r="O40" s="379"/>
      <c r="P40" s="223"/>
      <c r="Q40" s="379"/>
      <c r="R40" s="223"/>
      <c r="S40" s="379"/>
      <c r="T40" s="223"/>
      <c r="U40" s="379"/>
      <c r="V40" s="223"/>
      <c r="W40" s="379"/>
      <c r="X40" s="223"/>
      <c r="Y40" s="379"/>
      <c r="Z40" s="223"/>
      <c r="AA40" s="379"/>
      <c r="AB40" s="223"/>
      <c r="AC40" s="379"/>
      <c r="AD40" s="223"/>
      <c r="AE40" s="379"/>
      <c r="AF40" s="164">
        <v>1841.2014088999999</v>
      </c>
      <c r="AG40" s="379"/>
      <c r="AH40" s="164">
        <v>1722.3474844</v>
      </c>
      <c r="AI40" s="379"/>
      <c r="AJ40" s="164">
        <v>1685.9654086999999</v>
      </c>
      <c r="AK40" s="379"/>
      <c r="AL40" s="164">
        <v>1759.1191670000001</v>
      </c>
      <c r="AM40" s="379"/>
      <c r="AN40" s="164">
        <v>1995.8113633999999</v>
      </c>
      <c r="AO40" s="379"/>
      <c r="AP40" s="164">
        <v>2163.8632054999998</v>
      </c>
      <c r="AQ40" s="379"/>
      <c r="AR40" s="164">
        <v>2124.7685350000002</v>
      </c>
      <c r="AS40" s="379"/>
      <c r="AT40" s="164">
        <v>2190.6473774999999</v>
      </c>
      <c r="AU40" s="379"/>
      <c r="AV40" s="164">
        <v>2152.5468879999999</v>
      </c>
      <c r="AW40" s="379"/>
      <c r="AX40" s="164">
        <v>2230.3412527</v>
      </c>
      <c r="AY40" s="379"/>
      <c r="AZ40" s="164">
        <v>2315.6444594999998</v>
      </c>
      <c r="BA40" s="379"/>
      <c r="BB40" s="164">
        <v>2147.9805332000001</v>
      </c>
      <c r="BC40" s="379"/>
      <c r="BD40" s="164">
        <v>1979.0787256000001</v>
      </c>
      <c r="BE40" s="379"/>
      <c r="BF40" s="164">
        <v>2140.2924788</v>
      </c>
      <c r="BG40" s="379"/>
      <c r="BH40" s="223"/>
      <c r="BI40" s="184"/>
      <c r="CJ40" s="150"/>
      <c r="CK40" s="150"/>
      <c r="CL40" s="150"/>
      <c r="CM40" s="151" t="s">
        <v>834</v>
      </c>
      <c r="CN40" s="150" t="s">
        <v>1130</v>
      </c>
      <c r="CO40" s="150"/>
      <c r="CP40" s="150"/>
      <c r="CQ40" s="150"/>
      <c r="CR40" s="150"/>
      <c r="CS40" s="150"/>
      <c r="CT40" s="150"/>
    </row>
    <row r="41" spans="1:98" s="10" customFormat="1">
      <c r="A41" s="25"/>
      <c r="B41" s="87" t="str">
        <f>Parameters!Q40</f>
        <v>G</v>
      </c>
      <c r="C41" s="88"/>
      <c r="D41" s="498" t="str">
        <f>Parameters!S40</f>
        <v>Wholesale and retail trade; repair of motor vehicles and motorcycles</v>
      </c>
      <c r="E41" s="499"/>
      <c r="F41" s="222"/>
      <c r="G41" s="379"/>
      <c r="H41" s="223"/>
      <c r="I41" s="379"/>
      <c r="J41" s="223"/>
      <c r="K41" s="379"/>
      <c r="L41" s="223"/>
      <c r="M41" s="379"/>
      <c r="N41" s="223"/>
      <c r="O41" s="379"/>
      <c r="P41" s="223"/>
      <c r="Q41" s="379"/>
      <c r="R41" s="223"/>
      <c r="S41" s="379"/>
      <c r="T41" s="223"/>
      <c r="U41" s="379"/>
      <c r="V41" s="223"/>
      <c r="W41" s="379"/>
      <c r="X41" s="223"/>
      <c r="Y41" s="379"/>
      <c r="Z41" s="223"/>
      <c r="AA41" s="379"/>
      <c r="AB41" s="223"/>
      <c r="AC41" s="379"/>
      <c r="AD41" s="223"/>
      <c r="AE41" s="379"/>
      <c r="AF41" s="164">
        <v>1135.2283147999999</v>
      </c>
      <c r="AG41" s="379"/>
      <c r="AH41" s="164">
        <v>1107.5800417</v>
      </c>
      <c r="AI41" s="379"/>
      <c r="AJ41" s="164">
        <v>1196.0190501</v>
      </c>
      <c r="AK41" s="379"/>
      <c r="AL41" s="164">
        <v>1180.0569052999999</v>
      </c>
      <c r="AM41" s="379"/>
      <c r="AN41" s="164">
        <v>1156.1763593000001</v>
      </c>
      <c r="AO41" s="379"/>
      <c r="AP41" s="164">
        <v>1240.2050707000001</v>
      </c>
      <c r="AQ41" s="379"/>
      <c r="AR41" s="164">
        <v>1083.2566617</v>
      </c>
      <c r="AS41" s="379"/>
      <c r="AT41" s="164">
        <v>1080.7351666</v>
      </c>
      <c r="AU41" s="379"/>
      <c r="AV41" s="164">
        <v>1183.4259033000001</v>
      </c>
      <c r="AW41" s="379"/>
      <c r="AX41" s="164">
        <v>1062.3136073000001</v>
      </c>
      <c r="AY41" s="379"/>
      <c r="AZ41" s="164">
        <v>1052.9653045</v>
      </c>
      <c r="BA41" s="379"/>
      <c r="BB41" s="164">
        <v>1163.7262272</v>
      </c>
      <c r="BC41" s="379"/>
      <c r="BD41" s="164">
        <v>1027.7449667000001</v>
      </c>
      <c r="BE41" s="379"/>
      <c r="BF41" s="164">
        <v>1062.7731220000001</v>
      </c>
      <c r="BG41" s="379"/>
      <c r="BH41" s="223"/>
      <c r="BI41" s="184"/>
      <c r="CJ41" s="150"/>
      <c r="CK41" s="150"/>
      <c r="CL41" s="150"/>
      <c r="CM41" s="151" t="s">
        <v>839</v>
      </c>
      <c r="CN41" s="150" t="s">
        <v>1130</v>
      </c>
      <c r="CO41" s="150"/>
      <c r="CP41" s="150"/>
      <c r="CQ41" s="150"/>
      <c r="CR41" s="150"/>
      <c r="CS41" s="150"/>
      <c r="CT41" s="150"/>
    </row>
    <row r="42" spans="1:98" s="10" customFormat="1" ht="12.75" customHeight="1">
      <c r="A42" s="310"/>
      <c r="B42" s="308" t="str">
        <f>Parameters!Q41</f>
        <v>G45</v>
      </c>
      <c r="C42" s="309"/>
      <c r="D42" s="495" t="str">
        <f>Parameters!S41</f>
        <v>Wholesale and retail trade and repair of motor vehicles and motorcycles</v>
      </c>
      <c r="E42" s="496"/>
      <c r="F42" s="224"/>
      <c r="G42" s="379"/>
      <c r="H42" s="225"/>
      <c r="I42" s="379"/>
      <c r="J42" s="225"/>
      <c r="K42" s="379"/>
      <c r="L42" s="225"/>
      <c r="M42" s="379"/>
      <c r="N42" s="225"/>
      <c r="O42" s="379"/>
      <c r="P42" s="225"/>
      <c r="Q42" s="379"/>
      <c r="R42" s="225"/>
      <c r="S42" s="379"/>
      <c r="T42" s="225"/>
      <c r="U42" s="379"/>
      <c r="V42" s="225"/>
      <c r="W42" s="379"/>
      <c r="X42" s="225"/>
      <c r="Y42" s="379"/>
      <c r="Z42" s="225"/>
      <c r="AA42" s="379"/>
      <c r="AB42" s="225"/>
      <c r="AC42" s="379"/>
      <c r="AD42" s="225"/>
      <c r="AE42" s="379"/>
      <c r="AF42" s="165">
        <v>285.93600049999998</v>
      </c>
      <c r="AG42" s="379"/>
      <c r="AH42" s="165">
        <v>268.85149159999997</v>
      </c>
      <c r="AI42" s="379"/>
      <c r="AJ42" s="165">
        <v>293.04542099999998</v>
      </c>
      <c r="AK42" s="379"/>
      <c r="AL42" s="165">
        <v>288.28073669999998</v>
      </c>
      <c r="AM42" s="379"/>
      <c r="AN42" s="165">
        <v>295.70927</v>
      </c>
      <c r="AO42" s="379"/>
      <c r="AP42" s="165">
        <v>289.58724949999998</v>
      </c>
      <c r="AQ42" s="379"/>
      <c r="AR42" s="165">
        <v>264.22450670000001</v>
      </c>
      <c r="AS42" s="379"/>
      <c r="AT42" s="165">
        <v>283.22915139999998</v>
      </c>
      <c r="AU42" s="379"/>
      <c r="AV42" s="165">
        <v>336.29433390000003</v>
      </c>
      <c r="AW42" s="379"/>
      <c r="AX42" s="165">
        <v>321.8556954</v>
      </c>
      <c r="AY42" s="379"/>
      <c r="AZ42" s="165">
        <v>241.76157710000001</v>
      </c>
      <c r="BA42" s="379"/>
      <c r="BB42" s="165">
        <v>181.073308</v>
      </c>
      <c r="BC42" s="379"/>
      <c r="BD42" s="165">
        <v>169.2974078</v>
      </c>
      <c r="BE42" s="379"/>
      <c r="BF42" s="165">
        <v>178.1924784</v>
      </c>
      <c r="BG42" s="379"/>
      <c r="BH42" s="225"/>
      <c r="BI42" s="184"/>
      <c r="CJ42" s="150"/>
      <c r="CK42" s="150"/>
      <c r="CL42" s="150"/>
      <c r="CM42" s="151" t="s">
        <v>844</v>
      </c>
      <c r="CN42" s="150" t="s">
        <v>1130</v>
      </c>
      <c r="CO42" s="150"/>
      <c r="CP42" s="150"/>
      <c r="CQ42" s="150"/>
      <c r="CR42" s="150"/>
      <c r="CS42" s="150"/>
      <c r="CT42" s="150"/>
    </row>
    <row r="43" spans="1:98" s="11" customFormat="1" ht="12.75" customHeight="1">
      <c r="A43" s="310"/>
      <c r="B43" s="308" t="str">
        <f>Parameters!Q42</f>
        <v>G46</v>
      </c>
      <c r="C43" s="309"/>
      <c r="D43" s="495" t="str">
        <f>Parameters!S42</f>
        <v>Wholesale trade, except of motor vehicles and motorcycles</v>
      </c>
      <c r="E43" s="496"/>
      <c r="F43" s="224"/>
      <c r="G43" s="379"/>
      <c r="H43" s="225"/>
      <c r="I43" s="379"/>
      <c r="J43" s="225"/>
      <c r="K43" s="379"/>
      <c r="L43" s="225"/>
      <c r="M43" s="379"/>
      <c r="N43" s="225"/>
      <c r="O43" s="379"/>
      <c r="P43" s="225"/>
      <c r="Q43" s="379"/>
      <c r="R43" s="225"/>
      <c r="S43" s="379"/>
      <c r="T43" s="225"/>
      <c r="U43" s="379"/>
      <c r="V43" s="225"/>
      <c r="W43" s="379"/>
      <c r="X43" s="225"/>
      <c r="Y43" s="379"/>
      <c r="Z43" s="225"/>
      <c r="AA43" s="379"/>
      <c r="AB43" s="225"/>
      <c r="AC43" s="379"/>
      <c r="AD43" s="225"/>
      <c r="AE43" s="379"/>
      <c r="AF43" s="165">
        <v>469.915592</v>
      </c>
      <c r="AG43" s="379"/>
      <c r="AH43" s="165">
        <v>479.33702449999998</v>
      </c>
      <c r="AI43" s="379"/>
      <c r="AJ43" s="165">
        <v>574.13284520000002</v>
      </c>
      <c r="AK43" s="379"/>
      <c r="AL43" s="165">
        <v>547.95656589999999</v>
      </c>
      <c r="AM43" s="379"/>
      <c r="AN43" s="165">
        <v>526.29051179999999</v>
      </c>
      <c r="AO43" s="379"/>
      <c r="AP43" s="165">
        <v>609.5953743</v>
      </c>
      <c r="AQ43" s="379"/>
      <c r="AR43" s="165">
        <v>537.61487820000002</v>
      </c>
      <c r="AS43" s="379"/>
      <c r="AT43" s="165">
        <v>534.20219010000005</v>
      </c>
      <c r="AU43" s="379"/>
      <c r="AV43" s="165">
        <v>572.0991166</v>
      </c>
      <c r="AW43" s="379"/>
      <c r="AX43" s="165">
        <v>508.8663866</v>
      </c>
      <c r="AY43" s="379"/>
      <c r="AZ43" s="165">
        <v>542.97005009999998</v>
      </c>
      <c r="BA43" s="379"/>
      <c r="BB43" s="165">
        <v>601.32064379999997</v>
      </c>
      <c r="BC43" s="379"/>
      <c r="BD43" s="165">
        <v>630.29842889999998</v>
      </c>
      <c r="BE43" s="379"/>
      <c r="BF43" s="165">
        <v>740.12920610000003</v>
      </c>
      <c r="BG43" s="379"/>
      <c r="BH43" s="225"/>
      <c r="BI43" s="184"/>
      <c r="CJ43" s="150"/>
      <c r="CK43" s="150"/>
      <c r="CL43" s="150"/>
      <c r="CM43" s="151" t="s">
        <v>848</v>
      </c>
      <c r="CN43" s="150" t="s">
        <v>1130</v>
      </c>
      <c r="CO43" s="150"/>
      <c r="CP43" s="150"/>
      <c r="CQ43" s="150"/>
      <c r="CR43" s="150"/>
      <c r="CS43" s="150"/>
      <c r="CT43" s="150"/>
    </row>
    <row r="44" spans="1:98" s="11" customFormat="1" ht="12.75" customHeight="1">
      <c r="A44" s="310"/>
      <c r="B44" s="308" t="str">
        <f>Parameters!Q43</f>
        <v>G47</v>
      </c>
      <c r="C44" s="309"/>
      <c r="D44" s="495" t="str">
        <f>Parameters!S43</f>
        <v>Retail trade, except of motor vehicles and motorcycles</v>
      </c>
      <c r="E44" s="496"/>
      <c r="F44" s="224"/>
      <c r="G44" s="379"/>
      <c r="H44" s="225"/>
      <c r="I44" s="379"/>
      <c r="J44" s="225"/>
      <c r="K44" s="379"/>
      <c r="L44" s="225"/>
      <c r="M44" s="379"/>
      <c r="N44" s="225"/>
      <c r="O44" s="379"/>
      <c r="P44" s="225"/>
      <c r="Q44" s="379"/>
      <c r="R44" s="225"/>
      <c r="S44" s="379"/>
      <c r="T44" s="225"/>
      <c r="U44" s="379"/>
      <c r="V44" s="225"/>
      <c r="W44" s="379"/>
      <c r="X44" s="225"/>
      <c r="Y44" s="379"/>
      <c r="Z44" s="225"/>
      <c r="AA44" s="379"/>
      <c r="AB44" s="225"/>
      <c r="AC44" s="379"/>
      <c r="AD44" s="225"/>
      <c r="AE44" s="379"/>
      <c r="AF44" s="165">
        <v>379.37672229999998</v>
      </c>
      <c r="AG44" s="379"/>
      <c r="AH44" s="165">
        <v>359.3915255</v>
      </c>
      <c r="AI44" s="379"/>
      <c r="AJ44" s="165">
        <v>328.84078390000002</v>
      </c>
      <c r="AK44" s="379"/>
      <c r="AL44" s="165">
        <v>343.81960270000002</v>
      </c>
      <c r="AM44" s="379"/>
      <c r="AN44" s="165">
        <v>334.17657739999999</v>
      </c>
      <c r="AO44" s="379"/>
      <c r="AP44" s="165">
        <v>341.02244689999998</v>
      </c>
      <c r="AQ44" s="379"/>
      <c r="AR44" s="165">
        <v>281.4172767</v>
      </c>
      <c r="AS44" s="379"/>
      <c r="AT44" s="165">
        <v>263.30382509999998</v>
      </c>
      <c r="AU44" s="379"/>
      <c r="AV44" s="165">
        <v>275.03245279999999</v>
      </c>
      <c r="AW44" s="379"/>
      <c r="AX44" s="165">
        <v>231.5915253</v>
      </c>
      <c r="AY44" s="379"/>
      <c r="AZ44" s="165">
        <v>268.23367730000001</v>
      </c>
      <c r="BA44" s="379"/>
      <c r="BB44" s="165">
        <v>381.33227529999999</v>
      </c>
      <c r="BC44" s="379"/>
      <c r="BD44" s="165">
        <v>228.14913000000001</v>
      </c>
      <c r="BE44" s="379"/>
      <c r="BF44" s="165">
        <v>144.4514375</v>
      </c>
      <c r="BG44" s="379"/>
      <c r="BH44" s="225"/>
      <c r="BI44" s="184"/>
      <c r="CJ44" s="150"/>
      <c r="CK44" s="150"/>
      <c r="CL44" s="150"/>
      <c r="CM44" s="151" t="s">
        <v>854</v>
      </c>
      <c r="CN44" s="150" t="s">
        <v>1130</v>
      </c>
      <c r="CO44" s="150"/>
      <c r="CP44" s="150"/>
      <c r="CQ44" s="150"/>
      <c r="CR44" s="150"/>
      <c r="CS44" s="150"/>
      <c r="CT44" s="150"/>
    </row>
    <row r="45" spans="1:98" s="11" customFormat="1" ht="12.75" customHeight="1">
      <c r="A45" s="25"/>
      <c r="B45" s="87" t="str">
        <f>Parameters!Q44</f>
        <v>H</v>
      </c>
      <c r="C45" s="88"/>
      <c r="D45" s="498" t="str">
        <f>Parameters!S44</f>
        <v>Transportation and storage</v>
      </c>
      <c r="E45" s="499"/>
      <c r="F45" s="222"/>
      <c r="G45" s="379"/>
      <c r="H45" s="223"/>
      <c r="I45" s="379"/>
      <c r="J45" s="223"/>
      <c r="K45" s="379"/>
      <c r="L45" s="223"/>
      <c r="M45" s="379"/>
      <c r="N45" s="223"/>
      <c r="O45" s="379"/>
      <c r="P45" s="223"/>
      <c r="Q45" s="379"/>
      <c r="R45" s="223"/>
      <c r="S45" s="379"/>
      <c r="T45" s="223"/>
      <c r="U45" s="379"/>
      <c r="V45" s="223"/>
      <c r="W45" s="379"/>
      <c r="X45" s="223"/>
      <c r="Y45" s="379"/>
      <c r="Z45" s="223"/>
      <c r="AA45" s="379"/>
      <c r="AB45" s="223"/>
      <c r="AC45" s="379"/>
      <c r="AD45" s="223"/>
      <c r="AE45" s="379"/>
      <c r="AF45" s="164">
        <v>15271.9765852</v>
      </c>
      <c r="AG45" s="379"/>
      <c r="AH45" s="164">
        <v>13770.898539399999</v>
      </c>
      <c r="AI45" s="379"/>
      <c r="AJ45" s="164">
        <v>14511.9884797</v>
      </c>
      <c r="AK45" s="379"/>
      <c r="AL45" s="247">
        <v>20046.175418300001</v>
      </c>
      <c r="AM45" s="379" t="s">
        <v>440</v>
      </c>
      <c r="AN45" s="164">
        <v>20219.1910345</v>
      </c>
      <c r="AO45" s="379"/>
      <c r="AP45" s="164">
        <v>20159.396680599999</v>
      </c>
      <c r="AQ45" s="379"/>
      <c r="AR45" s="164">
        <v>19563.406094900001</v>
      </c>
      <c r="AS45" s="379"/>
      <c r="AT45" s="247">
        <v>25850.232600800002</v>
      </c>
      <c r="AU45" s="379" t="s">
        <v>460</v>
      </c>
      <c r="AV45" s="247">
        <v>17713.0217983</v>
      </c>
      <c r="AW45" s="379" t="s">
        <v>460</v>
      </c>
      <c r="AX45" s="164">
        <v>20027.003586499999</v>
      </c>
      <c r="AY45" s="379"/>
      <c r="AZ45" s="164">
        <v>23200.2197442</v>
      </c>
      <c r="BA45" s="379"/>
      <c r="BB45" s="164">
        <v>24514.5342446</v>
      </c>
      <c r="BC45" s="379"/>
      <c r="BD45" s="164">
        <v>19952.435286600001</v>
      </c>
      <c r="BE45" s="379"/>
      <c r="BF45" s="164">
        <v>19948.288126399999</v>
      </c>
      <c r="BG45" s="379"/>
      <c r="BH45" s="223"/>
      <c r="BI45" s="184"/>
      <c r="CJ45" s="150"/>
      <c r="CK45" s="150"/>
      <c r="CL45" s="150"/>
      <c r="CM45" s="151" t="s">
        <v>862</v>
      </c>
      <c r="CN45" s="150" t="s">
        <v>1130</v>
      </c>
      <c r="CO45" s="150"/>
      <c r="CP45" s="150"/>
      <c r="CQ45" s="150"/>
      <c r="CR45" s="150"/>
      <c r="CS45" s="150"/>
      <c r="CT45" s="150"/>
    </row>
    <row r="46" spans="1:98" s="10" customFormat="1" ht="12.75" customHeight="1">
      <c r="A46" s="310"/>
      <c r="B46" s="308" t="str">
        <f>Parameters!Q45</f>
        <v>H49</v>
      </c>
      <c r="C46" s="309"/>
      <c r="D46" s="495" t="str">
        <f>Parameters!S45</f>
        <v>Land transport and transport via pipelines</v>
      </c>
      <c r="E46" s="496"/>
      <c r="F46" s="224"/>
      <c r="G46" s="379"/>
      <c r="H46" s="225"/>
      <c r="I46" s="379"/>
      <c r="J46" s="225"/>
      <c r="K46" s="379"/>
      <c r="L46" s="225"/>
      <c r="M46" s="379"/>
      <c r="N46" s="225"/>
      <c r="O46" s="379"/>
      <c r="P46" s="225"/>
      <c r="Q46" s="379"/>
      <c r="R46" s="225"/>
      <c r="S46" s="379"/>
      <c r="T46" s="225"/>
      <c r="U46" s="379"/>
      <c r="V46" s="225"/>
      <c r="W46" s="379"/>
      <c r="X46" s="225"/>
      <c r="Y46" s="379"/>
      <c r="Z46" s="225"/>
      <c r="AA46" s="379"/>
      <c r="AB46" s="225"/>
      <c r="AC46" s="379"/>
      <c r="AD46" s="225"/>
      <c r="AE46" s="379"/>
      <c r="AF46" s="165">
        <v>2324.4579951000001</v>
      </c>
      <c r="AG46" s="379"/>
      <c r="AH46" s="165">
        <v>2275.7382548999999</v>
      </c>
      <c r="AI46" s="379"/>
      <c r="AJ46" s="165">
        <v>2349.6258757999999</v>
      </c>
      <c r="AK46" s="379"/>
      <c r="AL46" s="165">
        <v>2406.2255114999998</v>
      </c>
      <c r="AM46" s="379"/>
      <c r="AN46" s="165">
        <v>2396.1337791000001</v>
      </c>
      <c r="AO46" s="379"/>
      <c r="AP46" s="165">
        <v>2367.1341474999999</v>
      </c>
      <c r="AQ46" s="379"/>
      <c r="AR46" s="165">
        <v>2688.0220982999999</v>
      </c>
      <c r="AS46" s="379"/>
      <c r="AT46" s="165">
        <v>2680.6891467999999</v>
      </c>
      <c r="AU46" s="379"/>
      <c r="AV46" s="165">
        <v>2447.2916252</v>
      </c>
      <c r="AW46" s="379"/>
      <c r="AX46" s="165">
        <v>2031.1872982</v>
      </c>
      <c r="AY46" s="379"/>
      <c r="AZ46" s="165">
        <v>2235.0879924999999</v>
      </c>
      <c r="BA46" s="379"/>
      <c r="BB46" s="165">
        <v>2124.8114862000002</v>
      </c>
      <c r="BC46" s="379"/>
      <c r="BD46" s="165">
        <v>1899.3321762999999</v>
      </c>
      <c r="BE46" s="379"/>
      <c r="BF46" s="165">
        <v>1987.0478654999999</v>
      </c>
      <c r="BG46" s="379"/>
      <c r="BH46" s="225"/>
      <c r="BI46" s="184"/>
      <c r="CJ46" s="150"/>
      <c r="CK46" s="150"/>
      <c r="CL46" s="150"/>
      <c r="CM46" s="151" t="s">
        <v>869</v>
      </c>
      <c r="CN46" s="150" t="s">
        <v>1130</v>
      </c>
      <c r="CO46" s="150"/>
      <c r="CP46" s="150"/>
      <c r="CQ46" s="150"/>
      <c r="CR46" s="150"/>
      <c r="CS46" s="150"/>
      <c r="CT46" s="150"/>
    </row>
    <row r="47" spans="1:98" s="10" customFormat="1" ht="12.75" customHeight="1">
      <c r="A47" s="310"/>
      <c r="B47" s="308" t="str">
        <f>Parameters!Q46</f>
        <v>H50</v>
      </c>
      <c r="C47" s="309"/>
      <c r="D47" s="495" t="str">
        <f>Parameters!S46</f>
        <v>Water transport</v>
      </c>
      <c r="E47" s="497"/>
      <c r="F47" s="224"/>
      <c r="G47" s="379"/>
      <c r="H47" s="225"/>
      <c r="I47" s="379"/>
      <c r="J47" s="225"/>
      <c r="K47" s="379"/>
      <c r="L47" s="225"/>
      <c r="M47" s="379"/>
      <c r="N47" s="225"/>
      <c r="O47" s="379"/>
      <c r="P47" s="225"/>
      <c r="Q47" s="379"/>
      <c r="R47" s="225"/>
      <c r="S47" s="379"/>
      <c r="T47" s="225"/>
      <c r="U47" s="379"/>
      <c r="V47" s="225"/>
      <c r="W47" s="379"/>
      <c r="X47" s="225"/>
      <c r="Y47" s="379"/>
      <c r="Z47" s="225"/>
      <c r="AA47" s="379"/>
      <c r="AB47" s="225"/>
      <c r="AC47" s="379"/>
      <c r="AD47" s="225"/>
      <c r="AE47" s="379"/>
      <c r="AF47" s="165">
        <v>10472.7692505</v>
      </c>
      <c r="AG47" s="379"/>
      <c r="AH47" s="165">
        <v>8916.8824306999995</v>
      </c>
      <c r="AI47" s="379"/>
      <c r="AJ47" s="165">
        <v>9386.8450582000005</v>
      </c>
      <c r="AK47" s="379"/>
      <c r="AL47" s="165">
        <v>14563.0526378</v>
      </c>
      <c r="AM47" s="379"/>
      <c r="AN47" s="165">
        <v>14409.966601399999</v>
      </c>
      <c r="AO47" s="379"/>
      <c r="AP47" s="165">
        <v>13871.187406999999</v>
      </c>
      <c r="AQ47" s="379"/>
      <c r="AR47" s="165">
        <v>12725.0601219</v>
      </c>
      <c r="AS47" s="379"/>
      <c r="AT47" s="165">
        <v>18797.835966999999</v>
      </c>
      <c r="AU47" s="379"/>
      <c r="AV47" s="165">
        <v>11543.493951500001</v>
      </c>
      <c r="AW47" s="379"/>
      <c r="AX47" s="165">
        <v>14024.5288633</v>
      </c>
      <c r="AY47" s="379"/>
      <c r="AZ47" s="165">
        <v>16663.710588499998</v>
      </c>
      <c r="BA47" s="379"/>
      <c r="BB47" s="165">
        <v>17337.983667500001</v>
      </c>
      <c r="BC47" s="379"/>
      <c r="BD47" s="165">
        <v>16194.340748000001</v>
      </c>
      <c r="BE47" s="379"/>
      <c r="BF47" s="165">
        <v>16271.8168824</v>
      </c>
      <c r="BG47" s="379"/>
      <c r="BH47" s="225"/>
      <c r="BI47" s="184"/>
      <c r="CJ47" s="150"/>
      <c r="CK47" s="150"/>
      <c r="CL47" s="150"/>
      <c r="CM47" s="151" t="s">
        <v>877</v>
      </c>
      <c r="CN47" s="150" t="s">
        <v>1130</v>
      </c>
      <c r="CO47" s="150"/>
      <c r="CP47" s="150"/>
      <c r="CQ47" s="150"/>
      <c r="CR47" s="150"/>
      <c r="CS47" s="150"/>
      <c r="CT47" s="150"/>
    </row>
    <row r="48" spans="1:98" s="11" customFormat="1" ht="12.75" customHeight="1">
      <c r="A48" s="310"/>
      <c r="B48" s="308" t="str">
        <f>Parameters!Q47</f>
        <v>H51</v>
      </c>
      <c r="C48" s="309"/>
      <c r="D48" s="495" t="str">
        <f>Parameters!S47</f>
        <v>Air transport</v>
      </c>
      <c r="E48" s="510"/>
      <c r="F48" s="224"/>
      <c r="G48" s="379"/>
      <c r="H48" s="225"/>
      <c r="I48" s="379"/>
      <c r="J48" s="225"/>
      <c r="K48" s="379"/>
      <c r="L48" s="225"/>
      <c r="M48" s="379"/>
      <c r="N48" s="225"/>
      <c r="O48" s="379"/>
      <c r="P48" s="225"/>
      <c r="Q48" s="379"/>
      <c r="R48" s="225"/>
      <c r="S48" s="379"/>
      <c r="T48" s="225"/>
      <c r="U48" s="379"/>
      <c r="V48" s="225"/>
      <c r="W48" s="379"/>
      <c r="X48" s="225"/>
      <c r="Y48" s="379"/>
      <c r="Z48" s="225"/>
      <c r="AA48" s="379"/>
      <c r="AB48" s="225"/>
      <c r="AC48" s="379"/>
      <c r="AD48" s="225"/>
      <c r="AE48" s="379"/>
      <c r="AF48" s="165">
        <v>2183.7596721</v>
      </c>
      <c r="AG48" s="379"/>
      <c r="AH48" s="165">
        <v>2280.4880677000001</v>
      </c>
      <c r="AI48" s="379"/>
      <c r="AJ48" s="165">
        <v>2454.5853680999999</v>
      </c>
      <c r="AK48" s="379"/>
      <c r="AL48" s="165">
        <v>2755.0777005999998</v>
      </c>
      <c r="AM48" s="379"/>
      <c r="AN48" s="165">
        <v>3132.9899796</v>
      </c>
      <c r="AO48" s="379"/>
      <c r="AP48" s="165">
        <v>3506.3225416</v>
      </c>
      <c r="AQ48" s="379"/>
      <c r="AR48" s="165">
        <v>3859.7870638999998</v>
      </c>
      <c r="AS48" s="379"/>
      <c r="AT48" s="165">
        <v>4074.8749735000001</v>
      </c>
      <c r="AU48" s="379"/>
      <c r="AV48" s="165">
        <v>3355.4311972999999</v>
      </c>
      <c r="AW48" s="379"/>
      <c r="AX48" s="165">
        <v>3534.4613749999999</v>
      </c>
      <c r="AY48" s="379"/>
      <c r="AZ48" s="165">
        <v>3848.9207517999998</v>
      </c>
      <c r="BA48" s="379"/>
      <c r="BB48" s="165">
        <v>4617.6373812000002</v>
      </c>
      <c r="BC48" s="379"/>
      <c r="BD48" s="165">
        <v>1403.3728398999999</v>
      </c>
      <c r="BE48" s="379"/>
      <c r="BF48" s="165">
        <v>1247.0763072</v>
      </c>
      <c r="BG48" s="379"/>
      <c r="BH48" s="225"/>
      <c r="BI48" s="184"/>
      <c r="CJ48" s="150"/>
      <c r="CK48" s="150"/>
      <c r="CL48" s="150"/>
      <c r="CM48" s="151" t="s">
        <v>884</v>
      </c>
      <c r="CN48" s="150" t="s">
        <v>1130</v>
      </c>
      <c r="CO48" s="150"/>
      <c r="CP48" s="150"/>
      <c r="CQ48" s="150"/>
      <c r="CR48" s="150"/>
      <c r="CS48" s="150"/>
      <c r="CT48" s="150"/>
    </row>
    <row r="49" spans="1:98" s="11" customFormat="1" ht="12.75" customHeight="1">
      <c r="A49" s="310"/>
      <c r="B49" s="308" t="str">
        <f>Parameters!Q48</f>
        <v>H52</v>
      </c>
      <c r="C49" s="309"/>
      <c r="D49" s="495" t="str">
        <f>Parameters!S48</f>
        <v>Warehousing and support activities for transportation</v>
      </c>
      <c r="E49" s="510"/>
      <c r="F49" s="224"/>
      <c r="G49" s="379"/>
      <c r="H49" s="225"/>
      <c r="I49" s="379"/>
      <c r="J49" s="225"/>
      <c r="K49" s="379"/>
      <c r="L49" s="225"/>
      <c r="M49" s="379"/>
      <c r="N49" s="225"/>
      <c r="O49" s="379"/>
      <c r="P49" s="225"/>
      <c r="Q49" s="379"/>
      <c r="R49" s="225"/>
      <c r="S49" s="379"/>
      <c r="T49" s="225"/>
      <c r="U49" s="379"/>
      <c r="V49" s="225"/>
      <c r="W49" s="379"/>
      <c r="X49" s="225"/>
      <c r="Y49" s="379"/>
      <c r="Z49" s="225"/>
      <c r="AA49" s="379"/>
      <c r="AB49" s="225"/>
      <c r="AC49" s="379"/>
      <c r="AD49" s="225"/>
      <c r="AE49" s="379"/>
      <c r="AF49" s="165">
        <v>255.77078589999999</v>
      </c>
      <c r="AG49" s="379"/>
      <c r="AH49" s="165">
        <v>263.92163790000001</v>
      </c>
      <c r="AI49" s="379"/>
      <c r="AJ49" s="165">
        <v>277.64703329999998</v>
      </c>
      <c r="AK49" s="379"/>
      <c r="AL49" s="165">
        <v>284.58409660000001</v>
      </c>
      <c r="AM49" s="379"/>
      <c r="AN49" s="165">
        <v>238.80006520000001</v>
      </c>
      <c r="AO49" s="379"/>
      <c r="AP49" s="165">
        <v>369.78067929999997</v>
      </c>
      <c r="AQ49" s="379"/>
      <c r="AR49" s="165">
        <v>244.44267099999999</v>
      </c>
      <c r="AS49" s="379"/>
      <c r="AT49" s="165">
        <v>253.80644190000001</v>
      </c>
      <c r="AU49" s="379"/>
      <c r="AV49" s="165">
        <v>319.31304469999998</v>
      </c>
      <c r="AW49" s="379"/>
      <c r="AX49" s="165">
        <v>390.44381179999999</v>
      </c>
      <c r="AY49" s="379"/>
      <c r="AZ49" s="165">
        <v>405.13791140000001</v>
      </c>
      <c r="BA49" s="379"/>
      <c r="BB49" s="165">
        <v>384.44577199999998</v>
      </c>
      <c r="BC49" s="379"/>
      <c r="BD49" s="165">
        <v>414.92453649999999</v>
      </c>
      <c r="BE49" s="379"/>
      <c r="BF49" s="165">
        <v>392.43147040000002</v>
      </c>
      <c r="BG49" s="379"/>
      <c r="BH49" s="225"/>
      <c r="BI49" s="184"/>
      <c r="CJ49" s="150"/>
      <c r="CK49" s="150"/>
      <c r="CL49" s="150"/>
      <c r="CM49" s="151" t="s">
        <v>891</v>
      </c>
      <c r="CN49" s="150" t="s">
        <v>1130</v>
      </c>
      <c r="CO49" s="150"/>
      <c r="CP49" s="150"/>
      <c r="CQ49" s="150"/>
      <c r="CR49" s="150"/>
      <c r="CS49" s="150"/>
      <c r="CT49" s="150"/>
    </row>
    <row r="50" spans="1:98" s="11" customFormat="1" ht="12.75" customHeight="1">
      <c r="A50" s="310"/>
      <c r="B50" s="308" t="str">
        <f>Parameters!Q49</f>
        <v>H53</v>
      </c>
      <c r="C50" s="309"/>
      <c r="D50" s="495" t="str">
        <f>Parameters!S49</f>
        <v>Postal and courier activities</v>
      </c>
      <c r="E50" s="510"/>
      <c r="F50" s="224"/>
      <c r="G50" s="379"/>
      <c r="H50" s="225"/>
      <c r="I50" s="379"/>
      <c r="J50" s="225"/>
      <c r="K50" s="379"/>
      <c r="L50" s="225"/>
      <c r="M50" s="379"/>
      <c r="N50" s="225"/>
      <c r="O50" s="379"/>
      <c r="P50" s="225"/>
      <c r="Q50" s="379"/>
      <c r="R50" s="225"/>
      <c r="S50" s="379"/>
      <c r="T50" s="225"/>
      <c r="U50" s="379"/>
      <c r="V50" s="225"/>
      <c r="W50" s="379"/>
      <c r="X50" s="225"/>
      <c r="Y50" s="379"/>
      <c r="Z50" s="225"/>
      <c r="AA50" s="379"/>
      <c r="AB50" s="225"/>
      <c r="AC50" s="379"/>
      <c r="AD50" s="225"/>
      <c r="AE50" s="379"/>
      <c r="AF50" s="165">
        <v>35.218881500000002</v>
      </c>
      <c r="AG50" s="379" t="s">
        <v>420</v>
      </c>
      <c r="AH50" s="165">
        <v>33.868148300000001</v>
      </c>
      <c r="AI50" s="379" t="s">
        <v>420</v>
      </c>
      <c r="AJ50" s="165">
        <v>43.2851444</v>
      </c>
      <c r="AK50" s="379" t="s">
        <v>420</v>
      </c>
      <c r="AL50" s="165">
        <v>37.235471799999999</v>
      </c>
      <c r="AM50" s="379" t="s">
        <v>420</v>
      </c>
      <c r="AN50" s="165">
        <v>41.300609199999997</v>
      </c>
      <c r="AO50" s="379" t="s">
        <v>420</v>
      </c>
      <c r="AP50" s="165">
        <v>44.971905200000002</v>
      </c>
      <c r="AQ50" s="379" t="s">
        <v>420</v>
      </c>
      <c r="AR50" s="165">
        <v>46.094139800000001</v>
      </c>
      <c r="AS50" s="379" t="s">
        <v>420</v>
      </c>
      <c r="AT50" s="165">
        <v>43.0260715</v>
      </c>
      <c r="AU50" s="379" t="s">
        <v>420</v>
      </c>
      <c r="AV50" s="165">
        <v>47.491979600000001</v>
      </c>
      <c r="AW50" s="379" t="s">
        <v>420</v>
      </c>
      <c r="AX50" s="165">
        <v>46.382238100000002</v>
      </c>
      <c r="AY50" s="379" t="s">
        <v>420</v>
      </c>
      <c r="AZ50" s="165">
        <v>47.362500099999998</v>
      </c>
      <c r="BA50" s="379" t="s">
        <v>420</v>
      </c>
      <c r="BB50" s="165">
        <v>49.655937700000003</v>
      </c>
      <c r="BC50" s="379" t="s">
        <v>420</v>
      </c>
      <c r="BD50" s="165">
        <v>40.464985900000002</v>
      </c>
      <c r="BE50" s="379" t="s">
        <v>420</v>
      </c>
      <c r="BF50" s="165">
        <v>49.915600900000001</v>
      </c>
      <c r="BG50" s="379" t="s">
        <v>420</v>
      </c>
      <c r="BH50" s="225"/>
      <c r="BI50" s="184"/>
      <c r="CJ50" s="150"/>
      <c r="CK50" s="150"/>
      <c r="CL50" s="150"/>
      <c r="CM50" s="151" t="s">
        <v>897</v>
      </c>
      <c r="CN50" s="150" t="s">
        <v>1130</v>
      </c>
      <c r="CO50" s="150"/>
      <c r="CP50" s="150"/>
      <c r="CQ50" s="150"/>
      <c r="CR50" s="150"/>
      <c r="CS50" s="150"/>
      <c r="CT50" s="150"/>
    </row>
    <row r="51" spans="1:98" s="10" customFormat="1" ht="12.75" customHeight="1">
      <c r="A51" s="25"/>
      <c r="B51" s="87" t="str">
        <f>Parameters!Q50</f>
        <v>I</v>
      </c>
      <c r="C51" s="88"/>
      <c r="D51" s="498" t="str">
        <f>Parameters!S50</f>
        <v>Accommodation and food service activities</v>
      </c>
      <c r="E51" s="496"/>
      <c r="F51" s="222"/>
      <c r="G51" s="379"/>
      <c r="H51" s="223"/>
      <c r="I51" s="379"/>
      <c r="J51" s="223"/>
      <c r="K51" s="379"/>
      <c r="L51" s="223"/>
      <c r="M51" s="379"/>
      <c r="N51" s="223"/>
      <c r="O51" s="379"/>
      <c r="P51" s="223"/>
      <c r="Q51" s="379"/>
      <c r="R51" s="223"/>
      <c r="S51" s="379"/>
      <c r="T51" s="223"/>
      <c r="U51" s="379"/>
      <c r="V51" s="223"/>
      <c r="W51" s="379"/>
      <c r="X51" s="223"/>
      <c r="Y51" s="379"/>
      <c r="Z51" s="223"/>
      <c r="AA51" s="379"/>
      <c r="AB51" s="223"/>
      <c r="AC51" s="379"/>
      <c r="AD51" s="223"/>
      <c r="AE51" s="379"/>
      <c r="AF51" s="164">
        <v>58.694973599999997</v>
      </c>
      <c r="AG51" s="379"/>
      <c r="AH51" s="164">
        <v>58.436960900000003</v>
      </c>
      <c r="AI51" s="379"/>
      <c r="AJ51" s="164">
        <v>72.674891000000002</v>
      </c>
      <c r="AK51" s="379"/>
      <c r="AL51" s="164">
        <v>66.799659300000002</v>
      </c>
      <c r="AM51" s="379"/>
      <c r="AN51" s="164">
        <v>64.984751799999998</v>
      </c>
      <c r="AO51" s="379"/>
      <c r="AP51" s="164">
        <v>63.273464599999997</v>
      </c>
      <c r="AQ51" s="379"/>
      <c r="AR51" s="164">
        <v>62.400979700000001</v>
      </c>
      <c r="AS51" s="379"/>
      <c r="AT51" s="164">
        <v>62.837123200000001</v>
      </c>
      <c r="AU51" s="379"/>
      <c r="AV51" s="164">
        <v>65.220519199999998</v>
      </c>
      <c r="AW51" s="379"/>
      <c r="AX51" s="164">
        <v>53.210476499999999</v>
      </c>
      <c r="AY51" s="379"/>
      <c r="AZ51" s="164">
        <v>63.9052674</v>
      </c>
      <c r="BA51" s="379"/>
      <c r="BB51" s="164">
        <v>56.4870065</v>
      </c>
      <c r="BC51" s="379"/>
      <c r="BD51" s="164">
        <v>49.164055500000003</v>
      </c>
      <c r="BE51" s="379"/>
      <c r="BF51" s="164">
        <v>41.1701427</v>
      </c>
      <c r="BG51" s="379"/>
      <c r="BH51" s="223"/>
      <c r="BI51" s="184"/>
      <c r="CJ51" s="150"/>
      <c r="CK51" s="150"/>
      <c r="CL51" s="150"/>
      <c r="CM51" s="151" t="s">
        <v>904</v>
      </c>
      <c r="CN51" s="150" t="s">
        <v>1130</v>
      </c>
      <c r="CO51" s="150"/>
      <c r="CP51" s="150"/>
      <c r="CQ51" s="150"/>
      <c r="CR51" s="150"/>
      <c r="CS51" s="150"/>
      <c r="CT51" s="150"/>
    </row>
    <row r="52" spans="1:98" s="10" customFormat="1" ht="12.75" customHeight="1">
      <c r="A52" s="25"/>
      <c r="B52" s="87" t="str">
        <f>Parameters!Q51</f>
        <v>J</v>
      </c>
      <c r="C52" s="88"/>
      <c r="D52" s="498" t="str">
        <f>Parameters!S51</f>
        <v>Information and communication</v>
      </c>
      <c r="E52" s="499"/>
      <c r="F52" s="222"/>
      <c r="G52" s="379"/>
      <c r="H52" s="223"/>
      <c r="I52" s="379"/>
      <c r="J52" s="223"/>
      <c r="K52" s="379"/>
      <c r="L52" s="223"/>
      <c r="M52" s="379"/>
      <c r="N52" s="223"/>
      <c r="O52" s="379"/>
      <c r="P52" s="223"/>
      <c r="Q52" s="379"/>
      <c r="R52" s="223"/>
      <c r="S52" s="379"/>
      <c r="T52" s="223"/>
      <c r="U52" s="379"/>
      <c r="V52" s="223"/>
      <c r="W52" s="379"/>
      <c r="X52" s="223"/>
      <c r="Y52" s="379"/>
      <c r="Z52" s="223"/>
      <c r="AA52" s="379"/>
      <c r="AB52" s="223"/>
      <c r="AC52" s="379"/>
      <c r="AD52" s="223"/>
      <c r="AE52" s="379"/>
      <c r="AF52" s="164">
        <v>28.347328999999998</v>
      </c>
      <c r="AG52" s="379"/>
      <c r="AH52" s="164">
        <v>27.6902194</v>
      </c>
      <c r="AI52" s="379"/>
      <c r="AJ52" s="164">
        <v>37.514690799999997</v>
      </c>
      <c r="AK52" s="379"/>
      <c r="AL52" s="164">
        <v>31.776030899999999</v>
      </c>
      <c r="AM52" s="379"/>
      <c r="AN52" s="164">
        <v>31.860848099999998</v>
      </c>
      <c r="AO52" s="379"/>
      <c r="AP52" s="164">
        <v>32.248581399999999</v>
      </c>
      <c r="AQ52" s="379"/>
      <c r="AR52" s="164">
        <v>29.781245999999999</v>
      </c>
      <c r="AS52" s="379"/>
      <c r="AT52" s="164">
        <v>27.814358800000001</v>
      </c>
      <c r="AU52" s="379"/>
      <c r="AV52" s="164">
        <v>25.395147300000001</v>
      </c>
      <c r="AW52" s="379"/>
      <c r="AX52" s="164">
        <v>19.483008600000002</v>
      </c>
      <c r="AY52" s="379"/>
      <c r="AZ52" s="164">
        <v>19.835622399999998</v>
      </c>
      <c r="BA52" s="379"/>
      <c r="BB52" s="164">
        <v>18.795365199999999</v>
      </c>
      <c r="BC52" s="379"/>
      <c r="BD52" s="164">
        <v>15.8096923</v>
      </c>
      <c r="BE52" s="379"/>
      <c r="BF52" s="164">
        <v>16.096973500000001</v>
      </c>
      <c r="BG52" s="379"/>
      <c r="BH52" s="223"/>
      <c r="BI52" s="184"/>
      <c r="CJ52" s="150"/>
      <c r="CK52" s="150"/>
      <c r="CL52" s="150"/>
      <c r="CM52" s="153" t="s">
        <v>910</v>
      </c>
      <c r="CN52" s="150" t="s">
        <v>1130</v>
      </c>
      <c r="CO52" s="150"/>
      <c r="CP52" s="150"/>
      <c r="CQ52" s="150"/>
      <c r="CR52" s="150"/>
      <c r="CS52" s="150"/>
      <c r="CT52" s="150"/>
    </row>
    <row r="53" spans="1:98" s="10" customFormat="1" ht="27" customHeight="1">
      <c r="A53" s="26"/>
      <c r="B53" s="89" t="str">
        <f>Parameters!Q52</f>
        <v>J58-J60</v>
      </c>
      <c r="C53" s="90"/>
      <c r="D53" s="504" t="str">
        <f>Parameters!S52</f>
        <v>Publishing, motion picture, video, television programme production; sound recording, programming and broadcasting activities</v>
      </c>
      <c r="E53" s="506"/>
      <c r="F53" s="252"/>
      <c r="G53" s="380"/>
      <c r="H53" s="253"/>
      <c r="I53" s="380"/>
      <c r="J53" s="253"/>
      <c r="K53" s="380"/>
      <c r="L53" s="253"/>
      <c r="M53" s="380"/>
      <c r="N53" s="253"/>
      <c r="O53" s="380"/>
      <c r="P53" s="253"/>
      <c r="Q53" s="380"/>
      <c r="R53" s="253"/>
      <c r="S53" s="380"/>
      <c r="T53" s="253"/>
      <c r="U53" s="380"/>
      <c r="V53" s="253"/>
      <c r="W53" s="380"/>
      <c r="X53" s="253"/>
      <c r="Y53" s="380"/>
      <c r="Z53" s="253"/>
      <c r="AA53" s="380"/>
      <c r="AB53" s="253"/>
      <c r="AC53" s="380"/>
      <c r="AD53" s="253"/>
      <c r="AE53" s="380"/>
      <c r="AF53" s="253">
        <v>11.824533000000001</v>
      </c>
      <c r="AG53" s="380"/>
      <c r="AH53" s="253">
        <v>11.8096909</v>
      </c>
      <c r="AI53" s="380"/>
      <c r="AJ53" s="253">
        <v>17.544492600000002</v>
      </c>
      <c r="AK53" s="380"/>
      <c r="AL53" s="253">
        <v>12.972460999999999</v>
      </c>
      <c r="AM53" s="380"/>
      <c r="AN53" s="253">
        <v>12.970219699999999</v>
      </c>
      <c r="AO53" s="380"/>
      <c r="AP53" s="253">
        <v>11.9309391</v>
      </c>
      <c r="AQ53" s="380"/>
      <c r="AR53" s="253">
        <v>11.855663399999999</v>
      </c>
      <c r="AS53" s="380"/>
      <c r="AT53" s="253">
        <v>10.449865300000001</v>
      </c>
      <c r="AU53" s="380"/>
      <c r="AV53" s="253">
        <v>9.9306760999999995</v>
      </c>
      <c r="AW53" s="380"/>
      <c r="AX53" s="253">
        <v>8.2274338999999994</v>
      </c>
      <c r="AY53" s="380"/>
      <c r="AZ53" s="253">
        <v>8.3732161999999999</v>
      </c>
      <c r="BA53" s="380"/>
      <c r="BB53" s="253">
        <v>7.1860343000000002</v>
      </c>
      <c r="BC53" s="380"/>
      <c r="BD53" s="253">
        <v>6.0196506000000003</v>
      </c>
      <c r="BE53" s="380"/>
      <c r="BF53" s="253">
        <v>5.8776425999999997</v>
      </c>
      <c r="BG53" s="380"/>
      <c r="BH53" s="253"/>
      <c r="BI53" s="254"/>
      <c r="CJ53" s="150"/>
      <c r="CK53" s="150"/>
      <c r="CL53" s="150"/>
      <c r="CM53" s="151"/>
      <c r="CN53" s="150"/>
      <c r="CO53" s="150"/>
      <c r="CP53" s="150"/>
      <c r="CQ53" s="150"/>
      <c r="CR53" s="150"/>
      <c r="CS53" s="150"/>
      <c r="CT53" s="150"/>
    </row>
    <row r="54" spans="1:98" s="11" customFormat="1" ht="12.75" customHeight="1">
      <c r="A54" s="310"/>
      <c r="B54" s="308" t="str">
        <f>Parameters!Q53</f>
        <v>J58</v>
      </c>
      <c r="C54" s="309"/>
      <c r="D54" s="495" t="str">
        <f>Parameters!S53</f>
        <v>Publishing activities</v>
      </c>
      <c r="E54" s="510"/>
      <c r="F54" s="224"/>
      <c r="G54" s="379"/>
      <c r="H54" s="225"/>
      <c r="I54" s="379"/>
      <c r="J54" s="225"/>
      <c r="K54" s="379"/>
      <c r="L54" s="225"/>
      <c r="M54" s="379"/>
      <c r="N54" s="225"/>
      <c r="O54" s="379"/>
      <c r="P54" s="225"/>
      <c r="Q54" s="379"/>
      <c r="R54" s="225"/>
      <c r="S54" s="379"/>
      <c r="T54" s="225"/>
      <c r="U54" s="379"/>
      <c r="V54" s="225"/>
      <c r="W54" s="379"/>
      <c r="X54" s="225"/>
      <c r="Y54" s="379"/>
      <c r="Z54" s="225"/>
      <c r="AA54" s="379"/>
      <c r="AB54" s="225"/>
      <c r="AC54" s="379"/>
      <c r="AD54" s="225"/>
      <c r="AE54" s="379"/>
      <c r="AF54" s="165">
        <v>6.9976367000000002</v>
      </c>
      <c r="AG54" s="379"/>
      <c r="AH54" s="165">
        <v>6.8229689999999996</v>
      </c>
      <c r="AI54" s="379"/>
      <c r="AJ54" s="165">
        <v>9.6523310999999996</v>
      </c>
      <c r="AK54" s="379"/>
      <c r="AL54" s="165">
        <v>7.8388983999999997</v>
      </c>
      <c r="AM54" s="379"/>
      <c r="AN54" s="165">
        <v>7.6780175000000002</v>
      </c>
      <c r="AO54" s="379"/>
      <c r="AP54" s="165">
        <v>7.7220770999999999</v>
      </c>
      <c r="AQ54" s="379"/>
      <c r="AR54" s="165">
        <v>7.7019639</v>
      </c>
      <c r="AS54" s="379"/>
      <c r="AT54" s="165">
        <v>6.8856530999999999</v>
      </c>
      <c r="AU54" s="379"/>
      <c r="AV54" s="165">
        <v>6.2930054999999996</v>
      </c>
      <c r="AW54" s="379"/>
      <c r="AX54" s="165">
        <v>5.4266671999999998</v>
      </c>
      <c r="AY54" s="379"/>
      <c r="AZ54" s="165">
        <v>5.4971727000000001</v>
      </c>
      <c r="BA54" s="379"/>
      <c r="BB54" s="165">
        <v>4.8696788</v>
      </c>
      <c r="BC54" s="379"/>
      <c r="BD54" s="165">
        <v>3.9331502999999999</v>
      </c>
      <c r="BE54" s="379"/>
      <c r="BF54" s="165">
        <v>3.5285983999999999</v>
      </c>
      <c r="BG54" s="379"/>
      <c r="BH54" s="225"/>
      <c r="BI54" s="184"/>
      <c r="CJ54" s="150"/>
      <c r="CK54" s="150"/>
      <c r="CL54" s="150"/>
      <c r="CM54" s="151" t="s">
        <v>926</v>
      </c>
      <c r="CN54" s="150" t="s">
        <v>1130</v>
      </c>
      <c r="CO54" s="150"/>
      <c r="CP54" s="150"/>
      <c r="CQ54" s="150"/>
      <c r="CR54" s="150"/>
      <c r="CS54" s="150"/>
      <c r="CT54" s="150"/>
    </row>
    <row r="55" spans="1:98" s="11" customFormat="1">
      <c r="A55" s="310"/>
      <c r="B55" s="308" t="str">
        <f>Parameters!Q54</f>
        <v>J59_J60</v>
      </c>
      <c r="C55" s="309"/>
      <c r="D55" s="495" t="str">
        <f>Parameters!S54</f>
        <v>Motion picture, video, television programme production; programming and broadcasting activities</v>
      </c>
      <c r="E55" s="510"/>
      <c r="F55" s="224"/>
      <c r="G55" s="379"/>
      <c r="H55" s="225"/>
      <c r="I55" s="379"/>
      <c r="J55" s="225"/>
      <c r="K55" s="379"/>
      <c r="L55" s="225"/>
      <c r="M55" s="379"/>
      <c r="N55" s="225"/>
      <c r="O55" s="379"/>
      <c r="P55" s="225"/>
      <c r="Q55" s="379"/>
      <c r="R55" s="225"/>
      <c r="S55" s="379"/>
      <c r="T55" s="225"/>
      <c r="U55" s="379"/>
      <c r="V55" s="225"/>
      <c r="W55" s="379"/>
      <c r="X55" s="225"/>
      <c r="Y55" s="379"/>
      <c r="Z55" s="225"/>
      <c r="AA55" s="379"/>
      <c r="AB55" s="225"/>
      <c r="AC55" s="379"/>
      <c r="AD55" s="225"/>
      <c r="AE55" s="379"/>
      <c r="AF55" s="165">
        <v>4.8268962999999996</v>
      </c>
      <c r="AG55" s="379"/>
      <c r="AH55" s="165">
        <v>4.9867219</v>
      </c>
      <c r="AI55" s="379"/>
      <c r="AJ55" s="165">
        <v>7.8921615000000003</v>
      </c>
      <c r="AK55" s="379"/>
      <c r="AL55" s="165">
        <v>5.1335626999999997</v>
      </c>
      <c r="AM55" s="379"/>
      <c r="AN55" s="165">
        <v>5.2922022000000002</v>
      </c>
      <c r="AO55" s="379"/>
      <c r="AP55" s="165">
        <v>4.2088618999999996</v>
      </c>
      <c r="AQ55" s="379"/>
      <c r="AR55" s="165">
        <v>4.1536995000000001</v>
      </c>
      <c r="AS55" s="379"/>
      <c r="AT55" s="165">
        <v>3.5642122000000001</v>
      </c>
      <c r="AU55" s="379"/>
      <c r="AV55" s="165">
        <v>3.6376705999999999</v>
      </c>
      <c r="AW55" s="379"/>
      <c r="AX55" s="165">
        <v>2.8007667000000001</v>
      </c>
      <c r="AY55" s="379"/>
      <c r="AZ55" s="165">
        <v>2.8760435000000002</v>
      </c>
      <c r="BA55" s="379"/>
      <c r="BB55" s="165">
        <v>2.3163554999999998</v>
      </c>
      <c r="BC55" s="379"/>
      <c r="BD55" s="165">
        <v>2.0865003999999998</v>
      </c>
      <c r="BE55" s="379"/>
      <c r="BF55" s="165">
        <v>2.3490441999999998</v>
      </c>
      <c r="BG55" s="379"/>
      <c r="BH55" s="225"/>
      <c r="BI55" s="184"/>
      <c r="CJ55" s="150"/>
      <c r="CK55" s="150"/>
      <c r="CL55" s="150"/>
      <c r="CM55" s="151" t="s">
        <v>1139</v>
      </c>
      <c r="CN55" s="150" t="s">
        <v>1130</v>
      </c>
      <c r="CO55" s="150"/>
      <c r="CP55" s="150"/>
      <c r="CQ55" s="150"/>
      <c r="CR55" s="150"/>
      <c r="CS55" s="150"/>
      <c r="CT55" s="150"/>
    </row>
    <row r="56" spans="1:98" s="11" customFormat="1" ht="13.9" customHeight="1">
      <c r="A56" s="26"/>
      <c r="B56" s="89" t="str">
        <f>Parameters!Q55</f>
        <v>J61</v>
      </c>
      <c r="C56" s="90"/>
      <c r="D56" s="504" t="str">
        <f>Parameters!S55</f>
        <v>Telecommunications</v>
      </c>
      <c r="E56" s="505"/>
      <c r="F56" s="226"/>
      <c r="G56" s="379"/>
      <c r="H56" s="227"/>
      <c r="I56" s="379"/>
      <c r="J56" s="227"/>
      <c r="K56" s="379"/>
      <c r="L56" s="227"/>
      <c r="M56" s="379"/>
      <c r="N56" s="227"/>
      <c r="O56" s="379"/>
      <c r="P56" s="227"/>
      <c r="Q56" s="379"/>
      <c r="R56" s="227"/>
      <c r="S56" s="379"/>
      <c r="T56" s="227"/>
      <c r="U56" s="379"/>
      <c r="V56" s="227"/>
      <c r="W56" s="379"/>
      <c r="X56" s="227"/>
      <c r="Y56" s="379"/>
      <c r="Z56" s="227"/>
      <c r="AA56" s="379"/>
      <c r="AB56" s="227"/>
      <c r="AC56" s="379"/>
      <c r="AD56" s="227"/>
      <c r="AE56" s="379"/>
      <c r="AF56" s="166">
        <v>0</v>
      </c>
      <c r="AG56" s="379" t="s">
        <v>420</v>
      </c>
      <c r="AH56" s="166">
        <v>0</v>
      </c>
      <c r="AI56" s="379" t="s">
        <v>420</v>
      </c>
      <c r="AJ56" s="166">
        <v>0</v>
      </c>
      <c r="AK56" s="379" t="s">
        <v>420</v>
      </c>
      <c r="AL56" s="166">
        <v>0</v>
      </c>
      <c r="AM56" s="379" t="s">
        <v>420</v>
      </c>
      <c r="AN56" s="166">
        <v>0</v>
      </c>
      <c r="AO56" s="379" t="s">
        <v>420</v>
      </c>
      <c r="AP56" s="166">
        <v>0</v>
      </c>
      <c r="AQ56" s="379" t="s">
        <v>420</v>
      </c>
      <c r="AR56" s="166">
        <v>0</v>
      </c>
      <c r="AS56" s="379" t="s">
        <v>420</v>
      </c>
      <c r="AT56" s="166">
        <v>0</v>
      </c>
      <c r="AU56" s="379" t="s">
        <v>420</v>
      </c>
      <c r="AV56" s="166">
        <v>0</v>
      </c>
      <c r="AW56" s="379" t="s">
        <v>420</v>
      </c>
      <c r="AX56" s="166">
        <v>0</v>
      </c>
      <c r="AY56" s="379" t="s">
        <v>420</v>
      </c>
      <c r="AZ56" s="166">
        <v>0</v>
      </c>
      <c r="BA56" s="379" t="s">
        <v>420</v>
      </c>
      <c r="BB56" s="166">
        <v>0</v>
      </c>
      <c r="BC56" s="379" t="s">
        <v>420</v>
      </c>
      <c r="BD56" s="166">
        <v>0</v>
      </c>
      <c r="BE56" s="379" t="s">
        <v>420</v>
      </c>
      <c r="BF56" s="166">
        <v>0</v>
      </c>
      <c r="BG56" s="379" t="s">
        <v>420</v>
      </c>
      <c r="BH56" s="227"/>
      <c r="BI56" s="184"/>
      <c r="CJ56" s="150"/>
      <c r="CK56" s="150"/>
      <c r="CL56" s="150"/>
      <c r="CM56" s="151" t="s">
        <v>939</v>
      </c>
      <c r="CN56" s="150" t="s">
        <v>1130</v>
      </c>
      <c r="CO56" s="150"/>
      <c r="CP56" s="150"/>
      <c r="CQ56" s="150"/>
      <c r="CR56" s="150"/>
      <c r="CS56" s="150"/>
      <c r="CT56" s="150"/>
    </row>
    <row r="57" spans="1:98" s="10" customFormat="1" ht="12.75" customHeight="1">
      <c r="A57" s="26"/>
      <c r="B57" s="89" t="str">
        <f>Parameters!Q56</f>
        <v>J62_J63</v>
      </c>
      <c r="C57" s="90"/>
      <c r="D57" s="504" t="str">
        <f>Parameters!S56</f>
        <v>Computer programming, consultancy, and information service activities</v>
      </c>
      <c r="E57" s="505"/>
      <c r="F57" s="226"/>
      <c r="G57" s="379"/>
      <c r="H57" s="227"/>
      <c r="I57" s="379"/>
      <c r="J57" s="227"/>
      <c r="K57" s="379"/>
      <c r="L57" s="227"/>
      <c r="M57" s="379"/>
      <c r="N57" s="227"/>
      <c r="O57" s="379"/>
      <c r="P57" s="227"/>
      <c r="Q57" s="379"/>
      <c r="R57" s="227"/>
      <c r="S57" s="379"/>
      <c r="T57" s="227"/>
      <c r="U57" s="379"/>
      <c r="V57" s="227"/>
      <c r="W57" s="379"/>
      <c r="X57" s="227"/>
      <c r="Y57" s="379"/>
      <c r="Z57" s="227"/>
      <c r="AA57" s="379"/>
      <c r="AB57" s="227"/>
      <c r="AC57" s="379"/>
      <c r="AD57" s="227"/>
      <c r="AE57" s="379"/>
      <c r="AF57" s="166">
        <v>16.522796</v>
      </c>
      <c r="AG57" s="379"/>
      <c r="AH57" s="166">
        <v>15.8805285</v>
      </c>
      <c r="AI57" s="379"/>
      <c r="AJ57" s="166">
        <v>19.9701983</v>
      </c>
      <c r="AK57" s="379"/>
      <c r="AL57" s="166">
        <v>18.803569899999999</v>
      </c>
      <c r="AM57" s="379"/>
      <c r="AN57" s="166">
        <v>18.890628400000001</v>
      </c>
      <c r="AO57" s="379"/>
      <c r="AP57" s="166">
        <v>20.317642299999999</v>
      </c>
      <c r="AQ57" s="379"/>
      <c r="AR57" s="166">
        <v>17.925582599999998</v>
      </c>
      <c r="AS57" s="379"/>
      <c r="AT57" s="166">
        <v>17.364493499999998</v>
      </c>
      <c r="AU57" s="379"/>
      <c r="AV57" s="166">
        <v>15.4644712</v>
      </c>
      <c r="AW57" s="379"/>
      <c r="AX57" s="166">
        <v>11.2555747</v>
      </c>
      <c r="AY57" s="379"/>
      <c r="AZ57" s="166">
        <v>11.4624062</v>
      </c>
      <c r="BA57" s="379"/>
      <c r="BB57" s="166">
        <v>11.6093309</v>
      </c>
      <c r="BC57" s="379"/>
      <c r="BD57" s="166">
        <v>9.7900416999999997</v>
      </c>
      <c r="BE57" s="379"/>
      <c r="BF57" s="166">
        <v>10.219330899999999</v>
      </c>
      <c r="BG57" s="379"/>
      <c r="BH57" s="227"/>
      <c r="BI57" s="184"/>
      <c r="CJ57" s="150"/>
      <c r="CK57" s="150"/>
      <c r="CL57" s="150"/>
      <c r="CM57" s="151" t="s">
        <v>1140</v>
      </c>
      <c r="CN57" s="150" t="s">
        <v>1130</v>
      </c>
      <c r="CO57" s="150"/>
      <c r="CP57" s="150"/>
      <c r="CQ57" s="150"/>
      <c r="CR57" s="150"/>
      <c r="CS57" s="150"/>
      <c r="CT57" s="150"/>
    </row>
    <row r="58" spans="1:98" s="10" customFormat="1" ht="12.75" customHeight="1">
      <c r="A58" s="25"/>
      <c r="B58" s="87" t="str">
        <f>Parameters!Q57</f>
        <v>K</v>
      </c>
      <c r="C58" s="88"/>
      <c r="D58" s="498" t="str">
        <f>Parameters!S57</f>
        <v>Financial and insurance activities</v>
      </c>
      <c r="E58" s="499"/>
      <c r="F58" s="222"/>
      <c r="G58" s="379"/>
      <c r="H58" s="223"/>
      <c r="I58" s="379"/>
      <c r="J58" s="223"/>
      <c r="K58" s="379"/>
      <c r="L58" s="223"/>
      <c r="M58" s="379"/>
      <c r="N58" s="223"/>
      <c r="O58" s="379"/>
      <c r="P58" s="223"/>
      <c r="Q58" s="379"/>
      <c r="R58" s="223"/>
      <c r="S58" s="379"/>
      <c r="T58" s="223"/>
      <c r="U58" s="379"/>
      <c r="V58" s="223"/>
      <c r="W58" s="379"/>
      <c r="X58" s="223"/>
      <c r="Y58" s="379"/>
      <c r="Z58" s="223"/>
      <c r="AA58" s="379"/>
      <c r="AB58" s="223"/>
      <c r="AC58" s="379"/>
      <c r="AD58" s="223"/>
      <c r="AE58" s="379"/>
      <c r="AF58" s="164">
        <v>1.0958927999999999</v>
      </c>
      <c r="AG58" s="379"/>
      <c r="AH58" s="164">
        <v>1.4005863000000001</v>
      </c>
      <c r="AI58" s="379"/>
      <c r="AJ58" s="164">
        <v>4.0162944999999999</v>
      </c>
      <c r="AK58" s="379"/>
      <c r="AL58" s="164">
        <v>0.68806719999999999</v>
      </c>
      <c r="AM58" s="379"/>
      <c r="AN58" s="164">
        <v>0.59725819999999996</v>
      </c>
      <c r="AO58" s="379"/>
      <c r="AP58" s="164">
        <v>0.40337390000000001</v>
      </c>
      <c r="AQ58" s="379"/>
      <c r="AR58" s="164">
        <v>0.24321129999999999</v>
      </c>
      <c r="AS58" s="379"/>
      <c r="AT58" s="164">
        <v>0.1979552</v>
      </c>
      <c r="AU58" s="379"/>
      <c r="AV58" s="164">
        <v>0.22533439999999999</v>
      </c>
      <c r="AW58" s="379"/>
      <c r="AX58" s="164">
        <v>0.33566109999999999</v>
      </c>
      <c r="AY58" s="379"/>
      <c r="AZ58" s="164">
        <v>0.18383859999999999</v>
      </c>
      <c r="BA58" s="379"/>
      <c r="BB58" s="164">
        <v>1.1528016000000001</v>
      </c>
      <c r="BC58" s="379"/>
      <c r="BD58" s="164">
        <v>0.83352029999999999</v>
      </c>
      <c r="BE58" s="379"/>
      <c r="BF58" s="164">
        <v>0.14206050000000001</v>
      </c>
      <c r="BG58" s="379"/>
      <c r="BH58" s="223"/>
      <c r="BI58" s="184"/>
      <c r="CJ58" s="150"/>
      <c r="CK58" s="150"/>
      <c r="CL58" s="150"/>
      <c r="CM58" s="151" t="s">
        <v>951</v>
      </c>
      <c r="CN58" s="150" t="s">
        <v>1130</v>
      </c>
      <c r="CO58" s="150"/>
      <c r="CP58" s="150"/>
      <c r="CQ58" s="150"/>
      <c r="CR58" s="150"/>
      <c r="CS58" s="150"/>
      <c r="CT58" s="150"/>
    </row>
    <row r="59" spans="1:98" s="11" customFormat="1" ht="12.75" customHeight="1">
      <c r="A59" s="310"/>
      <c r="B59" s="308" t="str">
        <f>Parameters!Q58</f>
        <v>K64</v>
      </c>
      <c r="C59" s="309"/>
      <c r="D59" s="495" t="str">
        <f>Parameters!S58</f>
        <v>Financial service activities, except insurance and pension funding</v>
      </c>
      <c r="E59" s="496"/>
      <c r="F59" s="224"/>
      <c r="G59" s="379"/>
      <c r="H59" s="225"/>
      <c r="I59" s="379"/>
      <c r="J59" s="225"/>
      <c r="K59" s="379"/>
      <c r="L59" s="225"/>
      <c r="M59" s="379"/>
      <c r="N59" s="225"/>
      <c r="O59" s="379"/>
      <c r="P59" s="225"/>
      <c r="Q59" s="379"/>
      <c r="R59" s="225"/>
      <c r="S59" s="379"/>
      <c r="T59" s="225"/>
      <c r="U59" s="379"/>
      <c r="V59" s="225"/>
      <c r="W59" s="379"/>
      <c r="X59" s="225"/>
      <c r="Y59" s="379"/>
      <c r="Z59" s="225"/>
      <c r="AA59" s="379"/>
      <c r="AB59" s="225"/>
      <c r="AC59" s="379"/>
      <c r="AD59" s="225"/>
      <c r="AE59" s="379"/>
      <c r="AF59" s="165">
        <v>1.016578</v>
      </c>
      <c r="AG59" s="379"/>
      <c r="AH59" s="165">
        <v>1.3009712</v>
      </c>
      <c r="AI59" s="379"/>
      <c r="AJ59" s="165">
        <v>3.7252247000000001</v>
      </c>
      <c r="AK59" s="379"/>
      <c r="AL59" s="165">
        <v>0.54649530000000002</v>
      </c>
      <c r="AM59" s="379"/>
      <c r="AN59" s="165">
        <v>0.50905420000000001</v>
      </c>
      <c r="AO59" s="379"/>
      <c r="AP59" s="165">
        <v>0.26340439999999998</v>
      </c>
      <c r="AQ59" s="379"/>
      <c r="AR59" s="165">
        <v>7.64291E-2</v>
      </c>
      <c r="AS59" s="379"/>
      <c r="AT59" s="165">
        <v>6.04197E-2</v>
      </c>
      <c r="AU59" s="379"/>
      <c r="AV59" s="165">
        <v>5.8515299999999999E-2</v>
      </c>
      <c r="AW59" s="379"/>
      <c r="AX59" s="165">
        <v>0.1826034</v>
      </c>
      <c r="AY59" s="379"/>
      <c r="AZ59" s="165">
        <v>3.8623299999999999E-2</v>
      </c>
      <c r="BA59" s="379"/>
      <c r="BB59" s="165">
        <v>1.0646922000000001</v>
      </c>
      <c r="BC59" s="379"/>
      <c r="BD59" s="165">
        <v>0.72827819999999999</v>
      </c>
      <c r="BE59" s="379"/>
      <c r="BF59" s="165">
        <v>3.5596799999999998E-2</v>
      </c>
      <c r="BG59" s="379"/>
      <c r="BH59" s="225"/>
      <c r="BI59" s="184"/>
      <c r="CJ59" s="150"/>
      <c r="CK59" s="150"/>
      <c r="CL59" s="150"/>
      <c r="CM59" s="151" t="s">
        <v>957</v>
      </c>
      <c r="CN59" s="150" t="s">
        <v>1130</v>
      </c>
      <c r="CO59" s="150"/>
      <c r="CP59" s="150"/>
      <c r="CQ59" s="150"/>
      <c r="CR59" s="150"/>
      <c r="CS59" s="150"/>
      <c r="CT59" s="150"/>
    </row>
    <row r="60" spans="1:98" s="11" customFormat="1" ht="12.75" customHeight="1">
      <c r="A60" s="310"/>
      <c r="B60" s="308" t="str">
        <f>Parameters!Q59</f>
        <v>K65</v>
      </c>
      <c r="C60" s="309"/>
      <c r="D60" s="495" t="str">
        <f>Parameters!S59</f>
        <v>Insurance, reinsurance and pension funding, except compulsory social security</v>
      </c>
      <c r="E60" s="496"/>
      <c r="F60" s="224"/>
      <c r="G60" s="379"/>
      <c r="H60" s="225"/>
      <c r="I60" s="379"/>
      <c r="J60" s="225"/>
      <c r="K60" s="379"/>
      <c r="L60" s="225"/>
      <c r="M60" s="379"/>
      <c r="N60" s="225"/>
      <c r="O60" s="379"/>
      <c r="P60" s="225"/>
      <c r="Q60" s="379"/>
      <c r="R60" s="225"/>
      <c r="S60" s="379"/>
      <c r="T60" s="225"/>
      <c r="U60" s="379"/>
      <c r="V60" s="225"/>
      <c r="W60" s="379"/>
      <c r="X60" s="225"/>
      <c r="Y60" s="379"/>
      <c r="Z60" s="225"/>
      <c r="AA60" s="379"/>
      <c r="AB60" s="225"/>
      <c r="AC60" s="379"/>
      <c r="AD60" s="225"/>
      <c r="AE60" s="379"/>
      <c r="AF60" s="165">
        <v>1.2952699999999999E-2</v>
      </c>
      <c r="AG60" s="379"/>
      <c r="AH60" s="165">
        <v>2.7516700000000002E-2</v>
      </c>
      <c r="AI60" s="379"/>
      <c r="AJ60" s="165">
        <v>0.1014056</v>
      </c>
      <c r="AK60" s="379"/>
      <c r="AL60" s="165">
        <v>1.27636E-2</v>
      </c>
      <c r="AM60" s="379"/>
      <c r="AN60" s="165">
        <v>0</v>
      </c>
      <c r="AO60" s="379"/>
      <c r="AP60" s="165">
        <v>0</v>
      </c>
      <c r="AQ60" s="379"/>
      <c r="AR60" s="165">
        <v>0</v>
      </c>
      <c r="AS60" s="379"/>
      <c r="AT60" s="165">
        <v>0</v>
      </c>
      <c r="AU60" s="379"/>
      <c r="AV60" s="165">
        <v>0</v>
      </c>
      <c r="AW60" s="379"/>
      <c r="AX60" s="165">
        <v>5.6056999999999999E-3</v>
      </c>
      <c r="AY60" s="379"/>
      <c r="AZ60" s="165">
        <v>1.5018200000000001E-2</v>
      </c>
      <c r="BA60" s="379"/>
      <c r="BB60" s="165">
        <v>0</v>
      </c>
      <c r="BC60" s="379"/>
      <c r="BD60" s="165">
        <v>0</v>
      </c>
      <c r="BE60" s="379"/>
      <c r="BF60" s="165">
        <v>0</v>
      </c>
      <c r="BG60" s="379"/>
      <c r="BH60" s="225"/>
      <c r="BI60" s="184"/>
      <c r="CJ60" s="150"/>
      <c r="CK60" s="150"/>
      <c r="CL60" s="150"/>
      <c r="CM60" s="151" t="s">
        <v>963</v>
      </c>
      <c r="CN60" s="150" t="s">
        <v>1130</v>
      </c>
      <c r="CO60" s="150"/>
      <c r="CP60" s="150"/>
      <c r="CQ60" s="150"/>
      <c r="CR60" s="150"/>
      <c r="CS60" s="150"/>
      <c r="CT60" s="150"/>
    </row>
    <row r="61" spans="1:98" s="11" customFormat="1" ht="12.75" customHeight="1">
      <c r="A61" s="310"/>
      <c r="B61" s="308" t="str">
        <f>Parameters!Q60</f>
        <v>K66</v>
      </c>
      <c r="C61" s="309"/>
      <c r="D61" s="495" t="str">
        <f>Parameters!S60</f>
        <v>Activities auxiliary to financial services and insurance activities</v>
      </c>
      <c r="E61" s="510"/>
      <c r="F61" s="224"/>
      <c r="G61" s="379"/>
      <c r="H61" s="225"/>
      <c r="I61" s="379"/>
      <c r="J61" s="225"/>
      <c r="K61" s="379"/>
      <c r="L61" s="225"/>
      <c r="M61" s="379"/>
      <c r="N61" s="225"/>
      <c r="O61" s="379"/>
      <c r="P61" s="225"/>
      <c r="Q61" s="379"/>
      <c r="R61" s="225"/>
      <c r="S61" s="379"/>
      <c r="T61" s="225"/>
      <c r="U61" s="379"/>
      <c r="V61" s="225"/>
      <c r="W61" s="379"/>
      <c r="X61" s="225"/>
      <c r="Y61" s="379"/>
      <c r="Z61" s="225"/>
      <c r="AA61" s="379"/>
      <c r="AB61" s="225"/>
      <c r="AC61" s="379"/>
      <c r="AD61" s="225"/>
      <c r="AE61" s="379"/>
      <c r="AF61" s="165">
        <v>6.6362099999999993E-2</v>
      </c>
      <c r="AG61" s="379"/>
      <c r="AH61" s="165">
        <v>7.2098400000000007E-2</v>
      </c>
      <c r="AI61" s="379"/>
      <c r="AJ61" s="165">
        <v>0.18966420000000001</v>
      </c>
      <c r="AK61" s="379"/>
      <c r="AL61" s="165">
        <v>0.12880820000000001</v>
      </c>
      <c r="AM61" s="379"/>
      <c r="AN61" s="165">
        <v>8.8204000000000005E-2</v>
      </c>
      <c r="AO61" s="379"/>
      <c r="AP61" s="165">
        <v>0.1399695</v>
      </c>
      <c r="AQ61" s="379"/>
      <c r="AR61" s="165">
        <v>0.16678219999999999</v>
      </c>
      <c r="AS61" s="379"/>
      <c r="AT61" s="165">
        <v>0.1375355</v>
      </c>
      <c r="AU61" s="379"/>
      <c r="AV61" s="165">
        <v>0.1668191</v>
      </c>
      <c r="AW61" s="379"/>
      <c r="AX61" s="165">
        <v>0.147452</v>
      </c>
      <c r="AY61" s="379"/>
      <c r="AZ61" s="165">
        <v>0.13019710000000001</v>
      </c>
      <c r="BA61" s="379"/>
      <c r="BB61" s="165">
        <v>8.8109400000000004E-2</v>
      </c>
      <c r="BC61" s="379"/>
      <c r="BD61" s="165">
        <v>0.10524210000000001</v>
      </c>
      <c r="BE61" s="379"/>
      <c r="BF61" s="165">
        <v>0.10646369999999999</v>
      </c>
      <c r="BG61" s="379"/>
      <c r="BH61" s="225"/>
      <c r="BI61" s="184"/>
      <c r="CJ61" s="150"/>
      <c r="CK61" s="150"/>
      <c r="CL61" s="150"/>
      <c r="CM61" s="151" t="s">
        <v>969</v>
      </c>
      <c r="CN61" s="150" t="s">
        <v>1130</v>
      </c>
      <c r="CO61" s="150"/>
      <c r="CP61" s="150"/>
      <c r="CQ61" s="150"/>
      <c r="CR61" s="150"/>
      <c r="CS61" s="150"/>
      <c r="CT61" s="150"/>
    </row>
    <row r="62" spans="1:98" s="11" customFormat="1" ht="12.75" customHeight="1">
      <c r="A62" s="25"/>
      <c r="B62" s="87" t="str">
        <f>Parameters!Q61</f>
        <v>L</v>
      </c>
      <c r="C62" s="88"/>
      <c r="D62" s="498" t="str">
        <f>Parameters!S61</f>
        <v>Real estate activities</v>
      </c>
      <c r="E62" s="507"/>
      <c r="F62" s="222"/>
      <c r="G62" s="379"/>
      <c r="H62" s="223"/>
      <c r="I62" s="379"/>
      <c r="J62" s="223"/>
      <c r="K62" s="379"/>
      <c r="L62" s="223"/>
      <c r="M62" s="379"/>
      <c r="N62" s="223"/>
      <c r="O62" s="379"/>
      <c r="P62" s="223"/>
      <c r="Q62" s="379"/>
      <c r="R62" s="223"/>
      <c r="S62" s="379"/>
      <c r="T62" s="223"/>
      <c r="U62" s="379"/>
      <c r="V62" s="223"/>
      <c r="W62" s="379"/>
      <c r="X62" s="223"/>
      <c r="Y62" s="379"/>
      <c r="Z62" s="223"/>
      <c r="AA62" s="379"/>
      <c r="AB62" s="223"/>
      <c r="AC62" s="379"/>
      <c r="AD62" s="223"/>
      <c r="AE62" s="379"/>
      <c r="AF62" s="164">
        <v>104.1263565</v>
      </c>
      <c r="AG62" s="379"/>
      <c r="AH62" s="164">
        <v>115.9758052</v>
      </c>
      <c r="AI62" s="379"/>
      <c r="AJ62" s="164">
        <v>184.2350734</v>
      </c>
      <c r="AK62" s="379"/>
      <c r="AL62" s="164">
        <v>134.57486750000001</v>
      </c>
      <c r="AM62" s="379"/>
      <c r="AN62" s="164">
        <v>108.192599</v>
      </c>
      <c r="AO62" s="379"/>
      <c r="AP62" s="164">
        <v>128.686735</v>
      </c>
      <c r="AQ62" s="379"/>
      <c r="AR62" s="164">
        <v>101.40134759999999</v>
      </c>
      <c r="AS62" s="379"/>
      <c r="AT62" s="164">
        <v>95.966149700000003</v>
      </c>
      <c r="AU62" s="379"/>
      <c r="AV62" s="164">
        <v>100.3347405</v>
      </c>
      <c r="AW62" s="379"/>
      <c r="AX62" s="164">
        <v>85.869728899999998</v>
      </c>
      <c r="AY62" s="379"/>
      <c r="AZ62" s="164">
        <v>119.6317073</v>
      </c>
      <c r="BA62" s="379"/>
      <c r="BB62" s="164">
        <v>72.145741999999998</v>
      </c>
      <c r="BC62" s="379"/>
      <c r="BD62" s="164">
        <v>69.717165199999997</v>
      </c>
      <c r="BE62" s="379"/>
      <c r="BF62" s="164">
        <v>73.268198400000003</v>
      </c>
      <c r="BG62" s="379"/>
      <c r="BH62" s="223"/>
      <c r="BI62" s="184"/>
      <c r="CJ62" s="150"/>
      <c r="CK62" s="150"/>
      <c r="CL62" s="150"/>
      <c r="CM62" s="151" t="s">
        <v>974</v>
      </c>
      <c r="CN62" s="150" t="s">
        <v>1130</v>
      </c>
      <c r="CO62" s="150"/>
      <c r="CP62" s="150"/>
      <c r="CQ62" s="150"/>
      <c r="CR62" s="150"/>
      <c r="CS62" s="150"/>
      <c r="CT62" s="150"/>
    </row>
    <row r="63" spans="1:98" s="11" customFormat="1" ht="12.75" customHeight="1">
      <c r="A63" s="310"/>
      <c r="B63" s="308" t="str">
        <f>Parameters!Q62</f>
        <v>L68A</v>
      </c>
      <c r="C63" s="309"/>
      <c r="D63" s="508" t="str">
        <f>Parameters!S62</f>
        <v>Imputed rents of owner-occupied dwellings</v>
      </c>
      <c r="E63" s="509"/>
      <c r="F63" s="229"/>
      <c r="G63" s="379"/>
      <c r="H63" s="230"/>
      <c r="I63" s="379"/>
      <c r="J63" s="230"/>
      <c r="K63" s="379"/>
      <c r="L63" s="230"/>
      <c r="M63" s="379"/>
      <c r="N63" s="230"/>
      <c r="O63" s="379"/>
      <c r="P63" s="230"/>
      <c r="Q63" s="379"/>
      <c r="R63" s="230"/>
      <c r="S63" s="379"/>
      <c r="T63" s="230"/>
      <c r="U63" s="379"/>
      <c r="V63" s="230"/>
      <c r="W63" s="379"/>
      <c r="X63" s="230"/>
      <c r="Y63" s="379"/>
      <c r="Z63" s="230"/>
      <c r="AA63" s="379"/>
      <c r="AB63" s="230"/>
      <c r="AC63" s="379"/>
      <c r="AD63" s="230"/>
      <c r="AE63" s="379"/>
      <c r="AF63" s="168">
        <v>104.1263565</v>
      </c>
      <c r="AG63" s="379"/>
      <c r="AH63" s="168">
        <v>115.9758052</v>
      </c>
      <c r="AI63" s="379"/>
      <c r="AJ63" s="168">
        <v>184.2350734</v>
      </c>
      <c r="AK63" s="379"/>
      <c r="AL63" s="168">
        <v>134.57486750000001</v>
      </c>
      <c r="AM63" s="379"/>
      <c r="AN63" s="168">
        <v>108.192599</v>
      </c>
      <c r="AO63" s="379"/>
      <c r="AP63" s="168">
        <v>128.686735</v>
      </c>
      <c r="AQ63" s="379"/>
      <c r="AR63" s="168">
        <v>101.40134759999999</v>
      </c>
      <c r="AS63" s="379"/>
      <c r="AT63" s="168">
        <v>95.966149700000003</v>
      </c>
      <c r="AU63" s="379"/>
      <c r="AV63" s="168">
        <v>100.3347405</v>
      </c>
      <c r="AW63" s="379"/>
      <c r="AX63" s="168">
        <v>85.869728899999998</v>
      </c>
      <c r="AY63" s="379"/>
      <c r="AZ63" s="168">
        <v>119.6317073</v>
      </c>
      <c r="BA63" s="379"/>
      <c r="BB63" s="168">
        <v>72.145741999999998</v>
      </c>
      <c r="BC63" s="379"/>
      <c r="BD63" s="168">
        <v>69.717165199999997</v>
      </c>
      <c r="BE63" s="379"/>
      <c r="BF63" s="168">
        <v>73.268198400000003</v>
      </c>
      <c r="BG63" s="379"/>
      <c r="BH63" s="230"/>
      <c r="BI63" s="184"/>
      <c r="CJ63" s="150"/>
      <c r="CK63" s="150"/>
      <c r="CL63" s="150"/>
      <c r="CM63" s="151" t="s">
        <v>981</v>
      </c>
      <c r="CN63" s="150" t="s">
        <v>1130</v>
      </c>
      <c r="CO63" s="150"/>
      <c r="CP63" s="150"/>
      <c r="CQ63" s="150"/>
      <c r="CR63" s="150"/>
      <c r="CS63" s="150"/>
      <c r="CT63" s="150"/>
    </row>
    <row r="64" spans="1:98" s="11" customFormat="1" ht="12.75" customHeight="1">
      <c r="A64" s="25"/>
      <c r="B64" s="87" t="str">
        <f>Parameters!Q63</f>
        <v>M</v>
      </c>
      <c r="C64" s="88"/>
      <c r="D64" s="498" t="str">
        <f>Parameters!S63</f>
        <v>Professional, scientific and technical activities</v>
      </c>
      <c r="E64" s="499"/>
      <c r="F64" s="222"/>
      <c r="G64" s="379"/>
      <c r="H64" s="223"/>
      <c r="I64" s="379"/>
      <c r="J64" s="223"/>
      <c r="K64" s="379"/>
      <c r="L64" s="223"/>
      <c r="M64" s="379"/>
      <c r="N64" s="223"/>
      <c r="O64" s="379"/>
      <c r="P64" s="223"/>
      <c r="Q64" s="379"/>
      <c r="R64" s="223"/>
      <c r="S64" s="379"/>
      <c r="T64" s="223"/>
      <c r="U64" s="379"/>
      <c r="V64" s="223"/>
      <c r="W64" s="379"/>
      <c r="X64" s="223"/>
      <c r="Y64" s="379"/>
      <c r="Z64" s="223"/>
      <c r="AA64" s="379"/>
      <c r="AB64" s="223"/>
      <c r="AC64" s="379"/>
      <c r="AD64" s="223"/>
      <c r="AE64" s="379"/>
      <c r="AF64" s="164">
        <v>109.2442247</v>
      </c>
      <c r="AG64" s="379"/>
      <c r="AH64" s="164">
        <v>112.8634239</v>
      </c>
      <c r="AI64" s="379"/>
      <c r="AJ64" s="164">
        <v>125.1681663</v>
      </c>
      <c r="AK64" s="379"/>
      <c r="AL64" s="164">
        <v>138.79166480000001</v>
      </c>
      <c r="AM64" s="379"/>
      <c r="AN64" s="164">
        <v>143.49953840000001</v>
      </c>
      <c r="AO64" s="379"/>
      <c r="AP64" s="164">
        <v>157.80709049999999</v>
      </c>
      <c r="AQ64" s="379"/>
      <c r="AR64" s="164">
        <v>138.76060960000001</v>
      </c>
      <c r="AS64" s="379"/>
      <c r="AT64" s="164">
        <v>122.03306859999999</v>
      </c>
      <c r="AU64" s="379"/>
      <c r="AV64" s="164">
        <v>110.7770039</v>
      </c>
      <c r="AW64" s="379"/>
      <c r="AX64" s="164">
        <v>101.6641529</v>
      </c>
      <c r="AY64" s="379"/>
      <c r="AZ64" s="164">
        <v>98.214414899999994</v>
      </c>
      <c r="BA64" s="379"/>
      <c r="BB64" s="164">
        <v>77.943712599999998</v>
      </c>
      <c r="BC64" s="379"/>
      <c r="BD64" s="164">
        <v>70.198515</v>
      </c>
      <c r="BE64" s="379"/>
      <c r="BF64" s="164">
        <v>90.240129300000007</v>
      </c>
      <c r="BG64" s="379"/>
      <c r="BH64" s="223"/>
      <c r="BI64" s="184"/>
      <c r="CJ64" s="150"/>
      <c r="CK64" s="150"/>
      <c r="CL64" s="150"/>
      <c r="CM64" s="151" t="s">
        <v>988</v>
      </c>
      <c r="CN64" s="150" t="s">
        <v>1130</v>
      </c>
      <c r="CO64" s="150"/>
      <c r="CP64" s="150"/>
      <c r="CQ64" s="150"/>
      <c r="CR64" s="150"/>
      <c r="CS64" s="150"/>
      <c r="CT64" s="150"/>
    </row>
    <row r="65" spans="1:98" s="11" customFormat="1" ht="26.25" customHeight="1">
      <c r="A65" s="26"/>
      <c r="B65" s="89" t="str">
        <f>Parameters!Q64</f>
        <v>M69-M71</v>
      </c>
      <c r="C65" s="90"/>
      <c r="D65" s="504" t="str">
        <f>Parameters!S64</f>
        <v>Legal and accounting activities; activities of head offices; management consultancy activities; architectural and engineering activities; technical testing and analysis</v>
      </c>
      <c r="E65" s="506"/>
      <c r="F65" s="252"/>
      <c r="G65" s="380"/>
      <c r="H65" s="253"/>
      <c r="I65" s="380"/>
      <c r="J65" s="253"/>
      <c r="K65" s="380"/>
      <c r="L65" s="253"/>
      <c r="M65" s="380"/>
      <c r="N65" s="253"/>
      <c r="O65" s="380"/>
      <c r="P65" s="253"/>
      <c r="Q65" s="380"/>
      <c r="R65" s="253"/>
      <c r="S65" s="380"/>
      <c r="T65" s="253"/>
      <c r="U65" s="380"/>
      <c r="V65" s="253"/>
      <c r="W65" s="380"/>
      <c r="X65" s="253"/>
      <c r="Y65" s="380"/>
      <c r="Z65" s="253"/>
      <c r="AA65" s="380"/>
      <c r="AB65" s="253"/>
      <c r="AC65" s="380"/>
      <c r="AD65" s="253"/>
      <c r="AE65" s="380"/>
      <c r="AF65" s="253">
        <v>0</v>
      </c>
      <c r="AG65" s="380"/>
      <c r="AH65" s="253">
        <v>0</v>
      </c>
      <c r="AI65" s="380"/>
      <c r="AJ65" s="253">
        <v>0</v>
      </c>
      <c r="AK65" s="380"/>
      <c r="AL65" s="253">
        <v>0</v>
      </c>
      <c r="AM65" s="380"/>
      <c r="AN65" s="253">
        <v>0</v>
      </c>
      <c r="AO65" s="380"/>
      <c r="AP65" s="253">
        <v>0</v>
      </c>
      <c r="AQ65" s="380"/>
      <c r="AR65" s="253">
        <v>0</v>
      </c>
      <c r="AS65" s="380"/>
      <c r="AT65" s="253">
        <v>0</v>
      </c>
      <c r="AU65" s="380"/>
      <c r="AV65" s="253">
        <v>0</v>
      </c>
      <c r="AW65" s="380"/>
      <c r="AX65" s="253">
        <v>0</v>
      </c>
      <c r="AY65" s="380"/>
      <c r="AZ65" s="253">
        <v>0</v>
      </c>
      <c r="BA65" s="380"/>
      <c r="BB65" s="253">
        <v>0</v>
      </c>
      <c r="BC65" s="380"/>
      <c r="BD65" s="253">
        <v>0</v>
      </c>
      <c r="BE65" s="380"/>
      <c r="BF65" s="253">
        <v>0</v>
      </c>
      <c r="BG65" s="380"/>
      <c r="BH65" s="253"/>
      <c r="BI65" s="254"/>
      <c r="CJ65" s="150"/>
      <c r="CK65" s="150"/>
      <c r="CL65" s="150"/>
      <c r="CM65" s="151"/>
      <c r="CN65" s="150"/>
      <c r="CO65" s="150"/>
      <c r="CP65" s="150"/>
      <c r="CQ65" s="150"/>
      <c r="CR65" s="150"/>
      <c r="CS65" s="150"/>
      <c r="CT65" s="150"/>
    </row>
    <row r="66" spans="1:98" s="10" customFormat="1">
      <c r="A66" s="310"/>
      <c r="B66" s="308" t="str">
        <f>Parameters!Q65</f>
        <v>M69_M70</v>
      </c>
      <c r="C66" s="309"/>
      <c r="D66" s="495" t="str">
        <f>Parameters!S65</f>
        <v>Legal and accounting activities; activities of head offices; management consultancy activities</v>
      </c>
      <c r="E66" s="496"/>
      <c r="F66" s="224"/>
      <c r="G66" s="379"/>
      <c r="H66" s="225"/>
      <c r="I66" s="379"/>
      <c r="J66" s="225"/>
      <c r="K66" s="379"/>
      <c r="L66" s="225"/>
      <c r="M66" s="379"/>
      <c r="N66" s="225"/>
      <c r="O66" s="379"/>
      <c r="P66" s="225"/>
      <c r="Q66" s="379"/>
      <c r="R66" s="225"/>
      <c r="S66" s="379"/>
      <c r="T66" s="225"/>
      <c r="U66" s="379"/>
      <c r="V66" s="225"/>
      <c r="W66" s="379"/>
      <c r="X66" s="225"/>
      <c r="Y66" s="379"/>
      <c r="Z66" s="225"/>
      <c r="AA66" s="379"/>
      <c r="AB66" s="225"/>
      <c r="AC66" s="379"/>
      <c r="AD66" s="225"/>
      <c r="AE66" s="379"/>
      <c r="AF66" s="165">
        <v>26.271364299999998</v>
      </c>
      <c r="AG66" s="379"/>
      <c r="AH66" s="165">
        <v>25.294224700000001</v>
      </c>
      <c r="AI66" s="379"/>
      <c r="AJ66" s="165">
        <v>30.9457211</v>
      </c>
      <c r="AK66" s="379"/>
      <c r="AL66" s="165">
        <v>31.566427000000001</v>
      </c>
      <c r="AM66" s="379"/>
      <c r="AN66" s="165">
        <v>29.7393143</v>
      </c>
      <c r="AO66" s="379"/>
      <c r="AP66" s="165">
        <v>22.5838404</v>
      </c>
      <c r="AQ66" s="379"/>
      <c r="AR66" s="165">
        <v>20.0779253</v>
      </c>
      <c r="AS66" s="379"/>
      <c r="AT66" s="165">
        <v>21.572752900000001</v>
      </c>
      <c r="AU66" s="379"/>
      <c r="AV66" s="165">
        <v>17.9359395</v>
      </c>
      <c r="AW66" s="379"/>
      <c r="AX66" s="165">
        <v>15.461936400000001</v>
      </c>
      <c r="AY66" s="379"/>
      <c r="AZ66" s="165">
        <v>17.260250599999999</v>
      </c>
      <c r="BA66" s="379"/>
      <c r="BB66" s="165">
        <v>15.2390042</v>
      </c>
      <c r="BC66" s="379"/>
      <c r="BD66" s="165">
        <v>12.1004956</v>
      </c>
      <c r="BE66" s="379"/>
      <c r="BF66" s="165">
        <v>14.6185227</v>
      </c>
      <c r="BG66" s="379"/>
      <c r="BH66" s="225"/>
      <c r="BI66" s="184"/>
      <c r="CJ66" s="150"/>
      <c r="CK66" s="150"/>
      <c r="CL66" s="150"/>
      <c r="CM66" s="151" t="s">
        <v>1141</v>
      </c>
      <c r="CN66" s="150" t="s">
        <v>1130</v>
      </c>
      <c r="CO66" s="150"/>
      <c r="CP66" s="150"/>
      <c r="CQ66" s="150"/>
      <c r="CR66" s="150"/>
      <c r="CS66" s="150"/>
      <c r="CT66" s="150"/>
    </row>
    <row r="67" spans="1:98" s="10" customFormat="1" ht="12.75" customHeight="1">
      <c r="A67" s="310"/>
      <c r="B67" s="308" t="str">
        <f>Parameters!Q66</f>
        <v>M71</v>
      </c>
      <c r="C67" s="309"/>
      <c r="D67" s="495" t="str">
        <f>Parameters!S66</f>
        <v>Architectural and engineering activities; technical testing and analysis</v>
      </c>
      <c r="E67" s="496"/>
      <c r="F67" s="224"/>
      <c r="G67" s="379"/>
      <c r="H67" s="225"/>
      <c r="I67" s="379"/>
      <c r="J67" s="225"/>
      <c r="K67" s="379"/>
      <c r="L67" s="225"/>
      <c r="M67" s="379"/>
      <c r="N67" s="225"/>
      <c r="O67" s="379"/>
      <c r="P67" s="225"/>
      <c r="Q67" s="379"/>
      <c r="R67" s="225"/>
      <c r="S67" s="379"/>
      <c r="T67" s="225"/>
      <c r="U67" s="379"/>
      <c r="V67" s="225"/>
      <c r="W67" s="379"/>
      <c r="X67" s="225"/>
      <c r="Y67" s="379"/>
      <c r="Z67" s="225"/>
      <c r="AA67" s="379"/>
      <c r="AB67" s="225"/>
      <c r="AC67" s="379"/>
      <c r="AD67" s="225"/>
      <c r="AE67" s="379"/>
      <c r="AF67" s="165">
        <v>52.398766799999997</v>
      </c>
      <c r="AG67" s="379"/>
      <c r="AH67" s="165">
        <v>56.5519885</v>
      </c>
      <c r="AI67" s="379"/>
      <c r="AJ67" s="165">
        <v>62.251891399999998</v>
      </c>
      <c r="AK67" s="379"/>
      <c r="AL67" s="165">
        <v>67.411582899999999</v>
      </c>
      <c r="AM67" s="379"/>
      <c r="AN67" s="165">
        <v>73.547692100000006</v>
      </c>
      <c r="AO67" s="379"/>
      <c r="AP67" s="165">
        <v>91.966105200000001</v>
      </c>
      <c r="AQ67" s="379"/>
      <c r="AR67" s="165">
        <v>79.634111500000003</v>
      </c>
      <c r="AS67" s="379"/>
      <c r="AT67" s="165">
        <v>62.622237800000001</v>
      </c>
      <c r="AU67" s="379"/>
      <c r="AV67" s="165">
        <v>56.6293486</v>
      </c>
      <c r="AW67" s="379"/>
      <c r="AX67" s="165">
        <v>49.835290499999999</v>
      </c>
      <c r="AY67" s="379"/>
      <c r="AZ67" s="165">
        <v>48.641791699999999</v>
      </c>
      <c r="BA67" s="379"/>
      <c r="BB67" s="165">
        <v>39.857139500000002</v>
      </c>
      <c r="BC67" s="379"/>
      <c r="BD67" s="165">
        <v>38.122025899999997</v>
      </c>
      <c r="BE67" s="379"/>
      <c r="BF67" s="165">
        <v>55.451704100000001</v>
      </c>
      <c r="BG67" s="379"/>
      <c r="BH67" s="225"/>
      <c r="BI67" s="184"/>
      <c r="CJ67" s="150"/>
      <c r="CK67" s="150"/>
      <c r="CL67" s="150"/>
      <c r="CM67" s="151" t="s">
        <v>1007</v>
      </c>
      <c r="CN67" s="150" t="s">
        <v>1130</v>
      </c>
      <c r="CO67" s="150"/>
      <c r="CP67" s="150"/>
      <c r="CQ67" s="150"/>
      <c r="CR67" s="150"/>
      <c r="CS67" s="150"/>
      <c r="CT67" s="150"/>
    </row>
    <row r="68" spans="1:98" s="10" customFormat="1" ht="12.75" customHeight="1">
      <c r="A68" s="26"/>
      <c r="B68" s="89" t="str">
        <f>Parameters!Q67</f>
        <v>M72</v>
      </c>
      <c r="C68" s="90"/>
      <c r="D68" s="504" t="str">
        <f>Parameters!S67</f>
        <v>Scientific research and development</v>
      </c>
      <c r="E68" s="505"/>
      <c r="F68" s="226"/>
      <c r="G68" s="379"/>
      <c r="H68" s="227"/>
      <c r="I68" s="379"/>
      <c r="J68" s="227"/>
      <c r="K68" s="379"/>
      <c r="L68" s="227"/>
      <c r="M68" s="379"/>
      <c r="N68" s="227"/>
      <c r="O68" s="379"/>
      <c r="P68" s="227"/>
      <c r="Q68" s="379"/>
      <c r="R68" s="227"/>
      <c r="S68" s="379"/>
      <c r="T68" s="227"/>
      <c r="U68" s="379"/>
      <c r="V68" s="227"/>
      <c r="W68" s="379"/>
      <c r="X68" s="227"/>
      <c r="Y68" s="379"/>
      <c r="Z68" s="227"/>
      <c r="AA68" s="379"/>
      <c r="AB68" s="227"/>
      <c r="AC68" s="379"/>
      <c r="AD68" s="227"/>
      <c r="AE68" s="379"/>
      <c r="AF68" s="166">
        <v>10.915535800000001</v>
      </c>
      <c r="AG68" s="379"/>
      <c r="AH68" s="166">
        <v>12.154826699999999</v>
      </c>
      <c r="AI68" s="379"/>
      <c r="AJ68" s="166">
        <v>9.2143846000000007</v>
      </c>
      <c r="AK68" s="379"/>
      <c r="AL68" s="166">
        <v>16.866701899999999</v>
      </c>
      <c r="AM68" s="379"/>
      <c r="AN68" s="166">
        <v>16.4422639</v>
      </c>
      <c r="AO68" s="379"/>
      <c r="AP68" s="166">
        <v>17.936102500000001</v>
      </c>
      <c r="AQ68" s="379"/>
      <c r="AR68" s="166">
        <v>16.780268</v>
      </c>
      <c r="AS68" s="379"/>
      <c r="AT68" s="166">
        <v>12.341866100000001</v>
      </c>
      <c r="AU68" s="379"/>
      <c r="AV68" s="166">
        <v>14.1378553</v>
      </c>
      <c r="AW68" s="379"/>
      <c r="AX68" s="166">
        <v>15.787126000000001</v>
      </c>
      <c r="AY68" s="379"/>
      <c r="AZ68" s="166">
        <v>11.6449128</v>
      </c>
      <c r="BA68" s="379"/>
      <c r="BB68" s="166">
        <v>2.4839576999999999</v>
      </c>
      <c r="BC68" s="379"/>
      <c r="BD68" s="166">
        <v>2.6021428000000002</v>
      </c>
      <c r="BE68" s="379"/>
      <c r="BF68" s="166">
        <v>2.5957620000000001</v>
      </c>
      <c r="BG68" s="379"/>
      <c r="BH68" s="227"/>
      <c r="BI68" s="184"/>
      <c r="CJ68" s="150"/>
      <c r="CK68" s="150"/>
      <c r="CL68" s="150"/>
      <c r="CM68" s="151" t="s">
        <v>1011</v>
      </c>
      <c r="CN68" s="150" t="s">
        <v>1130</v>
      </c>
      <c r="CO68" s="150"/>
      <c r="CP68" s="150"/>
      <c r="CQ68" s="150"/>
      <c r="CR68" s="150"/>
      <c r="CS68" s="150"/>
      <c r="CT68" s="150"/>
    </row>
    <row r="69" spans="1:98" s="10" customFormat="1" ht="24" customHeight="1">
      <c r="A69" s="26"/>
      <c r="B69" s="89" t="str">
        <f>Parameters!Q68</f>
        <v>M73-M75</v>
      </c>
      <c r="C69" s="90"/>
      <c r="D69" s="504" t="str">
        <f>Parameters!S68</f>
        <v>Advertising and market research; other professional, scientific and technical activities; veterinary activities</v>
      </c>
      <c r="E69" s="506"/>
      <c r="F69" s="252"/>
      <c r="G69" s="380"/>
      <c r="H69" s="253"/>
      <c r="I69" s="380"/>
      <c r="J69" s="253"/>
      <c r="K69" s="380"/>
      <c r="L69" s="253"/>
      <c r="M69" s="380"/>
      <c r="N69" s="253"/>
      <c r="O69" s="380"/>
      <c r="P69" s="253"/>
      <c r="Q69" s="380"/>
      <c r="R69" s="253"/>
      <c r="S69" s="380"/>
      <c r="T69" s="253"/>
      <c r="U69" s="380"/>
      <c r="V69" s="253"/>
      <c r="W69" s="380"/>
      <c r="X69" s="253"/>
      <c r="Y69" s="380"/>
      <c r="Z69" s="253"/>
      <c r="AA69" s="380"/>
      <c r="AB69" s="253"/>
      <c r="AC69" s="380"/>
      <c r="AD69" s="253"/>
      <c r="AE69" s="380"/>
      <c r="AF69" s="253">
        <v>0</v>
      </c>
      <c r="AG69" s="380"/>
      <c r="AH69" s="253">
        <v>0</v>
      </c>
      <c r="AI69" s="380"/>
      <c r="AJ69" s="253">
        <v>0</v>
      </c>
      <c r="AK69" s="380"/>
      <c r="AL69" s="253">
        <v>0</v>
      </c>
      <c r="AM69" s="380"/>
      <c r="AN69" s="253">
        <v>0</v>
      </c>
      <c r="AO69" s="380"/>
      <c r="AP69" s="253">
        <v>0</v>
      </c>
      <c r="AQ69" s="380"/>
      <c r="AR69" s="253">
        <v>0</v>
      </c>
      <c r="AS69" s="380"/>
      <c r="AT69" s="253">
        <v>0</v>
      </c>
      <c r="AU69" s="380"/>
      <c r="AV69" s="253">
        <v>0</v>
      </c>
      <c r="AW69" s="380"/>
      <c r="AX69" s="253">
        <v>0</v>
      </c>
      <c r="AY69" s="380"/>
      <c r="AZ69" s="253">
        <v>0</v>
      </c>
      <c r="BA69" s="380"/>
      <c r="BB69" s="253">
        <v>0</v>
      </c>
      <c r="BC69" s="380"/>
      <c r="BD69" s="253">
        <v>0</v>
      </c>
      <c r="BE69" s="380"/>
      <c r="BF69" s="253">
        <v>0</v>
      </c>
      <c r="BG69" s="380"/>
      <c r="BH69" s="253"/>
      <c r="BI69" s="254"/>
      <c r="CJ69" s="150"/>
      <c r="CK69" s="150"/>
      <c r="CL69" s="150"/>
      <c r="CM69" s="151"/>
      <c r="CN69" s="150"/>
      <c r="CO69" s="150"/>
      <c r="CP69" s="150"/>
      <c r="CQ69" s="150"/>
      <c r="CR69" s="150"/>
      <c r="CS69" s="150"/>
      <c r="CT69" s="150"/>
    </row>
    <row r="70" spans="1:98" s="10" customFormat="1" ht="12.75" customHeight="1">
      <c r="A70" s="310"/>
      <c r="B70" s="308" t="str">
        <f>Parameters!Q69</f>
        <v>M73</v>
      </c>
      <c r="C70" s="309"/>
      <c r="D70" s="495" t="str">
        <f>Parameters!S69</f>
        <v>Advertising and market research</v>
      </c>
      <c r="E70" s="496"/>
      <c r="F70" s="224"/>
      <c r="G70" s="379"/>
      <c r="H70" s="225"/>
      <c r="I70" s="379"/>
      <c r="J70" s="225"/>
      <c r="K70" s="379"/>
      <c r="L70" s="225"/>
      <c r="M70" s="379"/>
      <c r="N70" s="225"/>
      <c r="O70" s="379"/>
      <c r="P70" s="225"/>
      <c r="Q70" s="379"/>
      <c r="R70" s="225"/>
      <c r="S70" s="379"/>
      <c r="T70" s="225"/>
      <c r="U70" s="379"/>
      <c r="V70" s="225"/>
      <c r="W70" s="379"/>
      <c r="X70" s="225"/>
      <c r="Y70" s="379"/>
      <c r="Z70" s="225"/>
      <c r="AA70" s="379"/>
      <c r="AB70" s="225"/>
      <c r="AC70" s="379"/>
      <c r="AD70" s="225"/>
      <c r="AE70" s="379"/>
      <c r="AF70" s="165">
        <v>7.2728035999999996</v>
      </c>
      <c r="AG70" s="379"/>
      <c r="AH70" s="165">
        <v>6.9743914</v>
      </c>
      <c r="AI70" s="379"/>
      <c r="AJ70" s="165">
        <v>8.1705889999999997</v>
      </c>
      <c r="AK70" s="379"/>
      <c r="AL70" s="165">
        <v>8.1660898999999993</v>
      </c>
      <c r="AM70" s="379"/>
      <c r="AN70" s="165">
        <v>8.6942847000000008</v>
      </c>
      <c r="AO70" s="379"/>
      <c r="AP70" s="165">
        <v>9.8875729000000003</v>
      </c>
      <c r="AQ70" s="379"/>
      <c r="AR70" s="165">
        <v>7.5490000999999998</v>
      </c>
      <c r="AS70" s="379"/>
      <c r="AT70" s="165">
        <v>7.8503977999999996</v>
      </c>
      <c r="AU70" s="379"/>
      <c r="AV70" s="165">
        <v>6.5087079000000001</v>
      </c>
      <c r="AW70" s="379"/>
      <c r="AX70" s="165">
        <v>6.0839090000000002</v>
      </c>
      <c r="AY70" s="379"/>
      <c r="AZ70" s="165">
        <v>6.1999022999999998</v>
      </c>
      <c r="BA70" s="379"/>
      <c r="BB70" s="165">
        <v>6.0355746000000003</v>
      </c>
      <c r="BC70" s="379"/>
      <c r="BD70" s="165">
        <v>4.9412183000000001</v>
      </c>
      <c r="BE70" s="379"/>
      <c r="BF70" s="165">
        <v>5.1327357999999998</v>
      </c>
      <c r="BG70" s="379"/>
      <c r="BH70" s="225"/>
      <c r="BI70" s="184"/>
      <c r="CJ70" s="150"/>
      <c r="CK70" s="150"/>
      <c r="CL70" s="150"/>
      <c r="CM70" s="151" t="s">
        <v>1022</v>
      </c>
      <c r="CN70" s="150" t="s">
        <v>1130</v>
      </c>
      <c r="CO70" s="150"/>
      <c r="CP70" s="150"/>
      <c r="CQ70" s="150"/>
      <c r="CR70" s="150"/>
      <c r="CS70" s="150"/>
      <c r="CT70" s="150"/>
    </row>
    <row r="71" spans="1:98" s="11" customFormat="1" ht="12.75" customHeight="1">
      <c r="A71" s="310"/>
      <c r="B71" s="308" t="str">
        <f>Parameters!Q70</f>
        <v>M74_M75</v>
      </c>
      <c r="C71" s="309"/>
      <c r="D71" s="495" t="str">
        <f>Parameters!S70</f>
        <v>Other professional, scientific and technical activities; veterinary activities</v>
      </c>
      <c r="E71" s="496"/>
      <c r="F71" s="224"/>
      <c r="G71" s="379"/>
      <c r="H71" s="225"/>
      <c r="I71" s="379"/>
      <c r="J71" s="225"/>
      <c r="K71" s="379"/>
      <c r="L71" s="225"/>
      <c r="M71" s="379"/>
      <c r="N71" s="225"/>
      <c r="O71" s="379"/>
      <c r="P71" s="225"/>
      <c r="Q71" s="379"/>
      <c r="R71" s="225"/>
      <c r="S71" s="379"/>
      <c r="T71" s="225"/>
      <c r="U71" s="379"/>
      <c r="V71" s="225"/>
      <c r="W71" s="379"/>
      <c r="X71" s="225"/>
      <c r="Y71" s="379"/>
      <c r="Z71" s="225"/>
      <c r="AA71" s="379"/>
      <c r="AB71" s="225"/>
      <c r="AC71" s="379"/>
      <c r="AD71" s="225"/>
      <c r="AE71" s="379"/>
      <c r="AF71" s="165">
        <v>12.385754199999999</v>
      </c>
      <c r="AG71" s="379"/>
      <c r="AH71" s="165">
        <v>11.8879927</v>
      </c>
      <c r="AI71" s="379"/>
      <c r="AJ71" s="165">
        <v>14.5855801</v>
      </c>
      <c r="AK71" s="379"/>
      <c r="AL71" s="165">
        <v>14.780863099999999</v>
      </c>
      <c r="AM71" s="379"/>
      <c r="AN71" s="165">
        <v>15.0759834</v>
      </c>
      <c r="AO71" s="379"/>
      <c r="AP71" s="165">
        <v>15.433469499999999</v>
      </c>
      <c r="AQ71" s="379"/>
      <c r="AR71" s="165">
        <v>14.7193047</v>
      </c>
      <c r="AS71" s="379"/>
      <c r="AT71" s="165">
        <v>17.645814099999999</v>
      </c>
      <c r="AU71" s="379"/>
      <c r="AV71" s="165">
        <v>15.565152700000001</v>
      </c>
      <c r="AW71" s="379"/>
      <c r="AX71" s="165">
        <v>14.495890899999999</v>
      </c>
      <c r="AY71" s="379"/>
      <c r="AZ71" s="165">
        <v>14.4675575</v>
      </c>
      <c r="BA71" s="379"/>
      <c r="BB71" s="165">
        <v>14.328036600000001</v>
      </c>
      <c r="BC71" s="379"/>
      <c r="BD71" s="165">
        <v>12.432632399999999</v>
      </c>
      <c r="BE71" s="379"/>
      <c r="BF71" s="165">
        <v>12.4414047</v>
      </c>
      <c r="BG71" s="379"/>
      <c r="BH71" s="225"/>
      <c r="BI71" s="184"/>
      <c r="CJ71" s="150"/>
      <c r="CK71" s="150"/>
      <c r="CL71" s="150"/>
      <c r="CM71" s="151" t="s">
        <v>1142</v>
      </c>
      <c r="CN71" s="150" t="s">
        <v>1130</v>
      </c>
      <c r="CO71" s="150"/>
      <c r="CP71" s="150"/>
      <c r="CQ71" s="150"/>
      <c r="CR71" s="150"/>
      <c r="CS71" s="150"/>
      <c r="CT71" s="150"/>
    </row>
    <row r="72" spans="1:98" s="11" customFormat="1" ht="12.75" customHeight="1">
      <c r="A72" s="25"/>
      <c r="B72" s="87" t="str">
        <f>Parameters!Q71</f>
        <v>N</v>
      </c>
      <c r="C72" s="88"/>
      <c r="D72" s="498" t="str">
        <f>Parameters!S71</f>
        <v>Administrative and support service activities</v>
      </c>
      <c r="E72" s="499"/>
      <c r="F72" s="222"/>
      <c r="G72" s="379"/>
      <c r="H72" s="223"/>
      <c r="I72" s="379"/>
      <c r="J72" s="223"/>
      <c r="K72" s="379"/>
      <c r="L72" s="223"/>
      <c r="M72" s="379"/>
      <c r="N72" s="223"/>
      <c r="O72" s="379"/>
      <c r="P72" s="223"/>
      <c r="Q72" s="379"/>
      <c r="R72" s="223"/>
      <c r="S72" s="379"/>
      <c r="T72" s="223"/>
      <c r="U72" s="379"/>
      <c r="V72" s="223"/>
      <c r="W72" s="379"/>
      <c r="X72" s="223"/>
      <c r="Y72" s="379"/>
      <c r="Z72" s="223"/>
      <c r="AA72" s="379"/>
      <c r="AB72" s="223"/>
      <c r="AC72" s="379"/>
      <c r="AD72" s="223"/>
      <c r="AE72" s="379"/>
      <c r="AF72" s="164">
        <v>130.08695929999999</v>
      </c>
      <c r="AG72" s="379"/>
      <c r="AH72" s="164">
        <v>129.47909720000001</v>
      </c>
      <c r="AI72" s="379"/>
      <c r="AJ72" s="164">
        <v>151.431545</v>
      </c>
      <c r="AK72" s="379"/>
      <c r="AL72" s="164">
        <v>176.9315642</v>
      </c>
      <c r="AM72" s="379"/>
      <c r="AN72" s="164">
        <v>163.95364509999999</v>
      </c>
      <c r="AO72" s="379"/>
      <c r="AP72" s="164">
        <v>180.66463820000001</v>
      </c>
      <c r="AQ72" s="379"/>
      <c r="AR72" s="164">
        <v>174.84112239999999</v>
      </c>
      <c r="AS72" s="379"/>
      <c r="AT72" s="164">
        <v>201.10635679999999</v>
      </c>
      <c r="AU72" s="379"/>
      <c r="AV72" s="164">
        <v>305.34085490000001</v>
      </c>
      <c r="AW72" s="379"/>
      <c r="AX72" s="164">
        <v>356.26525700000002</v>
      </c>
      <c r="AY72" s="379"/>
      <c r="AZ72" s="164">
        <v>390.73166450000002</v>
      </c>
      <c r="BA72" s="379"/>
      <c r="BB72" s="164">
        <v>206.11126999999999</v>
      </c>
      <c r="BC72" s="379"/>
      <c r="BD72" s="164">
        <v>154.59969839999999</v>
      </c>
      <c r="BE72" s="379"/>
      <c r="BF72" s="164">
        <v>165.99838819999999</v>
      </c>
      <c r="BG72" s="379"/>
      <c r="BH72" s="223"/>
      <c r="BI72" s="184"/>
      <c r="CJ72" s="150"/>
      <c r="CK72" s="150"/>
      <c r="CL72" s="150"/>
      <c r="CM72" s="151" t="s">
        <v>1031</v>
      </c>
      <c r="CN72" s="150" t="s">
        <v>1130</v>
      </c>
      <c r="CO72" s="150"/>
      <c r="CP72" s="150"/>
      <c r="CQ72" s="150"/>
      <c r="CR72" s="150"/>
      <c r="CS72" s="150"/>
      <c r="CT72" s="150"/>
    </row>
    <row r="73" spans="1:98" s="11" customFormat="1" ht="12.75" customHeight="1">
      <c r="A73" s="310"/>
      <c r="B73" s="308" t="str">
        <f>Parameters!Q72</f>
        <v>N77</v>
      </c>
      <c r="C73" s="309"/>
      <c r="D73" s="495" t="str">
        <f>Parameters!S72</f>
        <v>Rental and leasing activities</v>
      </c>
      <c r="E73" s="496"/>
      <c r="F73" s="224"/>
      <c r="G73" s="379"/>
      <c r="H73" s="225"/>
      <c r="I73" s="379"/>
      <c r="J73" s="225"/>
      <c r="K73" s="379"/>
      <c r="L73" s="225"/>
      <c r="M73" s="379"/>
      <c r="N73" s="225"/>
      <c r="O73" s="379"/>
      <c r="P73" s="225"/>
      <c r="Q73" s="379"/>
      <c r="R73" s="225"/>
      <c r="S73" s="379"/>
      <c r="T73" s="225"/>
      <c r="U73" s="379"/>
      <c r="V73" s="225"/>
      <c r="W73" s="379"/>
      <c r="X73" s="225"/>
      <c r="Y73" s="379"/>
      <c r="Z73" s="225"/>
      <c r="AA73" s="379"/>
      <c r="AB73" s="225"/>
      <c r="AC73" s="379"/>
      <c r="AD73" s="225"/>
      <c r="AE73" s="379"/>
      <c r="AF73" s="165">
        <v>19.819230999999998</v>
      </c>
      <c r="AG73" s="379"/>
      <c r="AH73" s="165">
        <v>19.173287299999998</v>
      </c>
      <c r="AI73" s="379"/>
      <c r="AJ73" s="165">
        <v>22.665216300000001</v>
      </c>
      <c r="AK73" s="379"/>
      <c r="AL73" s="165">
        <v>28.1853728</v>
      </c>
      <c r="AM73" s="379"/>
      <c r="AN73" s="165">
        <v>23.397459900000001</v>
      </c>
      <c r="AO73" s="379"/>
      <c r="AP73" s="165">
        <v>30.723020300000002</v>
      </c>
      <c r="AQ73" s="379"/>
      <c r="AR73" s="165">
        <v>34.640110300000003</v>
      </c>
      <c r="AS73" s="379"/>
      <c r="AT73" s="165">
        <v>42.806833699999999</v>
      </c>
      <c r="AU73" s="379"/>
      <c r="AV73" s="165">
        <v>39.493704600000001</v>
      </c>
      <c r="AW73" s="379"/>
      <c r="AX73" s="165">
        <v>43.9684782</v>
      </c>
      <c r="AY73" s="379"/>
      <c r="AZ73" s="165">
        <v>117.37585780000001</v>
      </c>
      <c r="BA73" s="379"/>
      <c r="BB73" s="165">
        <v>70.312345199999996</v>
      </c>
      <c r="BC73" s="379"/>
      <c r="BD73" s="165">
        <v>34.023803200000003</v>
      </c>
      <c r="BE73" s="379"/>
      <c r="BF73" s="165">
        <v>40.294813599999998</v>
      </c>
      <c r="BG73" s="379"/>
      <c r="BH73" s="225"/>
      <c r="BI73" s="184"/>
      <c r="CJ73" s="150"/>
      <c r="CK73" s="150"/>
      <c r="CL73" s="150"/>
      <c r="CM73" s="151" t="s">
        <v>1035</v>
      </c>
      <c r="CN73" s="150" t="s">
        <v>1130</v>
      </c>
      <c r="CO73" s="150"/>
      <c r="CP73" s="150"/>
      <c r="CQ73" s="150"/>
      <c r="CR73" s="150"/>
      <c r="CS73" s="150"/>
      <c r="CT73" s="150"/>
    </row>
    <row r="74" spans="1:98" s="11" customFormat="1" ht="12.75" customHeight="1">
      <c r="A74" s="310"/>
      <c r="B74" s="308" t="str">
        <f>Parameters!Q73</f>
        <v>N78</v>
      </c>
      <c r="C74" s="309"/>
      <c r="D74" s="495" t="str">
        <f>Parameters!S73</f>
        <v>Employment activities</v>
      </c>
      <c r="E74" s="496"/>
      <c r="F74" s="224"/>
      <c r="G74" s="379"/>
      <c r="H74" s="225"/>
      <c r="I74" s="379"/>
      <c r="J74" s="225"/>
      <c r="K74" s="379"/>
      <c r="L74" s="225"/>
      <c r="M74" s="379"/>
      <c r="N74" s="225"/>
      <c r="O74" s="379"/>
      <c r="P74" s="225"/>
      <c r="Q74" s="379"/>
      <c r="R74" s="225"/>
      <c r="S74" s="379"/>
      <c r="T74" s="225"/>
      <c r="U74" s="379"/>
      <c r="V74" s="225"/>
      <c r="W74" s="379"/>
      <c r="X74" s="225"/>
      <c r="Y74" s="379"/>
      <c r="Z74" s="225"/>
      <c r="AA74" s="379"/>
      <c r="AB74" s="225"/>
      <c r="AC74" s="379"/>
      <c r="AD74" s="225"/>
      <c r="AE74" s="379"/>
      <c r="AF74" s="165">
        <v>6.5329845999999998</v>
      </c>
      <c r="AG74" s="379"/>
      <c r="AH74" s="165">
        <v>6.2784320999999998</v>
      </c>
      <c r="AI74" s="379"/>
      <c r="AJ74" s="165">
        <v>6.9724291999999997</v>
      </c>
      <c r="AK74" s="379"/>
      <c r="AL74" s="165">
        <v>7.3247143000000001</v>
      </c>
      <c r="AM74" s="379"/>
      <c r="AN74" s="165">
        <v>8.4659051999999999</v>
      </c>
      <c r="AO74" s="379"/>
      <c r="AP74" s="165">
        <v>13.2144008</v>
      </c>
      <c r="AQ74" s="379"/>
      <c r="AR74" s="165">
        <v>11.865130499999999</v>
      </c>
      <c r="AS74" s="379"/>
      <c r="AT74" s="165">
        <v>27.114938800000001</v>
      </c>
      <c r="AU74" s="379"/>
      <c r="AV74" s="165">
        <v>127.1472819</v>
      </c>
      <c r="AW74" s="379"/>
      <c r="AX74" s="165">
        <v>181.7773511</v>
      </c>
      <c r="AY74" s="379"/>
      <c r="AZ74" s="165">
        <v>138.7346981</v>
      </c>
      <c r="BA74" s="379"/>
      <c r="BB74" s="165">
        <v>10.782773799999999</v>
      </c>
      <c r="BC74" s="379"/>
      <c r="BD74" s="165">
        <v>10.460955200000001</v>
      </c>
      <c r="BE74" s="379"/>
      <c r="BF74" s="165">
        <v>9.6761025000000007</v>
      </c>
      <c r="BG74" s="379"/>
      <c r="BH74" s="225"/>
      <c r="BI74" s="184"/>
      <c r="CJ74" s="150"/>
      <c r="CK74" s="150"/>
      <c r="CL74" s="150"/>
      <c r="CM74" s="151" t="s">
        <v>1039</v>
      </c>
      <c r="CN74" s="150" t="s">
        <v>1130</v>
      </c>
      <c r="CO74" s="150"/>
      <c r="CP74" s="150"/>
      <c r="CQ74" s="150"/>
      <c r="CR74" s="150"/>
      <c r="CS74" s="150"/>
      <c r="CT74" s="150"/>
    </row>
    <row r="75" spans="1:98" s="11" customFormat="1" ht="12.75" customHeight="1">
      <c r="A75" s="310"/>
      <c r="B75" s="308" t="str">
        <f>Parameters!Q74</f>
        <v>N79</v>
      </c>
      <c r="C75" s="309"/>
      <c r="D75" s="495" t="str">
        <f>Parameters!S74</f>
        <v>Travel agency, tour operator reservation service and related activities</v>
      </c>
      <c r="E75" s="496"/>
      <c r="F75" s="224"/>
      <c r="G75" s="379"/>
      <c r="H75" s="225"/>
      <c r="I75" s="379"/>
      <c r="J75" s="225"/>
      <c r="K75" s="379"/>
      <c r="L75" s="225"/>
      <c r="M75" s="379"/>
      <c r="N75" s="225"/>
      <c r="O75" s="379"/>
      <c r="P75" s="225"/>
      <c r="Q75" s="379"/>
      <c r="R75" s="225"/>
      <c r="S75" s="379"/>
      <c r="T75" s="225"/>
      <c r="U75" s="379"/>
      <c r="V75" s="225"/>
      <c r="W75" s="379"/>
      <c r="X75" s="225"/>
      <c r="Y75" s="379"/>
      <c r="Z75" s="225"/>
      <c r="AA75" s="379"/>
      <c r="AB75" s="225"/>
      <c r="AC75" s="379"/>
      <c r="AD75" s="225"/>
      <c r="AE75" s="379"/>
      <c r="AF75" s="165">
        <v>6.3259676000000002</v>
      </c>
      <c r="AG75" s="379"/>
      <c r="AH75" s="165">
        <v>6.0021849999999999</v>
      </c>
      <c r="AI75" s="379"/>
      <c r="AJ75" s="165">
        <v>7.6961208000000001</v>
      </c>
      <c r="AK75" s="379"/>
      <c r="AL75" s="165">
        <v>7.3995844000000002</v>
      </c>
      <c r="AM75" s="379"/>
      <c r="AN75" s="165">
        <v>8.6806827000000002</v>
      </c>
      <c r="AO75" s="379"/>
      <c r="AP75" s="165">
        <v>9.3181063000000002</v>
      </c>
      <c r="AQ75" s="379"/>
      <c r="AR75" s="165">
        <v>6.8832671999999997</v>
      </c>
      <c r="AS75" s="379"/>
      <c r="AT75" s="165">
        <v>9.7618161000000008</v>
      </c>
      <c r="AU75" s="379"/>
      <c r="AV75" s="165">
        <v>11.347768500000001</v>
      </c>
      <c r="AW75" s="379"/>
      <c r="AX75" s="165">
        <v>7.6650612000000002</v>
      </c>
      <c r="AY75" s="379"/>
      <c r="AZ75" s="165">
        <v>7.7807905999999996</v>
      </c>
      <c r="BA75" s="379"/>
      <c r="BB75" s="165">
        <v>8.0666323999999996</v>
      </c>
      <c r="BC75" s="379"/>
      <c r="BD75" s="165">
        <v>6.5976971000000004</v>
      </c>
      <c r="BE75" s="379"/>
      <c r="BF75" s="165">
        <v>5.3448871000000002</v>
      </c>
      <c r="BG75" s="379"/>
      <c r="BH75" s="225"/>
      <c r="BI75" s="184"/>
      <c r="CJ75" s="150"/>
      <c r="CK75" s="150"/>
      <c r="CL75" s="150"/>
      <c r="CM75" s="151" t="s">
        <v>1043</v>
      </c>
      <c r="CN75" s="150" t="s">
        <v>1130</v>
      </c>
      <c r="CO75" s="150"/>
      <c r="CP75" s="150"/>
      <c r="CQ75" s="150"/>
      <c r="CR75" s="150"/>
      <c r="CS75" s="150"/>
      <c r="CT75" s="150"/>
    </row>
    <row r="76" spans="1:98" s="11" customFormat="1">
      <c r="A76" s="310"/>
      <c r="B76" s="308" t="str">
        <f>Parameters!Q75</f>
        <v>N80-N82</v>
      </c>
      <c r="C76" s="309"/>
      <c r="D76" s="495" t="str">
        <f>Parameters!S75</f>
        <v>Security and investigation, service and landscape, office administrative and support activities</v>
      </c>
      <c r="E76" s="497"/>
      <c r="F76" s="224"/>
      <c r="G76" s="379"/>
      <c r="H76" s="225"/>
      <c r="I76" s="379"/>
      <c r="J76" s="225"/>
      <c r="K76" s="379"/>
      <c r="L76" s="225"/>
      <c r="M76" s="379"/>
      <c r="N76" s="225"/>
      <c r="O76" s="379"/>
      <c r="P76" s="225"/>
      <c r="Q76" s="379"/>
      <c r="R76" s="225"/>
      <c r="S76" s="379"/>
      <c r="T76" s="225"/>
      <c r="U76" s="379"/>
      <c r="V76" s="225"/>
      <c r="W76" s="379"/>
      <c r="X76" s="225"/>
      <c r="Y76" s="379"/>
      <c r="Z76" s="225"/>
      <c r="AA76" s="379"/>
      <c r="AB76" s="225"/>
      <c r="AC76" s="379"/>
      <c r="AD76" s="225"/>
      <c r="AE76" s="379"/>
      <c r="AF76" s="165">
        <v>97.408776099999997</v>
      </c>
      <c r="AG76" s="379"/>
      <c r="AH76" s="165">
        <v>98.025192799999999</v>
      </c>
      <c r="AI76" s="379"/>
      <c r="AJ76" s="165">
        <v>114.09777870000001</v>
      </c>
      <c r="AK76" s="379"/>
      <c r="AL76" s="165">
        <v>134.0218926</v>
      </c>
      <c r="AM76" s="379"/>
      <c r="AN76" s="165">
        <v>123.4095973</v>
      </c>
      <c r="AO76" s="379"/>
      <c r="AP76" s="165">
        <v>127.40911079999999</v>
      </c>
      <c r="AQ76" s="379"/>
      <c r="AR76" s="165">
        <v>121.4526144</v>
      </c>
      <c r="AS76" s="379"/>
      <c r="AT76" s="165">
        <v>121.42276819999999</v>
      </c>
      <c r="AU76" s="379"/>
      <c r="AV76" s="165">
        <v>127.3520999</v>
      </c>
      <c r="AW76" s="379"/>
      <c r="AX76" s="165">
        <v>122.8543665</v>
      </c>
      <c r="AY76" s="379"/>
      <c r="AZ76" s="165">
        <v>126.840318</v>
      </c>
      <c r="BA76" s="379"/>
      <c r="BB76" s="165">
        <v>116.9495186</v>
      </c>
      <c r="BC76" s="379"/>
      <c r="BD76" s="165">
        <v>103.51724299999999</v>
      </c>
      <c r="BE76" s="379"/>
      <c r="BF76" s="165">
        <v>110.682585</v>
      </c>
      <c r="BG76" s="379"/>
      <c r="BH76" s="225"/>
      <c r="BI76" s="184"/>
      <c r="CJ76" s="150"/>
      <c r="CK76" s="150"/>
      <c r="CL76" s="150"/>
      <c r="CM76" s="151" t="s">
        <v>1143</v>
      </c>
      <c r="CN76" s="150" t="s">
        <v>1130</v>
      </c>
      <c r="CO76" s="150"/>
      <c r="CP76" s="150"/>
      <c r="CQ76" s="150"/>
      <c r="CR76" s="150"/>
      <c r="CS76" s="150"/>
      <c r="CT76" s="150"/>
    </row>
    <row r="77" spans="1:98" s="11" customFormat="1" ht="12.75" customHeight="1">
      <c r="A77" s="25"/>
      <c r="B77" s="87" t="str">
        <f>Parameters!Q76</f>
        <v>O</v>
      </c>
      <c r="C77" s="88"/>
      <c r="D77" s="498" t="str">
        <f>Parameters!S76</f>
        <v>Public administration and defence; compulsory social security</v>
      </c>
      <c r="E77" s="499"/>
      <c r="F77" s="222"/>
      <c r="G77" s="379"/>
      <c r="H77" s="223"/>
      <c r="I77" s="379"/>
      <c r="J77" s="223"/>
      <c r="K77" s="379"/>
      <c r="L77" s="223"/>
      <c r="M77" s="379"/>
      <c r="N77" s="223"/>
      <c r="O77" s="379"/>
      <c r="P77" s="223"/>
      <c r="Q77" s="379"/>
      <c r="R77" s="223"/>
      <c r="S77" s="379"/>
      <c r="T77" s="223"/>
      <c r="U77" s="379"/>
      <c r="V77" s="223"/>
      <c r="W77" s="379"/>
      <c r="X77" s="223"/>
      <c r="Y77" s="379"/>
      <c r="Z77" s="223"/>
      <c r="AA77" s="379"/>
      <c r="AB77" s="223"/>
      <c r="AC77" s="379"/>
      <c r="AD77" s="223"/>
      <c r="AE77" s="379"/>
      <c r="AF77" s="164">
        <v>475.63765690000002</v>
      </c>
      <c r="AG77" s="379"/>
      <c r="AH77" s="164">
        <v>600.39984749999996</v>
      </c>
      <c r="AI77" s="379"/>
      <c r="AJ77" s="164">
        <v>444.93301880000001</v>
      </c>
      <c r="AK77" s="379"/>
      <c r="AL77" s="164">
        <v>421.86549719999999</v>
      </c>
      <c r="AM77" s="379"/>
      <c r="AN77" s="164">
        <v>373.39978630000002</v>
      </c>
      <c r="AO77" s="379"/>
      <c r="AP77" s="164">
        <v>402.90253200000001</v>
      </c>
      <c r="AQ77" s="379"/>
      <c r="AR77" s="164">
        <v>359.16533989999999</v>
      </c>
      <c r="AS77" s="379"/>
      <c r="AT77" s="164">
        <v>280.76820020000002</v>
      </c>
      <c r="AU77" s="379"/>
      <c r="AV77" s="164">
        <v>277.90652660000001</v>
      </c>
      <c r="AW77" s="379"/>
      <c r="AX77" s="164">
        <v>274.87287800000001</v>
      </c>
      <c r="AY77" s="379"/>
      <c r="AZ77" s="164">
        <v>225.1294992</v>
      </c>
      <c r="BA77" s="379"/>
      <c r="BB77" s="164">
        <v>188.28029140000001</v>
      </c>
      <c r="BC77" s="379"/>
      <c r="BD77" s="164">
        <v>159.67157689999999</v>
      </c>
      <c r="BE77" s="379"/>
      <c r="BF77" s="164">
        <v>172.6754933</v>
      </c>
      <c r="BG77" s="379"/>
      <c r="BH77" s="223"/>
      <c r="BI77" s="184"/>
      <c r="CJ77" s="150"/>
      <c r="CK77" s="150"/>
      <c r="CL77" s="150"/>
      <c r="CM77" s="151" t="s">
        <v>1051</v>
      </c>
      <c r="CN77" s="150" t="s">
        <v>1130</v>
      </c>
      <c r="CO77" s="150"/>
      <c r="CP77" s="150"/>
      <c r="CQ77" s="150"/>
      <c r="CR77" s="150"/>
      <c r="CS77" s="150"/>
      <c r="CT77" s="150"/>
    </row>
    <row r="78" spans="1:98" s="11" customFormat="1" ht="12.75" customHeight="1">
      <c r="A78" s="25"/>
      <c r="B78" s="87" t="str">
        <f>Parameters!Q77</f>
        <v>P</v>
      </c>
      <c r="C78" s="88"/>
      <c r="D78" s="498" t="str">
        <f>Parameters!S77</f>
        <v>Education</v>
      </c>
      <c r="E78" s="499"/>
      <c r="F78" s="222"/>
      <c r="G78" s="379"/>
      <c r="H78" s="223"/>
      <c r="I78" s="379"/>
      <c r="J78" s="223"/>
      <c r="K78" s="379"/>
      <c r="L78" s="223"/>
      <c r="M78" s="379"/>
      <c r="N78" s="223"/>
      <c r="O78" s="379"/>
      <c r="P78" s="223"/>
      <c r="Q78" s="379"/>
      <c r="R78" s="223"/>
      <c r="S78" s="379"/>
      <c r="T78" s="223"/>
      <c r="U78" s="379"/>
      <c r="V78" s="223"/>
      <c r="W78" s="379"/>
      <c r="X78" s="223"/>
      <c r="Y78" s="379"/>
      <c r="Z78" s="223"/>
      <c r="AA78" s="379"/>
      <c r="AB78" s="223"/>
      <c r="AC78" s="379"/>
      <c r="AD78" s="223"/>
      <c r="AE78" s="379"/>
      <c r="AF78" s="164">
        <v>11.847387299999999</v>
      </c>
      <c r="AG78" s="379"/>
      <c r="AH78" s="164">
        <v>15.7878224</v>
      </c>
      <c r="AI78" s="379"/>
      <c r="AJ78" s="164">
        <v>24.5115181</v>
      </c>
      <c r="AK78" s="379"/>
      <c r="AL78" s="164">
        <v>15.652233900000001</v>
      </c>
      <c r="AM78" s="379"/>
      <c r="AN78" s="164">
        <v>17.098131899999998</v>
      </c>
      <c r="AO78" s="379"/>
      <c r="AP78" s="164">
        <v>14.235092399999999</v>
      </c>
      <c r="AQ78" s="379"/>
      <c r="AR78" s="164">
        <v>11.5369198</v>
      </c>
      <c r="AS78" s="379"/>
      <c r="AT78" s="164">
        <v>10.6955768</v>
      </c>
      <c r="AU78" s="379"/>
      <c r="AV78" s="164">
        <v>13.8526387</v>
      </c>
      <c r="AW78" s="379"/>
      <c r="AX78" s="164">
        <v>8.4151501999999994</v>
      </c>
      <c r="AY78" s="379"/>
      <c r="AZ78" s="164">
        <v>7.5296665999999997</v>
      </c>
      <c r="BA78" s="379"/>
      <c r="BB78" s="164">
        <v>5.0539202000000003</v>
      </c>
      <c r="BC78" s="379"/>
      <c r="BD78" s="164">
        <v>3.7016412000000001</v>
      </c>
      <c r="BE78" s="379"/>
      <c r="BF78" s="164">
        <v>41.287583900000001</v>
      </c>
      <c r="BG78" s="379"/>
      <c r="BH78" s="223"/>
      <c r="BI78" s="184"/>
      <c r="CJ78" s="150"/>
      <c r="CK78" s="150"/>
      <c r="CL78" s="150"/>
      <c r="CM78" s="151" t="s">
        <v>271</v>
      </c>
      <c r="CN78" s="150" t="s">
        <v>1130</v>
      </c>
      <c r="CO78" s="150"/>
      <c r="CP78" s="150"/>
      <c r="CQ78" s="150"/>
      <c r="CR78" s="150"/>
      <c r="CS78" s="150"/>
      <c r="CT78" s="150"/>
    </row>
    <row r="79" spans="1:98" s="11" customFormat="1" ht="12.75" customHeight="1">
      <c r="A79" s="25"/>
      <c r="B79" s="87" t="str">
        <f>Parameters!Q78</f>
        <v>Q</v>
      </c>
      <c r="C79" s="88"/>
      <c r="D79" s="498" t="str">
        <f>Parameters!S78</f>
        <v>Human health and social work activities</v>
      </c>
      <c r="E79" s="499"/>
      <c r="F79" s="222"/>
      <c r="G79" s="379"/>
      <c r="H79" s="223"/>
      <c r="I79" s="379"/>
      <c r="J79" s="223"/>
      <c r="K79" s="379"/>
      <c r="L79" s="223"/>
      <c r="M79" s="379"/>
      <c r="N79" s="223"/>
      <c r="O79" s="379"/>
      <c r="P79" s="223"/>
      <c r="Q79" s="379"/>
      <c r="R79" s="223"/>
      <c r="S79" s="379"/>
      <c r="T79" s="223"/>
      <c r="U79" s="379"/>
      <c r="V79" s="223"/>
      <c r="W79" s="379"/>
      <c r="X79" s="223"/>
      <c r="Y79" s="379"/>
      <c r="Z79" s="223"/>
      <c r="AA79" s="379"/>
      <c r="AB79" s="223"/>
      <c r="AC79" s="379"/>
      <c r="AD79" s="223"/>
      <c r="AE79" s="379"/>
      <c r="AF79" s="164">
        <v>91.140911700000004</v>
      </c>
      <c r="AG79" s="379"/>
      <c r="AH79" s="164">
        <v>100.33717919999999</v>
      </c>
      <c r="AI79" s="379"/>
      <c r="AJ79" s="164">
        <v>106.5441319</v>
      </c>
      <c r="AK79" s="379"/>
      <c r="AL79" s="164">
        <v>84.174139299999993</v>
      </c>
      <c r="AM79" s="379"/>
      <c r="AN79" s="164">
        <v>73.876137099999994</v>
      </c>
      <c r="AO79" s="379"/>
      <c r="AP79" s="164">
        <v>66.603932999999998</v>
      </c>
      <c r="AQ79" s="379"/>
      <c r="AR79" s="164">
        <v>50.169757400000002</v>
      </c>
      <c r="AS79" s="379"/>
      <c r="AT79" s="164">
        <v>53.062411500000003</v>
      </c>
      <c r="AU79" s="379"/>
      <c r="AV79" s="164">
        <v>52.7974125</v>
      </c>
      <c r="AW79" s="379"/>
      <c r="AX79" s="164">
        <v>47.814032900000001</v>
      </c>
      <c r="AY79" s="379"/>
      <c r="AZ79" s="164">
        <v>35.1162657</v>
      </c>
      <c r="BA79" s="379"/>
      <c r="BB79" s="164">
        <v>35.6353948</v>
      </c>
      <c r="BC79" s="379"/>
      <c r="BD79" s="164">
        <v>33.530669400000001</v>
      </c>
      <c r="BE79" s="379"/>
      <c r="BF79" s="164">
        <v>61.867872900000002</v>
      </c>
      <c r="BG79" s="379"/>
      <c r="BH79" s="223"/>
      <c r="BI79" s="184"/>
      <c r="CJ79" s="150"/>
      <c r="CK79" s="150"/>
      <c r="CL79" s="150"/>
      <c r="CM79" s="151" t="s">
        <v>1059</v>
      </c>
      <c r="CN79" s="150" t="s">
        <v>1130</v>
      </c>
      <c r="CO79" s="150"/>
      <c r="CP79" s="150"/>
      <c r="CQ79" s="150"/>
      <c r="CR79" s="150"/>
      <c r="CS79" s="150"/>
      <c r="CT79" s="150"/>
    </row>
    <row r="80" spans="1:98" s="11" customFormat="1" ht="12.75" customHeight="1">
      <c r="A80" s="310"/>
      <c r="B80" s="308" t="str">
        <f>Parameters!Q79</f>
        <v>Q86</v>
      </c>
      <c r="C80" s="309"/>
      <c r="D80" s="495" t="str">
        <f>Parameters!S79</f>
        <v>Human health activities</v>
      </c>
      <c r="E80" s="497"/>
      <c r="F80" s="224"/>
      <c r="G80" s="379"/>
      <c r="H80" s="225"/>
      <c r="I80" s="379"/>
      <c r="J80" s="225"/>
      <c r="K80" s="379"/>
      <c r="L80" s="225"/>
      <c r="M80" s="379"/>
      <c r="N80" s="225"/>
      <c r="O80" s="379"/>
      <c r="P80" s="225"/>
      <c r="Q80" s="379"/>
      <c r="R80" s="225"/>
      <c r="S80" s="379"/>
      <c r="T80" s="225"/>
      <c r="U80" s="379"/>
      <c r="V80" s="225"/>
      <c r="W80" s="379"/>
      <c r="X80" s="225"/>
      <c r="Y80" s="379"/>
      <c r="Z80" s="225"/>
      <c r="AA80" s="379"/>
      <c r="AB80" s="225"/>
      <c r="AC80" s="379"/>
      <c r="AD80" s="225"/>
      <c r="AE80" s="379"/>
      <c r="AF80" s="165">
        <v>36.994604199999998</v>
      </c>
      <c r="AG80" s="379"/>
      <c r="AH80" s="165">
        <v>50.2465002</v>
      </c>
      <c r="AI80" s="379"/>
      <c r="AJ80" s="165">
        <v>81.852377300000001</v>
      </c>
      <c r="AK80" s="379"/>
      <c r="AL80" s="165">
        <v>55.769866499999999</v>
      </c>
      <c r="AM80" s="379"/>
      <c r="AN80" s="165">
        <v>45.929232499999998</v>
      </c>
      <c r="AO80" s="379"/>
      <c r="AP80" s="165">
        <v>38.793081200000003</v>
      </c>
      <c r="AQ80" s="379"/>
      <c r="AR80" s="165">
        <v>25.318040199999999</v>
      </c>
      <c r="AS80" s="379"/>
      <c r="AT80" s="165">
        <v>31.207311199999999</v>
      </c>
      <c r="AU80" s="379"/>
      <c r="AV80" s="165">
        <v>41.327894299999997</v>
      </c>
      <c r="AW80" s="379"/>
      <c r="AX80" s="165">
        <v>38.0919612</v>
      </c>
      <c r="AY80" s="379"/>
      <c r="AZ80" s="165">
        <v>29.9906972</v>
      </c>
      <c r="BA80" s="379"/>
      <c r="BB80" s="165">
        <v>32.180351299999998</v>
      </c>
      <c r="BC80" s="379"/>
      <c r="BD80" s="165">
        <v>32.3633247</v>
      </c>
      <c r="BE80" s="379"/>
      <c r="BF80" s="165">
        <v>34.104370899999999</v>
      </c>
      <c r="BG80" s="379"/>
      <c r="BH80" s="225"/>
      <c r="BI80" s="184"/>
      <c r="CJ80" s="150"/>
      <c r="CK80" s="150"/>
      <c r="CL80" s="150"/>
      <c r="CM80" s="151" t="s">
        <v>1063</v>
      </c>
      <c r="CN80" s="150" t="s">
        <v>1130</v>
      </c>
      <c r="CO80" s="150"/>
      <c r="CP80" s="150"/>
      <c r="CQ80" s="150"/>
      <c r="CR80" s="150"/>
      <c r="CS80" s="150"/>
      <c r="CT80" s="150"/>
    </row>
    <row r="81" spans="1:98" s="11" customFormat="1" ht="12.75" customHeight="1">
      <c r="A81" s="310"/>
      <c r="B81" s="308" t="str">
        <f>Parameters!Q80</f>
        <v>Q87_Q88</v>
      </c>
      <c r="C81" s="309"/>
      <c r="D81" s="495" t="str">
        <f>Parameters!S80</f>
        <v>Residential care activities and social work activities without accommodation</v>
      </c>
      <c r="E81" s="497"/>
      <c r="F81" s="224"/>
      <c r="G81" s="379"/>
      <c r="H81" s="225"/>
      <c r="I81" s="379"/>
      <c r="J81" s="225"/>
      <c r="K81" s="379"/>
      <c r="L81" s="225"/>
      <c r="M81" s="379"/>
      <c r="N81" s="225"/>
      <c r="O81" s="379"/>
      <c r="P81" s="225"/>
      <c r="Q81" s="379"/>
      <c r="R81" s="225"/>
      <c r="S81" s="379"/>
      <c r="T81" s="225"/>
      <c r="U81" s="379"/>
      <c r="V81" s="225"/>
      <c r="W81" s="379"/>
      <c r="X81" s="225"/>
      <c r="Y81" s="379"/>
      <c r="Z81" s="225"/>
      <c r="AA81" s="379"/>
      <c r="AB81" s="225"/>
      <c r="AC81" s="379"/>
      <c r="AD81" s="225"/>
      <c r="AE81" s="379"/>
      <c r="AF81" s="165">
        <v>54.146307499999999</v>
      </c>
      <c r="AG81" s="379"/>
      <c r="AH81" s="165">
        <v>50.090679000000002</v>
      </c>
      <c r="AI81" s="379"/>
      <c r="AJ81" s="165">
        <v>24.691754599999999</v>
      </c>
      <c r="AK81" s="379"/>
      <c r="AL81" s="165">
        <v>28.404272800000001</v>
      </c>
      <c r="AM81" s="379"/>
      <c r="AN81" s="165">
        <v>27.9469046</v>
      </c>
      <c r="AO81" s="379"/>
      <c r="AP81" s="165">
        <v>27.810851799999998</v>
      </c>
      <c r="AQ81" s="379"/>
      <c r="AR81" s="165">
        <v>24.8517172</v>
      </c>
      <c r="AS81" s="379"/>
      <c r="AT81" s="165">
        <v>21.8551003</v>
      </c>
      <c r="AU81" s="379"/>
      <c r="AV81" s="165">
        <v>11.4695182</v>
      </c>
      <c r="AW81" s="379"/>
      <c r="AX81" s="165">
        <v>9.7220717000000008</v>
      </c>
      <c r="AY81" s="379"/>
      <c r="AZ81" s="165">
        <v>5.1255683999999997</v>
      </c>
      <c r="BA81" s="379"/>
      <c r="BB81" s="165">
        <v>3.4550434999999999</v>
      </c>
      <c r="BC81" s="379"/>
      <c r="BD81" s="165">
        <v>1.1673446999999999</v>
      </c>
      <c r="BE81" s="379"/>
      <c r="BF81" s="165">
        <v>27.763501999999999</v>
      </c>
      <c r="BG81" s="379"/>
      <c r="BH81" s="225"/>
      <c r="BI81" s="184"/>
      <c r="CJ81" s="150"/>
      <c r="CK81" s="150"/>
      <c r="CL81" s="150"/>
      <c r="CM81" s="151" t="s">
        <v>1144</v>
      </c>
      <c r="CN81" s="150" t="s">
        <v>1130</v>
      </c>
      <c r="CO81" s="150"/>
      <c r="CP81" s="150"/>
      <c r="CQ81" s="150"/>
      <c r="CR81" s="150"/>
      <c r="CS81" s="150"/>
      <c r="CT81" s="150"/>
    </row>
    <row r="82" spans="1:98" s="11" customFormat="1" ht="12.75" customHeight="1">
      <c r="A82" s="25"/>
      <c r="B82" s="87" t="str">
        <f>Parameters!Q81</f>
        <v>R</v>
      </c>
      <c r="C82" s="88"/>
      <c r="D82" s="498" t="str">
        <f>Parameters!S81</f>
        <v>Arts, entertainment and recreation</v>
      </c>
      <c r="E82" s="499"/>
      <c r="F82" s="222"/>
      <c r="G82" s="379"/>
      <c r="H82" s="223"/>
      <c r="I82" s="379"/>
      <c r="J82" s="223"/>
      <c r="K82" s="379"/>
      <c r="L82" s="223"/>
      <c r="M82" s="379"/>
      <c r="N82" s="223"/>
      <c r="O82" s="379"/>
      <c r="P82" s="223"/>
      <c r="Q82" s="379"/>
      <c r="R82" s="223"/>
      <c r="S82" s="379"/>
      <c r="T82" s="223"/>
      <c r="U82" s="379"/>
      <c r="V82" s="223"/>
      <c r="W82" s="379"/>
      <c r="X82" s="223"/>
      <c r="Y82" s="379"/>
      <c r="Z82" s="223"/>
      <c r="AA82" s="379"/>
      <c r="AB82" s="223"/>
      <c r="AC82" s="379"/>
      <c r="AD82" s="223"/>
      <c r="AE82" s="379"/>
      <c r="AF82" s="164">
        <v>11.3974727</v>
      </c>
      <c r="AG82" s="379"/>
      <c r="AH82" s="164">
        <v>13.1933589</v>
      </c>
      <c r="AI82" s="379"/>
      <c r="AJ82" s="164">
        <v>23.8089908</v>
      </c>
      <c r="AK82" s="379"/>
      <c r="AL82" s="164">
        <v>19.032036099999999</v>
      </c>
      <c r="AM82" s="379"/>
      <c r="AN82" s="164">
        <v>15.503607499999999</v>
      </c>
      <c r="AO82" s="379"/>
      <c r="AP82" s="164">
        <v>18.3800968</v>
      </c>
      <c r="AQ82" s="379"/>
      <c r="AR82" s="164">
        <v>15.4617562</v>
      </c>
      <c r="AS82" s="379"/>
      <c r="AT82" s="164">
        <v>13.723426</v>
      </c>
      <c r="AU82" s="379"/>
      <c r="AV82" s="164">
        <v>14.9084117</v>
      </c>
      <c r="AW82" s="379"/>
      <c r="AX82" s="164">
        <v>17.386067400000002</v>
      </c>
      <c r="AY82" s="379"/>
      <c r="AZ82" s="164">
        <v>19.567980299999999</v>
      </c>
      <c r="BA82" s="379"/>
      <c r="BB82" s="164">
        <v>15.5320561</v>
      </c>
      <c r="BC82" s="379"/>
      <c r="BD82" s="164">
        <v>10.737841299999999</v>
      </c>
      <c r="BE82" s="379"/>
      <c r="BF82" s="164">
        <v>27.287449800000001</v>
      </c>
      <c r="BG82" s="379"/>
      <c r="BH82" s="223"/>
      <c r="BI82" s="184"/>
      <c r="CJ82" s="150"/>
      <c r="CK82" s="150"/>
      <c r="CL82" s="150"/>
      <c r="CM82" s="151" t="s">
        <v>1070</v>
      </c>
      <c r="CN82" s="150" t="s">
        <v>1130</v>
      </c>
      <c r="CO82" s="150"/>
      <c r="CP82" s="150"/>
      <c r="CQ82" s="150"/>
      <c r="CR82" s="150"/>
      <c r="CS82" s="150"/>
      <c r="CT82" s="150"/>
    </row>
    <row r="83" spans="1:98" s="11" customFormat="1" ht="25.5" customHeight="1">
      <c r="A83" s="310"/>
      <c r="B83" s="308" t="str">
        <f>Parameters!Q82</f>
        <v>R90-R92</v>
      </c>
      <c r="C83" s="309"/>
      <c r="D83" s="495" t="str">
        <f>Parameters!S82</f>
        <v>Creative, arts and entertainment activities; libraries, archives, museums and other cultural activities; gambling and betting activities</v>
      </c>
      <c r="E83" s="497"/>
      <c r="F83" s="224"/>
      <c r="G83" s="379"/>
      <c r="H83" s="225"/>
      <c r="I83" s="379"/>
      <c r="J83" s="225"/>
      <c r="K83" s="379"/>
      <c r="L83" s="225"/>
      <c r="M83" s="379"/>
      <c r="N83" s="225"/>
      <c r="O83" s="379"/>
      <c r="P83" s="225"/>
      <c r="Q83" s="379"/>
      <c r="R83" s="225"/>
      <c r="S83" s="379"/>
      <c r="T83" s="225"/>
      <c r="U83" s="379"/>
      <c r="V83" s="225"/>
      <c r="W83" s="379"/>
      <c r="X83" s="225"/>
      <c r="Y83" s="379"/>
      <c r="Z83" s="225"/>
      <c r="AA83" s="379"/>
      <c r="AB83" s="225"/>
      <c r="AC83" s="379"/>
      <c r="AD83" s="225"/>
      <c r="AE83" s="379"/>
      <c r="AF83" s="165">
        <v>1.2207424</v>
      </c>
      <c r="AG83" s="379"/>
      <c r="AH83" s="165">
        <v>1.5511481</v>
      </c>
      <c r="AI83" s="379"/>
      <c r="AJ83" s="165">
        <v>5.8645035999999999</v>
      </c>
      <c r="AK83" s="379"/>
      <c r="AL83" s="165">
        <v>5.5840725999999998</v>
      </c>
      <c r="AM83" s="379"/>
      <c r="AN83" s="165">
        <v>3.3391383000000001</v>
      </c>
      <c r="AO83" s="379"/>
      <c r="AP83" s="165">
        <v>2.8700142999999998</v>
      </c>
      <c r="AQ83" s="379"/>
      <c r="AR83" s="165">
        <v>2.0932512000000001</v>
      </c>
      <c r="AS83" s="379"/>
      <c r="AT83" s="165">
        <v>3.2730419999999998</v>
      </c>
      <c r="AU83" s="379"/>
      <c r="AV83" s="165">
        <v>2.5574449000000001</v>
      </c>
      <c r="AW83" s="379"/>
      <c r="AX83" s="165">
        <v>6.1200405</v>
      </c>
      <c r="AY83" s="379"/>
      <c r="AZ83" s="165">
        <v>2.3731873999999999</v>
      </c>
      <c r="BA83" s="379"/>
      <c r="BB83" s="165">
        <v>1.6374082999999999</v>
      </c>
      <c r="BC83" s="379"/>
      <c r="BD83" s="165">
        <v>1.1255396</v>
      </c>
      <c r="BE83" s="379"/>
      <c r="BF83" s="165">
        <v>6.7467280000000001</v>
      </c>
      <c r="BG83" s="379"/>
      <c r="BH83" s="225"/>
      <c r="BI83" s="184"/>
      <c r="CJ83" s="150"/>
      <c r="CK83" s="150"/>
      <c r="CL83" s="150"/>
      <c r="CM83" s="151" t="s">
        <v>1145</v>
      </c>
      <c r="CN83" s="150" t="s">
        <v>1130</v>
      </c>
      <c r="CO83" s="150"/>
      <c r="CP83" s="150"/>
      <c r="CQ83" s="150"/>
      <c r="CR83" s="150"/>
      <c r="CS83" s="150"/>
      <c r="CT83" s="150"/>
    </row>
    <row r="84" spans="1:98" s="11" customFormat="1" ht="12.75" customHeight="1">
      <c r="A84" s="310"/>
      <c r="B84" s="308" t="str">
        <f>Parameters!Q83</f>
        <v>R93</v>
      </c>
      <c r="C84" s="309"/>
      <c r="D84" s="495" t="str">
        <f>Parameters!S83</f>
        <v>Sports activities and amusement and recreation activities</v>
      </c>
      <c r="E84" s="497"/>
      <c r="F84" s="224"/>
      <c r="G84" s="379"/>
      <c r="H84" s="225"/>
      <c r="I84" s="379"/>
      <c r="J84" s="225"/>
      <c r="K84" s="379"/>
      <c r="L84" s="225"/>
      <c r="M84" s="379"/>
      <c r="N84" s="225"/>
      <c r="O84" s="379"/>
      <c r="P84" s="225"/>
      <c r="Q84" s="379"/>
      <c r="R84" s="225"/>
      <c r="S84" s="379"/>
      <c r="T84" s="225"/>
      <c r="U84" s="379"/>
      <c r="V84" s="225"/>
      <c r="W84" s="379"/>
      <c r="X84" s="225"/>
      <c r="Y84" s="379"/>
      <c r="Z84" s="225"/>
      <c r="AA84" s="379"/>
      <c r="AB84" s="225"/>
      <c r="AC84" s="379"/>
      <c r="AD84" s="225"/>
      <c r="AE84" s="379"/>
      <c r="AF84" s="165">
        <v>10.176730299999999</v>
      </c>
      <c r="AG84" s="379"/>
      <c r="AH84" s="165">
        <v>11.642210800000001</v>
      </c>
      <c r="AI84" s="379"/>
      <c r="AJ84" s="165">
        <v>17.944487200000001</v>
      </c>
      <c r="AK84" s="379"/>
      <c r="AL84" s="165">
        <v>13.4479635</v>
      </c>
      <c r="AM84" s="379"/>
      <c r="AN84" s="165">
        <v>12.164469199999999</v>
      </c>
      <c r="AO84" s="379"/>
      <c r="AP84" s="165">
        <v>15.5100826</v>
      </c>
      <c r="AQ84" s="379"/>
      <c r="AR84" s="165">
        <v>13.368505000000001</v>
      </c>
      <c r="AS84" s="379"/>
      <c r="AT84" s="165">
        <v>10.4503839</v>
      </c>
      <c r="AU84" s="379"/>
      <c r="AV84" s="165">
        <v>12.3509668</v>
      </c>
      <c r="AW84" s="379"/>
      <c r="AX84" s="165">
        <v>11.266026800000001</v>
      </c>
      <c r="AY84" s="379"/>
      <c r="AZ84" s="165">
        <v>17.194792899999999</v>
      </c>
      <c r="BA84" s="379"/>
      <c r="BB84" s="165">
        <v>13.8946478</v>
      </c>
      <c r="BC84" s="379"/>
      <c r="BD84" s="165">
        <v>9.6123016000000003</v>
      </c>
      <c r="BE84" s="379"/>
      <c r="BF84" s="165">
        <v>20.5407218</v>
      </c>
      <c r="BG84" s="379"/>
      <c r="BH84" s="225"/>
      <c r="BI84" s="184"/>
      <c r="CJ84" s="150"/>
      <c r="CK84" s="150"/>
      <c r="CL84" s="150"/>
      <c r="CM84" s="151" t="s">
        <v>1074</v>
      </c>
      <c r="CN84" s="150" t="s">
        <v>1130</v>
      </c>
      <c r="CO84" s="150"/>
      <c r="CP84" s="150"/>
      <c r="CQ84" s="150"/>
      <c r="CR84" s="150"/>
      <c r="CS84" s="150"/>
      <c r="CT84" s="150"/>
    </row>
    <row r="85" spans="1:98" s="11" customFormat="1" ht="12.75" customHeight="1">
      <c r="A85" s="25"/>
      <c r="B85" s="87" t="str">
        <f>Parameters!Q84</f>
        <v>S</v>
      </c>
      <c r="C85" s="88"/>
      <c r="D85" s="498" t="str">
        <f>Parameters!S84</f>
        <v>Other service activities</v>
      </c>
      <c r="E85" s="499"/>
      <c r="F85" s="222"/>
      <c r="G85" s="379"/>
      <c r="H85" s="223"/>
      <c r="I85" s="379"/>
      <c r="J85" s="223"/>
      <c r="K85" s="379"/>
      <c r="L85" s="223"/>
      <c r="M85" s="379"/>
      <c r="N85" s="223"/>
      <c r="O85" s="379"/>
      <c r="P85" s="223"/>
      <c r="Q85" s="379"/>
      <c r="R85" s="223"/>
      <c r="S85" s="379"/>
      <c r="T85" s="223"/>
      <c r="U85" s="379"/>
      <c r="V85" s="223"/>
      <c r="W85" s="379"/>
      <c r="X85" s="223"/>
      <c r="Y85" s="379"/>
      <c r="Z85" s="223"/>
      <c r="AA85" s="379"/>
      <c r="AB85" s="223"/>
      <c r="AC85" s="379"/>
      <c r="AD85" s="223"/>
      <c r="AE85" s="379"/>
      <c r="AF85" s="164">
        <v>36.234070099999997</v>
      </c>
      <c r="AG85" s="379"/>
      <c r="AH85" s="164">
        <v>38.640881700000001</v>
      </c>
      <c r="AI85" s="379"/>
      <c r="AJ85" s="164">
        <v>76.166337100000007</v>
      </c>
      <c r="AK85" s="379"/>
      <c r="AL85" s="164">
        <v>60.698810000000002</v>
      </c>
      <c r="AM85" s="379"/>
      <c r="AN85" s="164">
        <v>53.5630563</v>
      </c>
      <c r="AO85" s="379"/>
      <c r="AP85" s="164">
        <v>62.558937100000001</v>
      </c>
      <c r="AQ85" s="379"/>
      <c r="AR85" s="164">
        <v>65.216953500000002</v>
      </c>
      <c r="AS85" s="379"/>
      <c r="AT85" s="164">
        <v>53.673658000000003</v>
      </c>
      <c r="AU85" s="379"/>
      <c r="AV85" s="164">
        <v>62.381383599999999</v>
      </c>
      <c r="AW85" s="379"/>
      <c r="AX85" s="164">
        <v>48.799779700000002</v>
      </c>
      <c r="AY85" s="379"/>
      <c r="AZ85" s="164">
        <v>49.403434400000002</v>
      </c>
      <c r="BA85" s="379"/>
      <c r="BB85" s="164">
        <v>42.522027100000003</v>
      </c>
      <c r="BC85" s="379"/>
      <c r="BD85" s="164">
        <v>43.800210100000001</v>
      </c>
      <c r="BE85" s="379"/>
      <c r="BF85" s="164">
        <v>45.704740100000002</v>
      </c>
      <c r="BG85" s="379"/>
      <c r="BH85" s="223"/>
      <c r="BI85" s="184"/>
      <c r="CJ85" s="150"/>
      <c r="CK85" s="150"/>
      <c r="CL85" s="150"/>
      <c r="CM85" s="151" t="s">
        <v>1076</v>
      </c>
      <c r="CN85" s="150" t="s">
        <v>1130</v>
      </c>
      <c r="CO85" s="150"/>
      <c r="CP85" s="150"/>
      <c r="CQ85" s="150"/>
      <c r="CR85" s="150"/>
      <c r="CS85" s="150"/>
      <c r="CT85" s="150"/>
    </row>
    <row r="86" spans="1:98" s="10" customFormat="1" ht="12.75" customHeight="1">
      <c r="A86" s="310"/>
      <c r="B86" s="308" t="str">
        <f>Parameters!Q85</f>
        <v>S94</v>
      </c>
      <c r="C86" s="309"/>
      <c r="D86" s="495" t="str">
        <f>Parameters!S85</f>
        <v>Activities of membership organisations</v>
      </c>
      <c r="E86" s="496"/>
      <c r="F86" s="224"/>
      <c r="G86" s="379"/>
      <c r="H86" s="225"/>
      <c r="I86" s="379"/>
      <c r="J86" s="225"/>
      <c r="K86" s="379"/>
      <c r="L86" s="225"/>
      <c r="M86" s="379"/>
      <c r="N86" s="225"/>
      <c r="O86" s="379"/>
      <c r="P86" s="225"/>
      <c r="Q86" s="379"/>
      <c r="R86" s="225"/>
      <c r="S86" s="379"/>
      <c r="T86" s="225"/>
      <c r="U86" s="379"/>
      <c r="V86" s="225"/>
      <c r="W86" s="379"/>
      <c r="X86" s="225"/>
      <c r="Y86" s="379"/>
      <c r="Z86" s="225"/>
      <c r="AA86" s="379"/>
      <c r="AB86" s="225"/>
      <c r="AC86" s="379"/>
      <c r="AD86" s="225"/>
      <c r="AE86" s="379"/>
      <c r="AF86" s="165">
        <v>2.9576357</v>
      </c>
      <c r="AG86" s="379"/>
      <c r="AH86" s="165">
        <v>4.0676693999999998</v>
      </c>
      <c r="AI86" s="379"/>
      <c r="AJ86" s="165">
        <v>8.0137712000000008</v>
      </c>
      <c r="AK86" s="379"/>
      <c r="AL86" s="165">
        <v>4.9326555000000001</v>
      </c>
      <c r="AM86" s="379"/>
      <c r="AN86" s="165">
        <v>4.3572199999999999</v>
      </c>
      <c r="AO86" s="379"/>
      <c r="AP86" s="165">
        <v>3.8947584000000002</v>
      </c>
      <c r="AQ86" s="379"/>
      <c r="AR86" s="165">
        <v>2.7147073000000002</v>
      </c>
      <c r="AS86" s="379"/>
      <c r="AT86" s="165">
        <v>2.4714781000000001</v>
      </c>
      <c r="AU86" s="379"/>
      <c r="AV86" s="165">
        <v>2.6544865</v>
      </c>
      <c r="AW86" s="379"/>
      <c r="AX86" s="165">
        <v>2.3144203000000001</v>
      </c>
      <c r="AY86" s="379"/>
      <c r="AZ86" s="165">
        <v>2.1080713000000002</v>
      </c>
      <c r="BA86" s="379"/>
      <c r="BB86" s="165">
        <v>1.5665811999999999</v>
      </c>
      <c r="BC86" s="379"/>
      <c r="BD86" s="165">
        <v>0.73599979999999998</v>
      </c>
      <c r="BE86" s="379"/>
      <c r="BF86" s="165">
        <v>1.3616836000000001</v>
      </c>
      <c r="BG86" s="379"/>
      <c r="BH86" s="225"/>
      <c r="BI86" s="184"/>
      <c r="CJ86" s="150"/>
      <c r="CK86" s="150"/>
      <c r="CL86" s="150"/>
      <c r="CM86" s="151" t="s">
        <v>1078</v>
      </c>
      <c r="CN86" s="150" t="s">
        <v>1130</v>
      </c>
      <c r="CO86" s="150"/>
      <c r="CP86" s="150"/>
      <c r="CQ86" s="150"/>
      <c r="CR86" s="150"/>
      <c r="CS86" s="150"/>
      <c r="CT86" s="150"/>
    </row>
    <row r="87" spans="1:98" s="10" customFormat="1" ht="12.75" customHeight="1">
      <c r="A87" s="310"/>
      <c r="B87" s="308" t="str">
        <f>Parameters!Q86</f>
        <v>S95</v>
      </c>
      <c r="C87" s="309"/>
      <c r="D87" s="495" t="str">
        <f>Parameters!S86</f>
        <v>Repair of computers and personal and household goods</v>
      </c>
      <c r="E87" s="497"/>
      <c r="F87" s="224"/>
      <c r="G87" s="379"/>
      <c r="H87" s="225"/>
      <c r="I87" s="379"/>
      <c r="J87" s="225"/>
      <c r="K87" s="379"/>
      <c r="L87" s="225"/>
      <c r="M87" s="379"/>
      <c r="N87" s="225"/>
      <c r="O87" s="379"/>
      <c r="P87" s="225"/>
      <c r="Q87" s="379"/>
      <c r="R87" s="225"/>
      <c r="S87" s="379"/>
      <c r="T87" s="225"/>
      <c r="U87" s="379"/>
      <c r="V87" s="225"/>
      <c r="W87" s="379"/>
      <c r="X87" s="225"/>
      <c r="Y87" s="379"/>
      <c r="Z87" s="225"/>
      <c r="AA87" s="379"/>
      <c r="AB87" s="225"/>
      <c r="AC87" s="379"/>
      <c r="AD87" s="225"/>
      <c r="AE87" s="379"/>
      <c r="AF87" s="165">
        <v>3.4791552000000001</v>
      </c>
      <c r="AG87" s="379"/>
      <c r="AH87" s="165">
        <v>3.3273445000000001</v>
      </c>
      <c r="AI87" s="379"/>
      <c r="AJ87" s="165">
        <v>4.0432081000000002</v>
      </c>
      <c r="AK87" s="379"/>
      <c r="AL87" s="165">
        <v>3.8442009000000001</v>
      </c>
      <c r="AM87" s="379"/>
      <c r="AN87" s="165">
        <v>4.1672076000000002</v>
      </c>
      <c r="AO87" s="379"/>
      <c r="AP87" s="165">
        <v>4.2954239999999997</v>
      </c>
      <c r="AQ87" s="379"/>
      <c r="AR87" s="165">
        <v>4.1289562000000002</v>
      </c>
      <c r="AS87" s="379"/>
      <c r="AT87" s="165">
        <v>4.5476900999999996</v>
      </c>
      <c r="AU87" s="379"/>
      <c r="AV87" s="165">
        <v>5.8990141999999999</v>
      </c>
      <c r="AW87" s="379"/>
      <c r="AX87" s="165">
        <v>5.0776893000000003</v>
      </c>
      <c r="AY87" s="379"/>
      <c r="AZ87" s="165">
        <v>5.1836013000000003</v>
      </c>
      <c r="BA87" s="379"/>
      <c r="BB87" s="165">
        <v>5.1749929999999997</v>
      </c>
      <c r="BC87" s="379"/>
      <c r="BD87" s="165">
        <v>6.6795488000000001</v>
      </c>
      <c r="BE87" s="379"/>
      <c r="BF87" s="165">
        <v>4.5884194999999997</v>
      </c>
      <c r="BG87" s="379"/>
      <c r="BH87" s="225"/>
      <c r="BI87" s="184"/>
      <c r="CJ87" s="150"/>
      <c r="CK87" s="150"/>
      <c r="CL87" s="150"/>
      <c r="CM87" s="151" t="s">
        <v>1080</v>
      </c>
      <c r="CN87" s="150" t="s">
        <v>1130</v>
      </c>
      <c r="CO87" s="150"/>
      <c r="CP87" s="150"/>
      <c r="CQ87" s="150"/>
      <c r="CR87" s="150"/>
      <c r="CS87" s="150"/>
      <c r="CT87" s="150"/>
    </row>
    <row r="88" spans="1:98" s="10" customFormat="1" ht="12.75" customHeight="1">
      <c r="A88" s="310"/>
      <c r="B88" s="308" t="str">
        <f>Parameters!Q87</f>
        <v>S96</v>
      </c>
      <c r="C88" s="309"/>
      <c r="D88" s="495" t="str">
        <f>Parameters!S87</f>
        <v>Other personal service activities</v>
      </c>
      <c r="E88" s="497"/>
      <c r="F88" s="224"/>
      <c r="G88" s="379"/>
      <c r="H88" s="225"/>
      <c r="I88" s="379"/>
      <c r="J88" s="225"/>
      <c r="K88" s="379"/>
      <c r="L88" s="225"/>
      <c r="M88" s="379"/>
      <c r="N88" s="225"/>
      <c r="O88" s="379"/>
      <c r="P88" s="225"/>
      <c r="Q88" s="379"/>
      <c r="R88" s="225"/>
      <c r="S88" s="379"/>
      <c r="T88" s="225"/>
      <c r="U88" s="379"/>
      <c r="V88" s="225"/>
      <c r="W88" s="379"/>
      <c r="X88" s="225"/>
      <c r="Y88" s="379"/>
      <c r="Z88" s="225"/>
      <c r="AA88" s="379"/>
      <c r="AB88" s="225"/>
      <c r="AC88" s="379"/>
      <c r="AD88" s="225"/>
      <c r="AE88" s="379"/>
      <c r="AF88" s="165">
        <v>29.7972793</v>
      </c>
      <c r="AG88" s="379"/>
      <c r="AH88" s="165">
        <v>31.245867799999999</v>
      </c>
      <c r="AI88" s="379"/>
      <c r="AJ88" s="165">
        <v>64.109357700000004</v>
      </c>
      <c r="AK88" s="379"/>
      <c r="AL88" s="165">
        <v>51.921953600000002</v>
      </c>
      <c r="AM88" s="379"/>
      <c r="AN88" s="165">
        <v>45.038628799999998</v>
      </c>
      <c r="AO88" s="379"/>
      <c r="AP88" s="165">
        <v>54.368754699999997</v>
      </c>
      <c r="AQ88" s="379"/>
      <c r="AR88" s="165">
        <v>58.373289999999997</v>
      </c>
      <c r="AS88" s="379"/>
      <c r="AT88" s="165">
        <v>46.6544898</v>
      </c>
      <c r="AU88" s="379"/>
      <c r="AV88" s="165">
        <v>53.827883</v>
      </c>
      <c r="AW88" s="379"/>
      <c r="AX88" s="165">
        <v>41.407670099999997</v>
      </c>
      <c r="AY88" s="379"/>
      <c r="AZ88" s="165">
        <v>42.111761799999996</v>
      </c>
      <c r="BA88" s="379"/>
      <c r="BB88" s="165">
        <v>35.7804529</v>
      </c>
      <c r="BC88" s="379"/>
      <c r="BD88" s="165">
        <v>36.3846615</v>
      </c>
      <c r="BE88" s="379"/>
      <c r="BF88" s="165">
        <v>39.754637000000002</v>
      </c>
      <c r="BG88" s="379"/>
      <c r="BH88" s="225"/>
      <c r="BI88" s="184"/>
      <c r="CJ88" s="150"/>
      <c r="CK88" s="150"/>
      <c r="CL88" s="150"/>
      <c r="CM88" s="151" t="s">
        <v>1082</v>
      </c>
      <c r="CN88" s="150" t="s">
        <v>1130</v>
      </c>
      <c r="CO88" s="150"/>
      <c r="CP88" s="150"/>
      <c r="CQ88" s="150"/>
      <c r="CR88" s="150"/>
      <c r="CS88" s="150"/>
      <c r="CT88" s="150"/>
    </row>
    <row r="89" spans="1:98" s="10" customFormat="1" ht="30.75" customHeight="1">
      <c r="A89" s="25"/>
      <c r="B89" s="87" t="str">
        <f>Parameters!Q88</f>
        <v>T</v>
      </c>
      <c r="C89" s="88"/>
      <c r="D89" s="498" t="str">
        <f>Parameters!S88</f>
        <v>Activities of households as employers; undifferentiated goods- and services-producing activities of households for own use</v>
      </c>
      <c r="E89" s="499"/>
      <c r="F89" s="222"/>
      <c r="G89" s="379"/>
      <c r="H89" s="231"/>
      <c r="I89" s="379"/>
      <c r="J89" s="231"/>
      <c r="K89" s="379"/>
      <c r="L89" s="231"/>
      <c r="M89" s="379"/>
      <c r="N89" s="231"/>
      <c r="O89" s="379"/>
      <c r="P89" s="231"/>
      <c r="Q89" s="379"/>
      <c r="R89" s="231"/>
      <c r="S89" s="379"/>
      <c r="T89" s="231"/>
      <c r="U89" s="379"/>
      <c r="V89" s="231"/>
      <c r="W89" s="379"/>
      <c r="X89" s="231"/>
      <c r="Y89" s="379"/>
      <c r="Z89" s="231"/>
      <c r="AA89" s="379"/>
      <c r="AB89" s="231"/>
      <c r="AC89" s="379"/>
      <c r="AD89" s="231"/>
      <c r="AE89" s="379"/>
      <c r="AF89" s="169">
        <v>0.74833079999999996</v>
      </c>
      <c r="AG89" s="379"/>
      <c r="AH89" s="169">
        <v>1.5071641</v>
      </c>
      <c r="AI89" s="379"/>
      <c r="AJ89" s="169">
        <v>3.6874248000000001</v>
      </c>
      <c r="AK89" s="379"/>
      <c r="AL89" s="169">
        <v>1.6418547999999999</v>
      </c>
      <c r="AM89" s="379"/>
      <c r="AN89" s="169">
        <v>1.0688186</v>
      </c>
      <c r="AO89" s="379"/>
      <c r="AP89" s="169">
        <v>1.0699223</v>
      </c>
      <c r="AQ89" s="379"/>
      <c r="AR89" s="169">
        <v>1.180021</v>
      </c>
      <c r="AS89" s="379"/>
      <c r="AT89" s="169">
        <v>0.94855869999999998</v>
      </c>
      <c r="AU89" s="379"/>
      <c r="AV89" s="164">
        <v>0.87370440000000005</v>
      </c>
      <c r="AW89" s="379"/>
      <c r="AX89" s="164">
        <v>0.631853</v>
      </c>
      <c r="AY89" s="379"/>
      <c r="AZ89" s="164">
        <v>0.61600739999999998</v>
      </c>
      <c r="BA89" s="379"/>
      <c r="BB89" s="164">
        <v>0.26927649999999997</v>
      </c>
      <c r="BC89" s="379"/>
      <c r="BD89" s="164">
        <v>0.19202640000000001</v>
      </c>
      <c r="BE89" s="379"/>
      <c r="BF89" s="164">
        <v>0.30649189999999998</v>
      </c>
      <c r="BG89" s="379"/>
      <c r="BH89" s="223"/>
      <c r="BI89" s="184"/>
      <c r="CJ89" s="150"/>
      <c r="CK89" s="150"/>
      <c r="CL89" s="150"/>
      <c r="CM89" s="151" t="s">
        <v>647</v>
      </c>
      <c r="CN89" s="150" t="s">
        <v>1130</v>
      </c>
      <c r="CO89" s="150"/>
      <c r="CP89" s="150"/>
      <c r="CQ89" s="150"/>
      <c r="CR89" s="150"/>
      <c r="CS89" s="150"/>
      <c r="CT89" s="150"/>
    </row>
    <row r="90" spans="1:98" s="10" customFormat="1" ht="17.25" customHeight="1" thickBot="1">
      <c r="A90" s="25"/>
      <c r="B90" s="98" t="str">
        <f>Parameters!Q89</f>
        <v>U</v>
      </c>
      <c r="C90" s="14"/>
      <c r="D90" s="500" t="str">
        <f>Parameters!S89</f>
        <v>Activities of extraterritorial organisations and bodies</v>
      </c>
      <c r="E90" s="501"/>
      <c r="F90" s="222"/>
      <c r="G90" s="379"/>
      <c r="H90" s="223"/>
      <c r="I90" s="379"/>
      <c r="J90" s="223"/>
      <c r="K90" s="379"/>
      <c r="L90" s="223"/>
      <c r="M90" s="379"/>
      <c r="N90" s="223"/>
      <c r="O90" s="379"/>
      <c r="P90" s="223"/>
      <c r="Q90" s="379"/>
      <c r="R90" s="223"/>
      <c r="S90" s="379"/>
      <c r="T90" s="223"/>
      <c r="U90" s="379"/>
      <c r="V90" s="223"/>
      <c r="W90" s="379"/>
      <c r="X90" s="223"/>
      <c r="Y90" s="379"/>
      <c r="Z90" s="223"/>
      <c r="AA90" s="379"/>
      <c r="AB90" s="223"/>
      <c r="AC90" s="379"/>
      <c r="AD90" s="223"/>
      <c r="AE90" s="379"/>
      <c r="AF90" s="164">
        <v>0</v>
      </c>
      <c r="AG90" s="379" t="s">
        <v>422</v>
      </c>
      <c r="AH90" s="164">
        <v>0</v>
      </c>
      <c r="AI90" s="379" t="s">
        <v>422</v>
      </c>
      <c r="AJ90" s="164">
        <v>0</v>
      </c>
      <c r="AK90" s="379" t="s">
        <v>422</v>
      </c>
      <c r="AL90" s="164">
        <v>0</v>
      </c>
      <c r="AM90" s="379" t="s">
        <v>422</v>
      </c>
      <c r="AN90" s="164">
        <v>0</v>
      </c>
      <c r="AO90" s="379" t="s">
        <v>422</v>
      </c>
      <c r="AP90" s="164">
        <v>0</v>
      </c>
      <c r="AQ90" s="379" t="s">
        <v>422</v>
      </c>
      <c r="AR90" s="164">
        <v>0</v>
      </c>
      <c r="AS90" s="379" t="s">
        <v>422</v>
      </c>
      <c r="AT90" s="164">
        <v>0</v>
      </c>
      <c r="AU90" s="379" t="s">
        <v>422</v>
      </c>
      <c r="AV90" s="164">
        <v>0</v>
      </c>
      <c r="AW90" s="379" t="s">
        <v>422</v>
      </c>
      <c r="AX90" s="164">
        <v>0</v>
      </c>
      <c r="AY90" s="379" t="s">
        <v>422</v>
      </c>
      <c r="AZ90" s="164">
        <v>0</v>
      </c>
      <c r="BA90" s="379" t="s">
        <v>422</v>
      </c>
      <c r="BB90" s="164">
        <v>0</v>
      </c>
      <c r="BC90" s="379" t="s">
        <v>422</v>
      </c>
      <c r="BD90" s="164">
        <v>0</v>
      </c>
      <c r="BE90" s="379" t="s">
        <v>422</v>
      </c>
      <c r="BF90" s="164">
        <v>0</v>
      </c>
      <c r="BG90" s="379" t="s">
        <v>422</v>
      </c>
      <c r="BH90" s="223"/>
      <c r="BI90" s="184"/>
      <c r="CJ90" s="150"/>
      <c r="CK90" s="150"/>
      <c r="CL90" s="150"/>
      <c r="CM90" s="151" t="s">
        <v>1085</v>
      </c>
      <c r="CN90" s="150" t="s">
        <v>1130</v>
      </c>
      <c r="CO90" s="150"/>
      <c r="CP90" s="150"/>
      <c r="CQ90" s="150"/>
      <c r="CR90" s="150"/>
      <c r="CS90" s="150"/>
      <c r="CT90" s="150"/>
    </row>
    <row r="91" spans="1:98" ht="45" customHeight="1">
      <c r="A91" s="66"/>
      <c r="B91" s="492" t="s">
        <v>571</v>
      </c>
      <c r="C91" s="502"/>
      <c r="D91" s="502"/>
      <c r="E91" s="503"/>
      <c r="F91" s="232"/>
      <c r="G91" s="181"/>
      <c r="H91" s="233"/>
      <c r="I91" s="181"/>
      <c r="J91" s="233"/>
      <c r="K91" s="181"/>
      <c r="L91" s="233"/>
      <c r="M91" s="181"/>
      <c r="N91" s="233"/>
      <c r="O91" s="181"/>
      <c r="P91" s="233"/>
      <c r="Q91" s="181"/>
      <c r="R91" s="233"/>
      <c r="S91" s="181"/>
      <c r="T91" s="233"/>
      <c r="U91" s="181"/>
      <c r="V91" s="233"/>
      <c r="W91" s="181"/>
      <c r="X91" s="233"/>
      <c r="Y91" s="181"/>
      <c r="Z91" s="233"/>
      <c r="AA91" s="181"/>
      <c r="AB91" s="233"/>
      <c r="AC91" s="181"/>
      <c r="AD91" s="233"/>
      <c r="AE91" s="181"/>
      <c r="AF91" s="170">
        <v>5876.2898121999997</v>
      </c>
      <c r="AG91" s="181"/>
      <c r="AH91" s="170">
        <v>5920.8404836</v>
      </c>
      <c r="AI91" s="181"/>
      <c r="AJ91" s="170">
        <v>6063.7862451000001</v>
      </c>
      <c r="AK91" s="181"/>
      <c r="AL91" s="170">
        <v>5736.2291722999998</v>
      </c>
      <c r="AM91" s="181"/>
      <c r="AN91" s="170">
        <v>5779.5575820000004</v>
      </c>
      <c r="AO91" s="181"/>
      <c r="AP91" s="170">
        <v>5695.3962148999999</v>
      </c>
      <c r="AQ91" s="181"/>
      <c r="AR91" s="170">
        <v>5594.2951167000001</v>
      </c>
      <c r="AS91" s="181"/>
      <c r="AT91" s="170">
        <v>5549.9009638999996</v>
      </c>
      <c r="AU91" s="181"/>
      <c r="AV91" s="171">
        <v>5409.8513217</v>
      </c>
      <c r="AW91" s="181"/>
      <c r="AX91" s="171">
        <v>4915.2027417999998</v>
      </c>
      <c r="AY91" s="181"/>
      <c r="AZ91" s="171">
        <v>4830.4292278000003</v>
      </c>
      <c r="BA91" s="181"/>
      <c r="BB91" s="171">
        <v>4295.9582283</v>
      </c>
      <c r="BC91" s="181"/>
      <c r="BD91" s="171">
        <v>4330.6276644</v>
      </c>
      <c r="BE91" s="181"/>
      <c r="BF91" s="171">
        <v>4323.8071775999997</v>
      </c>
      <c r="BG91" s="181"/>
      <c r="BH91" s="234"/>
      <c r="BI91" s="183"/>
      <c r="CJ91" s="150"/>
      <c r="CK91" s="150"/>
      <c r="CL91" s="150"/>
      <c r="CM91" s="151" t="s">
        <v>1088</v>
      </c>
      <c r="CN91" s="150" t="s">
        <v>1130</v>
      </c>
      <c r="CO91" s="150"/>
      <c r="CP91" s="150"/>
      <c r="CQ91" s="150"/>
      <c r="CR91" s="150"/>
      <c r="CS91" s="150"/>
      <c r="CT91" s="150"/>
    </row>
    <row r="92" spans="1:98">
      <c r="A92" s="66"/>
      <c r="B92" s="3"/>
      <c r="C92" s="99"/>
      <c r="D92" s="488" t="s">
        <v>572</v>
      </c>
      <c r="E92" s="489"/>
      <c r="F92" s="235"/>
      <c r="G92" s="379"/>
      <c r="H92" s="236"/>
      <c r="I92" s="379"/>
      <c r="J92" s="236"/>
      <c r="K92" s="379"/>
      <c r="L92" s="236"/>
      <c r="M92" s="379"/>
      <c r="N92" s="236"/>
      <c r="O92" s="379"/>
      <c r="P92" s="236"/>
      <c r="Q92" s="379"/>
      <c r="R92" s="236"/>
      <c r="S92" s="379"/>
      <c r="T92" s="236"/>
      <c r="U92" s="379"/>
      <c r="V92" s="236"/>
      <c r="W92" s="379"/>
      <c r="X92" s="236"/>
      <c r="Y92" s="379"/>
      <c r="Z92" s="236"/>
      <c r="AA92" s="379"/>
      <c r="AB92" s="236"/>
      <c r="AC92" s="379"/>
      <c r="AD92" s="236"/>
      <c r="AE92" s="379"/>
      <c r="AF92" s="172">
        <v>4960.0315313999999</v>
      </c>
      <c r="AG92" s="379"/>
      <c r="AH92" s="172">
        <v>5008.6114455999996</v>
      </c>
      <c r="AI92" s="379"/>
      <c r="AJ92" s="172">
        <v>5044.4041899000003</v>
      </c>
      <c r="AK92" s="379"/>
      <c r="AL92" s="172">
        <v>4925.8371876000001</v>
      </c>
      <c r="AM92" s="379"/>
      <c r="AN92" s="172">
        <v>4929.7991179999999</v>
      </c>
      <c r="AO92" s="379"/>
      <c r="AP92" s="172">
        <v>4882.8105572000004</v>
      </c>
      <c r="AQ92" s="379"/>
      <c r="AR92" s="172">
        <v>4894.2459975000002</v>
      </c>
      <c r="AS92" s="379"/>
      <c r="AT92" s="172">
        <v>4876.3291007999997</v>
      </c>
      <c r="AU92" s="379"/>
      <c r="AV92" s="173">
        <v>4716.5179976999998</v>
      </c>
      <c r="AW92" s="379"/>
      <c r="AX92" s="173">
        <v>4282.2521090999999</v>
      </c>
      <c r="AY92" s="379"/>
      <c r="AZ92" s="173">
        <v>4256.6708087999996</v>
      </c>
      <c r="BA92" s="379"/>
      <c r="BB92" s="173">
        <v>3851.8676839</v>
      </c>
      <c r="BC92" s="379"/>
      <c r="BD92" s="173">
        <v>3907.7527841000001</v>
      </c>
      <c r="BE92" s="379"/>
      <c r="BF92" s="173">
        <v>3906.3051596999999</v>
      </c>
      <c r="BG92" s="379"/>
      <c r="BH92" s="237"/>
      <c r="BI92" s="184"/>
      <c r="CJ92" s="150"/>
      <c r="CK92" s="150"/>
      <c r="CL92" s="150"/>
      <c r="CM92" s="151" t="s">
        <v>1146</v>
      </c>
      <c r="CN92" s="150" t="s">
        <v>1130</v>
      </c>
      <c r="CO92" s="150"/>
      <c r="CP92" s="150"/>
      <c r="CQ92" s="150"/>
      <c r="CR92" s="150"/>
      <c r="CS92" s="150"/>
      <c r="CT92" s="150"/>
    </row>
    <row r="93" spans="1:98">
      <c r="A93" s="314"/>
      <c r="B93" s="3"/>
      <c r="C93" s="99"/>
      <c r="D93" s="488" t="s">
        <v>573</v>
      </c>
      <c r="E93" s="489"/>
      <c r="F93" s="235"/>
      <c r="G93" s="379"/>
      <c r="H93" s="236"/>
      <c r="I93" s="379"/>
      <c r="J93" s="236"/>
      <c r="K93" s="379"/>
      <c r="L93" s="236"/>
      <c r="M93" s="379"/>
      <c r="N93" s="236"/>
      <c r="O93" s="379"/>
      <c r="P93" s="236"/>
      <c r="Q93" s="379"/>
      <c r="R93" s="236"/>
      <c r="S93" s="379"/>
      <c r="T93" s="236"/>
      <c r="U93" s="379"/>
      <c r="V93" s="236"/>
      <c r="W93" s="379"/>
      <c r="X93" s="236"/>
      <c r="Y93" s="379"/>
      <c r="Z93" s="236"/>
      <c r="AA93" s="379"/>
      <c r="AB93" s="236"/>
      <c r="AC93" s="379"/>
      <c r="AD93" s="236"/>
      <c r="AE93" s="379"/>
      <c r="AF93" s="172">
        <v>545.2822774</v>
      </c>
      <c r="AG93" s="379"/>
      <c r="AH93" s="172">
        <v>537.62898170000005</v>
      </c>
      <c r="AI93" s="379"/>
      <c r="AJ93" s="172">
        <v>648.58505479999997</v>
      </c>
      <c r="AK93" s="379"/>
      <c r="AL93" s="172">
        <v>439.1510174</v>
      </c>
      <c r="AM93" s="379"/>
      <c r="AN93" s="172">
        <v>472.41516330000002</v>
      </c>
      <c r="AO93" s="379"/>
      <c r="AP93" s="172">
        <v>437.368607</v>
      </c>
      <c r="AQ93" s="379"/>
      <c r="AR93" s="172">
        <v>325.84840279999997</v>
      </c>
      <c r="AS93" s="379"/>
      <c r="AT93" s="172">
        <v>295.51953850000001</v>
      </c>
      <c r="AU93" s="379"/>
      <c r="AV93" s="173">
        <v>319.98498840000002</v>
      </c>
      <c r="AW93" s="379"/>
      <c r="AX93" s="173">
        <v>256.55911270000001</v>
      </c>
      <c r="AY93" s="379"/>
      <c r="AZ93" s="173">
        <v>194.47301340000001</v>
      </c>
      <c r="BA93" s="379"/>
      <c r="BB93" s="173">
        <v>74.3113204</v>
      </c>
      <c r="BC93" s="379"/>
      <c r="BD93" s="173">
        <v>42.056660200000003</v>
      </c>
      <c r="BE93" s="379"/>
      <c r="BF93" s="173">
        <v>47.137922799999998</v>
      </c>
      <c r="BG93" s="379"/>
      <c r="BH93" s="237"/>
      <c r="BI93" s="184"/>
      <c r="CJ93" s="150"/>
      <c r="CK93" s="150"/>
      <c r="CL93" s="150"/>
      <c r="CM93" s="151" t="s">
        <v>1094</v>
      </c>
      <c r="CN93" s="150" t="s">
        <v>1130</v>
      </c>
      <c r="CO93" s="150"/>
      <c r="CP93" s="150"/>
      <c r="CQ93" s="150"/>
      <c r="CR93" s="150"/>
      <c r="CS93" s="150"/>
      <c r="CT93" s="150"/>
    </row>
    <row r="94" spans="1:98" ht="15" customHeight="1" thickBot="1">
      <c r="A94" s="314"/>
      <c r="B94" s="4"/>
      <c r="C94" s="2"/>
      <c r="D94" s="490" t="s">
        <v>574</v>
      </c>
      <c r="E94" s="491"/>
      <c r="F94" s="238"/>
      <c r="G94" s="182"/>
      <c r="H94" s="239"/>
      <c r="I94" s="182"/>
      <c r="J94" s="239"/>
      <c r="K94" s="182"/>
      <c r="L94" s="239"/>
      <c r="M94" s="182"/>
      <c r="N94" s="239"/>
      <c r="O94" s="182"/>
      <c r="P94" s="239"/>
      <c r="Q94" s="182"/>
      <c r="R94" s="239"/>
      <c r="S94" s="182"/>
      <c r="T94" s="239"/>
      <c r="U94" s="182"/>
      <c r="V94" s="239"/>
      <c r="W94" s="182"/>
      <c r="X94" s="239"/>
      <c r="Y94" s="182"/>
      <c r="Z94" s="239"/>
      <c r="AA94" s="182"/>
      <c r="AB94" s="239"/>
      <c r="AC94" s="182"/>
      <c r="AD94" s="239"/>
      <c r="AE94" s="182"/>
      <c r="AF94" s="174">
        <v>370.97600349999999</v>
      </c>
      <c r="AG94" s="182"/>
      <c r="AH94" s="174">
        <v>374.60005640000003</v>
      </c>
      <c r="AI94" s="182"/>
      <c r="AJ94" s="174">
        <v>370.7970004</v>
      </c>
      <c r="AK94" s="182"/>
      <c r="AL94" s="174">
        <v>371.24096730000002</v>
      </c>
      <c r="AM94" s="182"/>
      <c r="AN94" s="174">
        <v>377.34330069999999</v>
      </c>
      <c r="AO94" s="182"/>
      <c r="AP94" s="174">
        <v>375.21705059999999</v>
      </c>
      <c r="AQ94" s="182"/>
      <c r="AR94" s="174">
        <v>374.20071639999998</v>
      </c>
      <c r="AS94" s="182"/>
      <c r="AT94" s="174">
        <v>378.05232460000002</v>
      </c>
      <c r="AU94" s="182"/>
      <c r="AV94" s="175">
        <v>373.34833559999998</v>
      </c>
      <c r="AW94" s="182"/>
      <c r="AX94" s="175">
        <v>376.39152000000001</v>
      </c>
      <c r="AY94" s="182"/>
      <c r="AZ94" s="175">
        <v>379.28540559999999</v>
      </c>
      <c r="BA94" s="182"/>
      <c r="BB94" s="175">
        <v>369.779224</v>
      </c>
      <c r="BC94" s="182"/>
      <c r="BD94" s="175">
        <v>380.81822010000002</v>
      </c>
      <c r="BE94" s="182"/>
      <c r="BF94" s="175">
        <v>370.36409509999999</v>
      </c>
      <c r="BG94" s="182"/>
      <c r="BH94" s="240"/>
      <c r="BI94" s="185"/>
      <c r="CJ94" s="150"/>
      <c r="CK94" s="150"/>
      <c r="CL94" s="150"/>
      <c r="CM94" s="151" t="s">
        <v>1097</v>
      </c>
      <c r="CN94" s="150" t="s">
        <v>1130</v>
      </c>
      <c r="CO94" s="150"/>
      <c r="CP94" s="150"/>
      <c r="CQ94" s="150"/>
      <c r="CR94" s="150"/>
      <c r="CS94" s="150"/>
      <c r="CT94" s="150"/>
    </row>
    <row r="95" spans="1:98" ht="55.5" customHeight="1">
      <c r="A95" s="314"/>
      <c r="B95" s="492" t="s">
        <v>1147</v>
      </c>
      <c r="C95" s="493"/>
      <c r="D95" s="493"/>
      <c r="E95" s="494"/>
      <c r="F95" s="235"/>
      <c r="G95" s="379"/>
      <c r="H95" s="236"/>
      <c r="I95" s="379"/>
      <c r="J95" s="236"/>
      <c r="K95" s="379"/>
      <c r="L95" s="236"/>
      <c r="M95" s="379"/>
      <c r="N95" s="236"/>
      <c r="O95" s="379"/>
      <c r="P95" s="236"/>
      <c r="Q95" s="379"/>
      <c r="R95" s="236"/>
      <c r="S95" s="379"/>
      <c r="T95" s="236"/>
      <c r="U95" s="379"/>
      <c r="V95" s="236"/>
      <c r="W95" s="379"/>
      <c r="X95" s="236"/>
      <c r="Y95" s="379"/>
      <c r="Z95" s="236"/>
      <c r="AA95" s="379"/>
      <c r="AB95" s="236"/>
      <c r="AC95" s="379"/>
      <c r="AD95" s="236"/>
      <c r="AE95" s="379"/>
      <c r="AF95" s="172">
        <v>54850.569618699999</v>
      </c>
      <c r="AG95" s="379"/>
      <c r="AH95" s="172">
        <v>51897.017462700001</v>
      </c>
      <c r="AI95" s="379"/>
      <c r="AJ95" s="172">
        <v>55356.447498100002</v>
      </c>
      <c r="AK95" s="379"/>
      <c r="AL95" s="172">
        <v>59969.848084800004</v>
      </c>
      <c r="AM95" s="379"/>
      <c r="AN95" s="172">
        <v>59547.580717700002</v>
      </c>
      <c r="AO95" s="379"/>
      <c r="AP95" s="172">
        <v>59755.774041600002</v>
      </c>
      <c r="AQ95" s="379"/>
      <c r="AR95" s="172">
        <v>59169.6863963</v>
      </c>
      <c r="AS95" s="379"/>
      <c r="AT95" s="172">
        <v>66157.968116599994</v>
      </c>
      <c r="AU95" s="379"/>
      <c r="AV95" s="173">
        <v>57399.9333682</v>
      </c>
      <c r="AW95" s="379"/>
      <c r="AX95" s="173">
        <v>59459.184413100003</v>
      </c>
      <c r="AY95" s="379"/>
      <c r="AZ95" s="173">
        <v>62464.127887299997</v>
      </c>
      <c r="BA95" s="379"/>
      <c r="BB95" s="173">
        <v>62298.778250000003</v>
      </c>
      <c r="BC95" s="379"/>
      <c r="BD95" s="173">
        <v>56732.793926500002</v>
      </c>
      <c r="BE95" s="379"/>
      <c r="BF95" s="173">
        <v>56277.622802500002</v>
      </c>
      <c r="BG95" s="379"/>
      <c r="BH95" s="237"/>
      <c r="BI95" s="184"/>
      <c r="CJ95" s="150"/>
      <c r="CK95" s="150"/>
      <c r="CL95" s="150"/>
      <c r="CM95" s="151" t="s">
        <v>1148</v>
      </c>
      <c r="CN95" s="150" t="s">
        <v>1130</v>
      </c>
      <c r="CO95" s="150"/>
      <c r="CP95" s="150"/>
      <c r="CQ95" s="150"/>
      <c r="CR95" s="150"/>
      <c r="CS95" s="150"/>
      <c r="CT95" s="150"/>
    </row>
    <row r="96" spans="1:98" ht="17.25" customHeight="1">
      <c r="A96" s="317"/>
      <c r="B96" s="200">
        <v>2</v>
      </c>
      <c r="C96" s="101"/>
      <c r="D96" s="482" t="s">
        <v>576</v>
      </c>
      <c r="E96" s="483"/>
      <c r="F96" s="235"/>
      <c r="G96" s="379"/>
      <c r="H96" s="236"/>
      <c r="I96" s="379"/>
      <c r="J96" s="236"/>
      <c r="K96" s="379"/>
      <c r="L96" s="236"/>
      <c r="M96" s="379"/>
      <c r="N96" s="236"/>
      <c r="O96" s="379"/>
      <c r="P96" s="236"/>
      <c r="Q96" s="379"/>
      <c r="R96" s="236"/>
      <c r="S96" s="379"/>
      <c r="T96" s="236"/>
      <c r="U96" s="379"/>
      <c r="V96" s="236"/>
      <c r="W96" s="379"/>
      <c r="X96" s="236"/>
      <c r="Y96" s="379"/>
      <c r="Z96" s="236"/>
      <c r="AA96" s="379"/>
      <c r="AB96" s="236"/>
      <c r="AC96" s="379"/>
      <c r="AD96" s="236"/>
      <c r="AE96" s="379"/>
      <c r="AF96" s="172">
        <v>9550.2619078999996</v>
      </c>
      <c r="AG96" s="379"/>
      <c r="AH96" s="172">
        <v>8225.6773424000003</v>
      </c>
      <c r="AI96" s="379"/>
      <c r="AJ96" s="172">
        <v>9000.1906366000003</v>
      </c>
      <c r="AK96" s="379"/>
      <c r="AL96" s="172">
        <v>14433.7375496</v>
      </c>
      <c r="AM96" s="379"/>
      <c r="AN96" s="172">
        <v>14472.0294383</v>
      </c>
      <c r="AO96" s="379"/>
      <c r="AP96" s="172">
        <v>14342.5318529</v>
      </c>
      <c r="AQ96" s="379"/>
      <c r="AR96" s="172">
        <v>13327.9057244</v>
      </c>
      <c r="AS96" s="379"/>
      <c r="AT96" s="172">
        <v>19766.074902</v>
      </c>
      <c r="AU96" s="379"/>
      <c r="AV96" s="173">
        <v>11891.5050973</v>
      </c>
      <c r="AW96" s="379"/>
      <c r="AX96" s="173">
        <v>14438.3397764</v>
      </c>
      <c r="AY96" s="379"/>
      <c r="AZ96" s="173">
        <v>17297.525897700001</v>
      </c>
      <c r="BA96" s="379"/>
      <c r="BB96" s="173">
        <v>18737.355753299998</v>
      </c>
      <c r="BC96" s="379"/>
      <c r="BD96" s="173">
        <v>15319.296407399999</v>
      </c>
      <c r="BE96" s="379"/>
      <c r="BF96" s="173">
        <v>15146.2503139</v>
      </c>
      <c r="BG96" s="379"/>
      <c r="BH96" s="237"/>
      <c r="BI96" s="184"/>
      <c r="CJ96" s="150"/>
      <c r="CK96" s="150"/>
      <c r="CL96" s="150"/>
      <c r="CM96" s="151" t="s">
        <v>1148</v>
      </c>
      <c r="CN96" s="150" t="s">
        <v>1149</v>
      </c>
      <c r="CO96" s="150"/>
      <c r="CP96" s="150"/>
      <c r="CQ96" s="150"/>
      <c r="CR96" s="150"/>
      <c r="CS96" s="150"/>
      <c r="CT96" s="150"/>
    </row>
    <row r="97" spans="1:98" ht="12.75" customHeight="1">
      <c r="A97" s="317"/>
      <c r="B97" s="201">
        <v>2.1</v>
      </c>
      <c r="C97" s="102"/>
      <c r="D97" s="480" t="s">
        <v>577</v>
      </c>
      <c r="E97" s="481"/>
      <c r="F97" s="224"/>
      <c r="G97" s="379"/>
      <c r="H97" s="228"/>
      <c r="I97" s="379"/>
      <c r="J97" s="228"/>
      <c r="K97" s="379"/>
      <c r="L97" s="228"/>
      <c r="M97" s="379"/>
      <c r="N97" s="228"/>
      <c r="O97" s="379"/>
      <c r="P97" s="228"/>
      <c r="Q97" s="379"/>
      <c r="R97" s="228"/>
      <c r="S97" s="379"/>
      <c r="T97" s="228"/>
      <c r="U97" s="379"/>
      <c r="V97" s="228"/>
      <c r="W97" s="379"/>
      <c r="X97" s="228"/>
      <c r="Y97" s="379"/>
      <c r="Z97" s="228"/>
      <c r="AA97" s="379"/>
      <c r="AB97" s="228"/>
      <c r="AC97" s="379"/>
      <c r="AD97" s="228"/>
      <c r="AE97" s="379"/>
      <c r="AF97" s="167">
        <v>0</v>
      </c>
      <c r="AG97" s="379"/>
      <c r="AH97" s="167">
        <v>0</v>
      </c>
      <c r="AI97" s="379"/>
      <c r="AJ97" s="167">
        <v>0</v>
      </c>
      <c r="AK97" s="379"/>
      <c r="AL97" s="167">
        <v>0</v>
      </c>
      <c r="AM97" s="379"/>
      <c r="AN97" s="167">
        <v>0</v>
      </c>
      <c r="AO97" s="379"/>
      <c r="AP97" s="167">
        <v>0</v>
      </c>
      <c r="AQ97" s="379"/>
      <c r="AR97" s="167">
        <v>0</v>
      </c>
      <c r="AS97" s="379"/>
      <c r="AT97" s="167">
        <v>0</v>
      </c>
      <c r="AU97" s="379"/>
      <c r="AV97" s="165">
        <v>0</v>
      </c>
      <c r="AW97" s="379"/>
      <c r="AX97" s="165">
        <v>0</v>
      </c>
      <c r="AY97" s="379"/>
      <c r="AZ97" s="165">
        <v>0</v>
      </c>
      <c r="BA97" s="379"/>
      <c r="BB97" s="165">
        <v>0</v>
      </c>
      <c r="BC97" s="379"/>
      <c r="BD97" s="165">
        <v>0</v>
      </c>
      <c r="BE97" s="379"/>
      <c r="BF97" s="165">
        <v>0</v>
      </c>
      <c r="BG97" s="379"/>
      <c r="BH97" s="225"/>
      <c r="BI97" s="184"/>
      <c r="CJ97" s="150"/>
      <c r="CK97" s="150"/>
      <c r="CL97" s="150"/>
      <c r="CM97" s="151" t="s">
        <v>1148</v>
      </c>
      <c r="CN97" s="150" t="s">
        <v>1150</v>
      </c>
      <c r="CO97" s="150"/>
      <c r="CP97" s="150"/>
      <c r="CQ97" s="150"/>
      <c r="CR97" s="150"/>
      <c r="CS97" s="150"/>
      <c r="CT97" s="150"/>
    </row>
    <row r="98" spans="1:98" ht="12.75" customHeight="1">
      <c r="A98" s="317"/>
      <c r="B98" s="201">
        <v>2.2000000000000002</v>
      </c>
      <c r="C98" s="102"/>
      <c r="D98" s="480" t="s">
        <v>578</v>
      </c>
      <c r="E98" s="481"/>
      <c r="F98" s="224"/>
      <c r="G98" s="379"/>
      <c r="H98" s="228"/>
      <c r="I98" s="379"/>
      <c r="J98" s="228"/>
      <c r="K98" s="379"/>
      <c r="L98" s="228"/>
      <c r="M98" s="379"/>
      <c r="N98" s="228"/>
      <c r="O98" s="379"/>
      <c r="P98" s="228"/>
      <c r="Q98" s="379"/>
      <c r="R98" s="228"/>
      <c r="S98" s="379"/>
      <c r="T98" s="228"/>
      <c r="U98" s="379"/>
      <c r="V98" s="228"/>
      <c r="W98" s="379"/>
      <c r="X98" s="228"/>
      <c r="Y98" s="379"/>
      <c r="Z98" s="228"/>
      <c r="AA98" s="379"/>
      <c r="AB98" s="228"/>
      <c r="AC98" s="379"/>
      <c r="AD98" s="228"/>
      <c r="AE98" s="379"/>
      <c r="AF98" s="167">
        <v>0</v>
      </c>
      <c r="AG98" s="379"/>
      <c r="AH98" s="167">
        <v>0</v>
      </c>
      <c r="AI98" s="379"/>
      <c r="AJ98" s="167">
        <v>0</v>
      </c>
      <c r="AK98" s="379"/>
      <c r="AL98" s="167">
        <v>0</v>
      </c>
      <c r="AM98" s="379"/>
      <c r="AN98" s="167">
        <v>0</v>
      </c>
      <c r="AO98" s="379"/>
      <c r="AP98" s="167">
        <v>0</v>
      </c>
      <c r="AQ98" s="379"/>
      <c r="AR98" s="167">
        <v>0</v>
      </c>
      <c r="AS98" s="379"/>
      <c r="AT98" s="167">
        <v>0</v>
      </c>
      <c r="AU98" s="379"/>
      <c r="AV98" s="165">
        <v>0</v>
      </c>
      <c r="AW98" s="379"/>
      <c r="AX98" s="165">
        <v>0</v>
      </c>
      <c r="AY98" s="379"/>
      <c r="AZ98" s="165">
        <v>0</v>
      </c>
      <c r="BA98" s="379"/>
      <c r="BB98" s="165">
        <v>0</v>
      </c>
      <c r="BC98" s="379"/>
      <c r="BD98" s="165">
        <v>0</v>
      </c>
      <c r="BE98" s="379"/>
      <c r="BF98" s="165">
        <v>0</v>
      </c>
      <c r="BG98" s="379"/>
      <c r="BH98" s="225"/>
      <c r="BI98" s="184"/>
      <c r="CJ98" s="150"/>
      <c r="CK98" s="150"/>
      <c r="CL98" s="150"/>
      <c r="CM98" s="151" t="s">
        <v>1148</v>
      </c>
      <c r="CN98" s="150" t="s">
        <v>1151</v>
      </c>
      <c r="CO98" s="150"/>
      <c r="CP98" s="150"/>
      <c r="CQ98" s="150"/>
      <c r="CR98" s="150"/>
      <c r="CS98" s="150"/>
      <c r="CT98" s="150"/>
    </row>
    <row r="99" spans="1:98" ht="12.75" customHeight="1">
      <c r="A99" s="317"/>
      <c r="B99" s="201">
        <v>2.2999999999999998</v>
      </c>
      <c r="C99" s="102"/>
      <c r="D99" s="480" t="s">
        <v>579</v>
      </c>
      <c r="E99" s="481"/>
      <c r="F99" s="224"/>
      <c r="G99" s="379"/>
      <c r="H99" s="228"/>
      <c r="I99" s="379"/>
      <c r="J99" s="228"/>
      <c r="K99" s="379"/>
      <c r="L99" s="228"/>
      <c r="M99" s="379"/>
      <c r="N99" s="228"/>
      <c r="O99" s="379"/>
      <c r="P99" s="228"/>
      <c r="Q99" s="379"/>
      <c r="R99" s="228"/>
      <c r="S99" s="379"/>
      <c r="T99" s="228"/>
      <c r="U99" s="379"/>
      <c r="V99" s="228"/>
      <c r="W99" s="379"/>
      <c r="X99" s="228"/>
      <c r="Y99" s="379"/>
      <c r="Z99" s="228"/>
      <c r="AA99" s="379"/>
      <c r="AB99" s="228"/>
      <c r="AC99" s="379"/>
      <c r="AD99" s="228"/>
      <c r="AE99" s="379"/>
      <c r="AF99" s="167">
        <v>8883.3911578999996</v>
      </c>
      <c r="AG99" s="379"/>
      <c r="AH99" s="167">
        <v>7446.9531644999997</v>
      </c>
      <c r="AI99" s="379"/>
      <c r="AJ99" s="167">
        <v>8095.3667263999996</v>
      </c>
      <c r="AK99" s="379"/>
      <c r="AL99" s="250">
        <v>13310.026131299999</v>
      </c>
      <c r="AM99" s="379" t="s">
        <v>440</v>
      </c>
      <c r="AN99" s="167">
        <v>13111.462450200001</v>
      </c>
      <c r="AO99" s="379"/>
      <c r="AP99" s="167">
        <v>12611.918289900001</v>
      </c>
      <c r="AQ99" s="379"/>
      <c r="AR99" s="167">
        <v>11426.6218176</v>
      </c>
      <c r="AS99" s="379"/>
      <c r="AT99" s="250">
        <v>17600.690269999999</v>
      </c>
      <c r="AU99" s="379" t="s">
        <v>460</v>
      </c>
      <c r="AV99" s="165">
        <v>10257.1464688</v>
      </c>
      <c r="AW99" s="379"/>
      <c r="AX99" s="165">
        <v>12651.357280800001</v>
      </c>
      <c r="AY99" s="379"/>
      <c r="AZ99" s="165">
        <v>15292.828441600001</v>
      </c>
      <c r="BA99" s="379"/>
      <c r="BB99" s="165">
        <v>15996.799427600001</v>
      </c>
      <c r="BC99" s="379"/>
      <c r="BD99" s="165">
        <v>14866.645573</v>
      </c>
      <c r="BE99" s="379"/>
      <c r="BF99" s="165">
        <v>14866.330237599999</v>
      </c>
      <c r="BG99" s="379"/>
      <c r="BH99" s="225"/>
      <c r="BI99" s="184"/>
      <c r="CJ99" s="150"/>
      <c r="CK99" s="150"/>
      <c r="CL99" s="150"/>
      <c r="CM99" s="151" t="s">
        <v>1148</v>
      </c>
      <c r="CN99" s="150" t="s">
        <v>1152</v>
      </c>
      <c r="CO99" s="150"/>
      <c r="CP99" s="150"/>
      <c r="CQ99" s="150"/>
      <c r="CR99" s="150"/>
      <c r="CS99" s="150"/>
      <c r="CT99" s="150"/>
    </row>
    <row r="100" spans="1:98" ht="12.75" customHeight="1">
      <c r="A100" s="317"/>
      <c r="B100" s="201">
        <v>2.4</v>
      </c>
      <c r="C100" s="102"/>
      <c r="D100" s="480" t="s">
        <v>580</v>
      </c>
      <c r="E100" s="481"/>
      <c r="F100" s="224"/>
      <c r="G100" s="379"/>
      <c r="H100" s="228"/>
      <c r="I100" s="379"/>
      <c r="J100" s="228"/>
      <c r="K100" s="379"/>
      <c r="L100" s="228"/>
      <c r="M100" s="379"/>
      <c r="N100" s="228"/>
      <c r="O100" s="379"/>
      <c r="P100" s="228"/>
      <c r="Q100" s="379"/>
      <c r="R100" s="228"/>
      <c r="S100" s="379"/>
      <c r="T100" s="228"/>
      <c r="U100" s="379"/>
      <c r="V100" s="228"/>
      <c r="W100" s="379"/>
      <c r="X100" s="228"/>
      <c r="Y100" s="379"/>
      <c r="Z100" s="228"/>
      <c r="AA100" s="379"/>
      <c r="AB100" s="228"/>
      <c r="AC100" s="379"/>
      <c r="AD100" s="228"/>
      <c r="AE100" s="379"/>
      <c r="AF100" s="167">
        <v>666.87075000000004</v>
      </c>
      <c r="AG100" s="379"/>
      <c r="AH100" s="167">
        <v>778.72417789999997</v>
      </c>
      <c r="AI100" s="379"/>
      <c r="AJ100" s="167">
        <v>904.8239102</v>
      </c>
      <c r="AK100" s="379"/>
      <c r="AL100" s="167">
        <v>1123.7114183000001</v>
      </c>
      <c r="AM100" s="379"/>
      <c r="AN100" s="167">
        <v>1360.5669880999999</v>
      </c>
      <c r="AO100" s="379"/>
      <c r="AP100" s="167">
        <v>1730.6135630000001</v>
      </c>
      <c r="AQ100" s="379"/>
      <c r="AR100" s="167">
        <v>1901.2839068000001</v>
      </c>
      <c r="AS100" s="379"/>
      <c r="AT100" s="167">
        <v>2165.3846319999998</v>
      </c>
      <c r="AU100" s="379"/>
      <c r="AV100" s="165">
        <v>1634.3586284999999</v>
      </c>
      <c r="AW100" s="379"/>
      <c r="AX100" s="165">
        <v>1786.9824956</v>
      </c>
      <c r="AY100" s="379"/>
      <c r="AZ100" s="165">
        <v>2004.6974561</v>
      </c>
      <c r="BA100" s="379"/>
      <c r="BB100" s="165">
        <v>2740.5563256999999</v>
      </c>
      <c r="BC100" s="379"/>
      <c r="BD100" s="165">
        <v>452.65083440000001</v>
      </c>
      <c r="BE100" s="379"/>
      <c r="BF100" s="165">
        <v>279.92007630000001</v>
      </c>
      <c r="BG100" s="379"/>
      <c r="BH100" s="225"/>
      <c r="BI100" s="184"/>
      <c r="CJ100" s="150"/>
      <c r="CK100" s="150"/>
      <c r="CL100" s="150"/>
      <c r="CM100" s="151" t="s">
        <v>1148</v>
      </c>
      <c r="CN100" s="150" t="s">
        <v>1153</v>
      </c>
      <c r="CO100" s="150"/>
      <c r="CP100" s="150"/>
      <c r="CQ100" s="150"/>
      <c r="CR100" s="150"/>
      <c r="CS100" s="150"/>
      <c r="CT100" s="150"/>
    </row>
    <row r="101" spans="1:98" ht="19.5" customHeight="1">
      <c r="A101" s="317"/>
      <c r="B101" s="200">
        <v>3</v>
      </c>
      <c r="C101" s="101"/>
      <c r="D101" s="482" t="s">
        <v>581</v>
      </c>
      <c r="E101" s="483"/>
      <c r="F101" s="235"/>
      <c r="G101" s="379"/>
      <c r="H101" s="236"/>
      <c r="I101" s="379"/>
      <c r="J101" s="236"/>
      <c r="K101" s="379"/>
      <c r="L101" s="236"/>
      <c r="M101" s="379"/>
      <c r="N101" s="236"/>
      <c r="O101" s="379"/>
      <c r="P101" s="236"/>
      <c r="Q101" s="379"/>
      <c r="R101" s="236"/>
      <c r="S101" s="379"/>
      <c r="T101" s="236"/>
      <c r="U101" s="379"/>
      <c r="V101" s="236"/>
      <c r="W101" s="379"/>
      <c r="X101" s="236"/>
      <c r="Y101" s="379"/>
      <c r="Z101" s="236"/>
      <c r="AA101" s="379"/>
      <c r="AB101" s="236"/>
      <c r="AC101" s="379"/>
      <c r="AD101" s="236"/>
      <c r="AE101" s="379"/>
      <c r="AF101" s="172">
        <v>0</v>
      </c>
      <c r="AG101" s="379"/>
      <c r="AH101" s="172">
        <v>0</v>
      </c>
      <c r="AI101" s="379"/>
      <c r="AJ101" s="172">
        <v>43.106094499999998</v>
      </c>
      <c r="AK101" s="379"/>
      <c r="AL101" s="172">
        <v>48.822676100000002</v>
      </c>
      <c r="AM101" s="379"/>
      <c r="AN101" s="172">
        <v>56.845156799999998</v>
      </c>
      <c r="AO101" s="379"/>
      <c r="AP101" s="172">
        <v>31.373335600000001</v>
      </c>
      <c r="AQ101" s="379"/>
      <c r="AR101" s="172">
        <v>36.682449699999999</v>
      </c>
      <c r="AS101" s="379"/>
      <c r="AT101" s="172">
        <v>33.832968899999997</v>
      </c>
      <c r="AU101" s="379"/>
      <c r="AV101" s="173">
        <v>32.940923599999998</v>
      </c>
      <c r="AW101" s="379"/>
      <c r="AX101" s="173">
        <v>31.4581856</v>
      </c>
      <c r="AY101" s="379"/>
      <c r="AZ101" s="173">
        <v>18.273792799999999</v>
      </c>
      <c r="BA101" s="379"/>
      <c r="BB101" s="173">
        <v>16.7504046</v>
      </c>
      <c r="BC101" s="379"/>
      <c r="BD101" s="173">
        <v>22.1861663</v>
      </c>
      <c r="BE101" s="379"/>
      <c r="BF101" s="173">
        <v>26.479687899999998</v>
      </c>
      <c r="BG101" s="379"/>
      <c r="BH101" s="237"/>
      <c r="BI101" s="184"/>
      <c r="CJ101" s="150"/>
      <c r="CK101" s="150"/>
      <c r="CL101" s="150"/>
      <c r="CM101" s="151" t="s">
        <v>1148</v>
      </c>
      <c r="CN101" s="150" t="s">
        <v>1154</v>
      </c>
      <c r="CO101" s="150"/>
      <c r="CP101" s="150"/>
      <c r="CQ101" s="150"/>
      <c r="CR101" s="150"/>
      <c r="CS101" s="150"/>
      <c r="CT101" s="150"/>
    </row>
    <row r="102" spans="1:98" ht="12.75" customHeight="1">
      <c r="A102" s="317"/>
      <c r="B102" s="201">
        <v>3.1</v>
      </c>
      <c r="C102" s="102"/>
      <c r="D102" s="480" t="s">
        <v>582</v>
      </c>
      <c r="E102" s="481"/>
      <c r="F102" s="224"/>
      <c r="G102" s="379"/>
      <c r="H102" s="228"/>
      <c r="I102" s="379"/>
      <c r="J102" s="228"/>
      <c r="K102" s="379"/>
      <c r="L102" s="228"/>
      <c r="M102" s="379"/>
      <c r="N102" s="228"/>
      <c r="O102" s="379"/>
      <c r="P102" s="228"/>
      <c r="Q102" s="379"/>
      <c r="R102" s="228"/>
      <c r="S102" s="379"/>
      <c r="T102" s="228"/>
      <c r="U102" s="379"/>
      <c r="V102" s="228"/>
      <c r="W102" s="379"/>
      <c r="X102" s="228"/>
      <c r="Y102" s="379"/>
      <c r="Z102" s="228"/>
      <c r="AA102" s="379"/>
      <c r="AB102" s="228"/>
      <c r="AC102" s="379"/>
      <c r="AD102" s="228"/>
      <c r="AE102" s="379"/>
      <c r="AF102" s="167">
        <v>0</v>
      </c>
      <c r="AG102" s="379"/>
      <c r="AH102" s="167">
        <v>0</v>
      </c>
      <c r="AI102" s="379"/>
      <c r="AJ102" s="167">
        <v>0</v>
      </c>
      <c r="AK102" s="379"/>
      <c r="AL102" s="167">
        <v>0</v>
      </c>
      <c r="AM102" s="379"/>
      <c r="AN102" s="167">
        <v>0</v>
      </c>
      <c r="AO102" s="379"/>
      <c r="AP102" s="167">
        <v>0</v>
      </c>
      <c r="AQ102" s="379"/>
      <c r="AR102" s="167">
        <v>0</v>
      </c>
      <c r="AS102" s="379"/>
      <c r="AT102" s="167">
        <v>0</v>
      </c>
      <c r="AU102" s="379"/>
      <c r="AV102" s="165">
        <v>0</v>
      </c>
      <c r="AW102" s="379"/>
      <c r="AX102" s="165">
        <v>0</v>
      </c>
      <c r="AY102" s="379"/>
      <c r="AZ102" s="165">
        <v>0</v>
      </c>
      <c r="BA102" s="379"/>
      <c r="BB102" s="165">
        <v>0</v>
      </c>
      <c r="BC102" s="379"/>
      <c r="BD102" s="165">
        <v>0</v>
      </c>
      <c r="BE102" s="379"/>
      <c r="BF102" s="165">
        <v>0</v>
      </c>
      <c r="BG102" s="379"/>
      <c r="BH102" s="225"/>
      <c r="BI102" s="184"/>
      <c r="CJ102" s="150"/>
      <c r="CK102" s="150"/>
      <c r="CL102" s="150"/>
      <c r="CM102" s="151" t="s">
        <v>1148</v>
      </c>
      <c r="CN102" s="150" t="s">
        <v>1155</v>
      </c>
      <c r="CO102" s="150"/>
      <c r="CP102" s="150"/>
      <c r="CQ102" s="150"/>
      <c r="CR102" s="150"/>
      <c r="CS102" s="150"/>
      <c r="CT102" s="150"/>
    </row>
    <row r="103" spans="1:98" ht="12.75" customHeight="1">
      <c r="A103" s="317"/>
      <c r="B103" s="201">
        <v>3.2</v>
      </c>
      <c r="C103" s="102"/>
      <c r="D103" s="480" t="s">
        <v>583</v>
      </c>
      <c r="E103" s="481"/>
      <c r="F103" s="224"/>
      <c r="G103" s="379"/>
      <c r="H103" s="228"/>
      <c r="I103" s="379"/>
      <c r="J103" s="228"/>
      <c r="K103" s="379"/>
      <c r="L103" s="228"/>
      <c r="M103" s="379"/>
      <c r="N103" s="228"/>
      <c r="O103" s="379"/>
      <c r="P103" s="228"/>
      <c r="Q103" s="379"/>
      <c r="R103" s="228"/>
      <c r="S103" s="379"/>
      <c r="T103" s="228"/>
      <c r="U103" s="379"/>
      <c r="V103" s="228"/>
      <c r="W103" s="379"/>
      <c r="X103" s="228"/>
      <c r="Y103" s="379"/>
      <c r="Z103" s="228"/>
      <c r="AA103" s="379"/>
      <c r="AB103" s="228"/>
      <c r="AC103" s="379"/>
      <c r="AD103" s="228"/>
      <c r="AE103" s="379"/>
      <c r="AF103" s="167">
        <v>0</v>
      </c>
      <c r="AG103" s="379"/>
      <c r="AH103" s="167">
        <v>0</v>
      </c>
      <c r="AI103" s="379"/>
      <c r="AJ103" s="167">
        <v>7.2428186999999999</v>
      </c>
      <c r="AK103" s="379"/>
      <c r="AL103" s="167">
        <v>14.8789941</v>
      </c>
      <c r="AM103" s="379"/>
      <c r="AN103" s="167">
        <v>21.3510578</v>
      </c>
      <c r="AO103" s="379"/>
      <c r="AP103" s="167">
        <v>1.3732728999999999</v>
      </c>
      <c r="AQ103" s="379"/>
      <c r="AR103" s="167">
        <v>5.4084802999999999</v>
      </c>
      <c r="AS103" s="379"/>
      <c r="AT103" s="167">
        <v>5.3403172999999997</v>
      </c>
      <c r="AU103" s="379"/>
      <c r="AV103" s="165">
        <v>8.7112250000000007</v>
      </c>
      <c r="AW103" s="379"/>
      <c r="AX103" s="165">
        <v>12.092776000000001</v>
      </c>
      <c r="AY103" s="379"/>
      <c r="AZ103" s="165">
        <v>0</v>
      </c>
      <c r="BA103" s="379"/>
      <c r="BB103" s="165">
        <v>0</v>
      </c>
      <c r="BC103" s="379"/>
      <c r="BD103" s="165">
        <v>0</v>
      </c>
      <c r="BE103" s="379"/>
      <c r="BF103" s="165">
        <v>0.1686724</v>
      </c>
      <c r="BG103" s="379"/>
      <c r="BH103" s="225"/>
      <c r="BI103" s="184"/>
      <c r="CJ103" s="150"/>
      <c r="CK103" s="150"/>
      <c r="CL103" s="150"/>
      <c r="CM103" s="151" t="s">
        <v>1148</v>
      </c>
      <c r="CN103" s="150" t="s">
        <v>1156</v>
      </c>
      <c r="CO103" s="150"/>
      <c r="CP103" s="150"/>
      <c r="CQ103" s="150"/>
      <c r="CR103" s="150"/>
      <c r="CS103" s="150"/>
      <c r="CT103" s="150"/>
    </row>
    <row r="104" spans="1:98" ht="12.75" customHeight="1">
      <c r="A104" s="317"/>
      <c r="B104" s="201">
        <v>3.3</v>
      </c>
      <c r="C104" s="102"/>
      <c r="D104" s="480" t="s">
        <v>584</v>
      </c>
      <c r="E104" s="481"/>
      <c r="F104" s="224"/>
      <c r="G104" s="379"/>
      <c r="H104" s="228"/>
      <c r="I104" s="379"/>
      <c r="J104" s="228"/>
      <c r="K104" s="379"/>
      <c r="L104" s="228"/>
      <c r="M104" s="379"/>
      <c r="N104" s="228"/>
      <c r="O104" s="379"/>
      <c r="P104" s="228"/>
      <c r="Q104" s="379"/>
      <c r="R104" s="228"/>
      <c r="S104" s="379"/>
      <c r="T104" s="228"/>
      <c r="U104" s="379"/>
      <c r="V104" s="228"/>
      <c r="W104" s="379"/>
      <c r="X104" s="228"/>
      <c r="Y104" s="379"/>
      <c r="Z104" s="228"/>
      <c r="AA104" s="379"/>
      <c r="AB104" s="228"/>
      <c r="AC104" s="379"/>
      <c r="AD104" s="228"/>
      <c r="AE104" s="379"/>
      <c r="AF104" s="167">
        <v>0</v>
      </c>
      <c r="AG104" s="379"/>
      <c r="AH104" s="167">
        <v>0</v>
      </c>
      <c r="AI104" s="379"/>
      <c r="AJ104" s="250">
        <v>35.863275899999998</v>
      </c>
      <c r="AK104" s="379" t="s">
        <v>474</v>
      </c>
      <c r="AL104" s="167">
        <v>33.943682000000003</v>
      </c>
      <c r="AM104" s="379"/>
      <c r="AN104" s="167">
        <v>35.4940991</v>
      </c>
      <c r="AO104" s="379"/>
      <c r="AP104" s="167">
        <v>30.000062700000001</v>
      </c>
      <c r="AQ104" s="379"/>
      <c r="AR104" s="167">
        <v>31.273969399999999</v>
      </c>
      <c r="AS104" s="379"/>
      <c r="AT104" s="167">
        <v>28.492651599999999</v>
      </c>
      <c r="AU104" s="379"/>
      <c r="AV104" s="165">
        <v>24.229698599999999</v>
      </c>
      <c r="AW104" s="379"/>
      <c r="AX104" s="165">
        <v>19.3654096</v>
      </c>
      <c r="AY104" s="379"/>
      <c r="AZ104" s="165">
        <v>18.273792799999999</v>
      </c>
      <c r="BA104" s="379"/>
      <c r="BB104" s="165">
        <v>16.7504046</v>
      </c>
      <c r="BC104" s="379"/>
      <c r="BD104" s="165">
        <v>22.1861663</v>
      </c>
      <c r="BE104" s="379"/>
      <c r="BF104" s="165">
        <v>26.3110155</v>
      </c>
      <c r="BG104" s="379"/>
      <c r="BH104" s="225"/>
      <c r="BI104" s="184"/>
      <c r="CJ104" s="150"/>
      <c r="CK104" s="150"/>
      <c r="CL104" s="150"/>
      <c r="CM104" s="151" t="s">
        <v>1148</v>
      </c>
      <c r="CN104" s="150" t="s">
        <v>1157</v>
      </c>
      <c r="CO104" s="150"/>
      <c r="CP104" s="150"/>
      <c r="CQ104" s="150"/>
      <c r="CR104" s="150"/>
      <c r="CS104" s="150"/>
      <c r="CT104" s="150"/>
    </row>
    <row r="105" spans="1:98" ht="29.25" customHeight="1">
      <c r="A105" s="317"/>
      <c r="B105" s="200">
        <v>4</v>
      </c>
      <c r="C105" s="101"/>
      <c r="D105" s="482" t="s">
        <v>585</v>
      </c>
      <c r="E105" s="483"/>
      <c r="F105" s="235"/>
      <c r="G105" s="379"/>
      <c r="H105" s="236"/>
      <c r="I105" s="379"/>
      <c r="J105" s="236"/>
      <c r="K105" s="379"/>
      <c r="L105" s="236"/>
      <c r="M105" s="379"/>
      <c r="N105" s="236"/>
      <c r="O105" s="379"/>
      <c r="P105" s="236"/>
      <c r="Q105" s="379"/>
      <c r="R105" s="236"/>
      <c r="S105" s="379"/>
      <c r="T105" s="236"/>
      <c r="U105" s="379"/>
      <c r="V105" s="236"/>
      <c r="W105" s="379"/>
      <c r="X105" s="236"/>
      <c r="Y105" s="379"/>
      <c r="Z105" s="236"/>
      <c r="AA105" s="379"/>
      <c r="AB105" s="236"/>
      <c r="AC105" s="379"/>
      <c r="AD105" s="236"/>
      <c r="AE105" s="379"/>
      <c r="AF105" s="172">
        <v>-591.97397191639902</v>
      </c>
      <c r="AG105" s="379"/>
      <c r="AH105" s="172">
        <v>-555.45606738459719</v>
      </c>
      <c r="AI105" s="379"/>
      <c r="AJ105" s="172">
        <v>-737.45293400802359</v>
      </c>
      <c r="AK105" s="379"/>
      <c r="AL105" s="172">
        <v>-794.81108757240634</v>
      </c>
      <c r="AM105" s="379"/>
      <c r="AN105" s="172">
        <v>-862.06894656522309</v>
      </c>
      <c r="AO105" s="379"/>
      <c r="AP105" s="172">
        <v>-894.03448295766316</v>
      </c>
      <c r="AQ105" s="379"/>
      <c r="AR105" s="172">
        <v>-897.52917658975844</v>
      </c>
      <c r="AS105" s="379"/>
      <c r="AT105" s="172">
        <v>-903.55888203525478</v>
      </c>
      <c r="AU105" s="379"/>
      <c r="AV105" s="173">
        <v>-860.84378699298111</v>
      </c>
      <c r="AW105" s="379"/>
      <c r="AX105" s="173">
        <v>-923.05508570798293</v>
      </c>
      <c r="AY105" s="379"/>
      <c r="AZ105" s="173">
        <v>-907.2216281740524</v>
      </c>
      <c r="BA105" s="379"/>
      <c r="BB105" s="173">
        <v>-872.42836534910441</v>
      </c>
      <c r="BC105" s="379"/>
      <c r="BD105" s="173">
        <v>-262.27966894226489</v>
      </c>
      <c r="BE105" s="379"/>
      <c r="BF105" s="173">
        <v>-238.07557248363941</v>
      </c>
      <c r="BG105" s="379"/>
      <c r="BH105" s="237"/>
      <c r="BI105" s="184"/>
      <c r="CJ105" s="150"/>
      <c r="CK105" s="150"/>
      <c r="CL105" s="150"/>
      <c r="CM105" s="151" t="s">
        <v>1148</v>
      </c>
      <c r="CN105" s="150" t="s">
        <v>1158</v>
      </c>
      <c r="CO105" s="150"/>
      <c r="CP105" s="150"/>
      <c r="CQ105" s="150"/>
      <c r="CR105" s="150"/>
      <c r="CS105" s="150"/>
      <c r="CT105" s="150"/>
    </row>
    <row r="106" spans="1:98" ht="33" customHeight="1">
      <c r="A106" s="317"/>
      <c r="B106" s="200">
        <v>5</v>
      </c>
      <c r="C106" s="101"/>
      <c r="D106" s="484" t="s">
        <v>1159</v>
      </c>
      <c r="E106" s="485"/>
      <c r="F106" s="222"/>
      <c r="G106" s="379"/>
      <c r="H106" s="231"/>
      <c r="I106" s="379"/>
      <c r="J106" s="231"/>
      <c r="K106" s="379"/>
      <c r="L106" s="231"/>
      <c r="M106" s="379"/>
      <c r="N106" s="231"/>
      <c r="O106" s="379"/>
      <c r="P106" s="231"/>
      <c r="Q106" s="379"/>
      <c r="R106" s="231"/>
      <c r="S106" s="379"/>
      <c r="T106" s="231"/>
      <c r="U106" s="379"/>
      <c r="V106" s="231"/>
      <c r="W106" s="379"/>
      <c r="X106" s="231"/>
      <c r="Y106" s="379"/>
      <c r="Z106" s="231"/>
      <c r="AA106" s="379"/>
      <c r="AB106" s="231"/>
      <c r="AC106" s="379"/>
      <c r="AD106" s="231"/>
      <c r="AE106" s="379"/>
      <c r="AF106" s="169">
        <v>44708.333738883601</v>
      </c>
      <c r="AG106" s="379"/>
      <c r="AH106" s="169">
        <v>43115.884052915404</v>
      </c>
      <c r="AI106" s="379"/>
      <c r="AJ106" s="169">
        <v>45661.910021991978</v>
      </c>
      <c r="AK106" s="379"/>
      <c r="AL106" s="169">
        <v>44790.122123727597</v>
      </c>
      <c r="AM106" s="379"/>
      <c r="AN106" s="169">
        <v>44270.327489634779</v>
      </c>
      <c r="AO106" s="379"/>
      <c r="AP106" s="169">
        <v>44550.581041342339</v>
      </c>
      <c r="AQ106" s="379"/>
      <c r="AR106" s="169">
        <v>44980.933945010242</v>
      </c>
      <c r="AS106" s="379"/>
      <c r="AT106" s="169">
        <v>45522.167301464739</v>
      </c>
      <c r="AU106" s="379"/>
      <c r="AV106" s="164">
        <v>44680.525407507019</v>
      </c>
      <c r="AW106" s="379"/>
      <c r="AX106" s="164">
        <v>44129.24773659202</v>
      </c>
      <c r="AY106" s="379"/>
      <c r="AZ106" s="164">
        <v>44277.654154225944</v>
      </c>
      <c r="BA106" s="379"/>
      <c r="BB106" s="164">
        <v>42705.7445359509</v>
      </c>
      <c r="BC106" s="379"/>
      <c r="BD106" s="164">
        <v>41173.404016457738</v>
      </c>
      <c r="BE106" s="379"/>
      <c r="BF106" s="164">
        <v>40919.776604016362</v>
      </c>
      <c r="BG106" s="379"/>
      <c r="BH106" s="223"/>
      <c r="BI106" s="184"/>
      <c r="CJ106" s="150"/>
      <c r="CK106" s="150"/>
      <c r="CL106" s="150"/>
      <c r="CM106" s="151" t="s">
        <v>1148</v>
      </c>
      <c r="CN106" s="150" t="s">
        <v>1160</v>
      </c>
      <c r="CO106" s="150"/>
      <c r="CP106" s="150"/>
      <c r="CQ106" s="150"/>
      <c r="CR106" s="150"/>
      <c r="CS106" s="150"/>
      <c r="CT106" s="150"/>
    </row>
    <row r="107" spans="1:98" ht="21" customHeight="1" thickBot="1">
      <c r="A107" s="317"/>
      <c r="B107" s="64"/>
      <c r="C107" s="65"/>
      <c r="D107" s="486" t="s">
        <v>587</v>
      </c>
      <c r="E107" s="487"/>
      <c r="F107" s="241"/>
      <c r="G107" s="194"/>
      <c r="H107" s="242"/>
      <c r="I107" s="194"/>
      <c r="J107" s="242"/>
      <c r="K107" s="194"/>
      <c r="L107" s="242"/>
      <c r="M107" s="194"/>
      <c r="N107" s="242"/>
      <c r="O107" s="194"/>
      <c r="P107" s="242"/>
      <c r="Q107" s="194"/>
      <c r="R107" s="242"/>
      <c r="S107" s="194"/>
      <c r="T107" s="242"/>
      <c r="U107" s="194"/>
      <c r="V107" s="242"/>
      <c r="W107" s="194"/>
      <c r="X107" s="242"/>
      <c r="Y107" s="194"/>
      <c r="Z107" s="242"/>
      <c r="AA107" s="194"/>
      <c r="AB107" s="242"/>
      <c r="AC107" s="194"/>
      <c r="AD107" s="242"/>
      <c r="AE107" s="194"/>
      <c r="AF107" s="104">
        <v>2023</v>
      </c>
      <c r="AG107" s="194"/>
      <c r="AH107" s="104">
        <v>2023</v>
      </c>
      <c r="AI107" s="194"/>
      <c r="AJ107" s="104">
        <v>2023</v>
      </c>
      <c r="AK107" s="194"/>
      <c r="AL107" s="104">
        <v>2023</v>
      </c>
      <c r="AM107" s="194"/>
      <c r="AN107" s="104">
        <v>2023</v>
      </c>
      <c r="AO107" s="194"/>
      <c r="AP107" s="104">
        <v>2023</v>
      </c>
      <c r="AQ107" s="194"/>
      <c r="AR107" s="104">
        <v>2023</v>
      </c>
      <c r="AS107" s="194"/>
      <c r="AT107" s="104">
        <v>2023</v>
      </c>
      <c r="AU107" s="194"/>
      <c r="AV107" s="104">
        <v>2023</v>
      </c>
      <c r="AW107" s="194"/>
      <c r="AX107" s="105">
        <v>2023</v>
      </c>
      <c r="AY107" s="194"/>
      <c r="AZ107" s="105">
        <v>2023</v>
      </c>
      <c r="BA107" s="194"/>
      <c r="BB107" s="105">
        <v>2023</v>
      </c>
      <c r="BC107" s="194"/>
      <c r="BD107" s="105">
        <v>2023</v>
      </c>
      <c r="BE107" s="194"/>
      <c r="BF107" s="105">
        <v>2023</v>
      </c>
      <c r="BG107" s="194"/>
      <c r="BH107" s="243"/>
      <c r="BI107" s="195"/>
      <c r="CJ107" s="150"/>
      <c r="CK107" s="150"/>
      <c r="CL107" s="150"/>
      <c r="CM107" s="154"/>
      <c r="CN107" s="150"/>
      <c r="CO107" s="150"/>
      <c r="CP107" s="150"/>
      <c r="CQ107" s="150"/>
      <c r="CR107" s="150"/>
      <c r="CS107" s="150"/>
      <c r="CT107" s="150"/>
    </row>
    <row r="108" spans="1:98">
      <c r="CJ108" s="155"/>
      <c r="CK108" s="155"/>
      <c r="CL108" s="155"/>
      <c r="CM108" s="156"/>
      <c r="CN108" s="155"/>
      <c r="CO108" s="155"/>
      <c r="CP108" s="155"/>
      <c r="CQ108" s="155"/>
      <c r="CR108" s="155"/>
      <c r="CS108" s="155"/>
      <c r="CT108" s="155"/>
    </row>
    <row r="109" spans="1:98">
      <c r="B109" s="202" t="s">
        <v>1161</v>
      </c>
      <c r="CJ109" s="155"/>
      <c r="CK109" s="155"/>
      <c r="CL109" s="155"/>
      <c r="CM109" s="156"/>
      <c r="CN109" s="155"/>
      <c r="CO109" s="155"/>
      <c r="CP109" s="155"/>
      <c r="CQ109" s="155"/>
      <c r="CR109" s="155"/>
      <c r="CS109" s="155"/>
      <c r="CT109" s="155"/>
    </row>
    <row r="110" spans="1:98">
      <c r="B110" s="203">
        <v>1</v>
      </c>
      <c r="C110" t="s">
        <v>1162</v>
      </c>
      <c r="CJ110" s="155"/>
      <c r="CK110" s="155"/>
      <c r="CL110" s="155"/>
      <c r="CM110" s="156"/>
      <c r="CN110" s="155"/>
      <c r="CO110" s="155"/>
      <c r="CP110" s="155"/>
      <c r="CQ110" s="155"/>
      <c r="CR110" s="155"/>
      <c r="CS110" s="155"/>
      <c r="CT110" s="155"/>
    </row>
    <row r="111" spans="1:98">
      <c r="B111" s="203"/>
      <c r="CJ111" s="155"/>
      <c r="CK111" s="155"/>
      <c r="CL111" s="155"/>
      <c r="CM111" s="156"/>
      <c r="CN111" s="155"/>
      <c r="CO111" s="155"/>
      <c r="CP111" s="155"/>
      <c r="CQ111" s="155"/>
      <c r="CR111" s="155"/>
      <c r="CS111" s="155"/>
      <c r="CT111" s="155"/>
    </row>
    <row r="112" spans="1:98">
      <c r="B112">
        <v>2.1</v>
      </c>
      <c r="C112" s="36" t="s">
        <v>1163</v>
      </c>
      <c r="CJ112" s="155"/>
      <c r="CK112" s="155"/>
      <c r="CL112" s="155"/>
      <c r="CM112" s="156"/>
      <c r="CN112" s="155"/>
      <c r="CO112" s="155"/>
      <c r="CP112" s="155"/>
      <c r="CQ112" s="155"/>
      <c r="CR112" s="155"/>
      <c r="CS112" s="155"/>
      <c r="CT112" s="155"/>
    </row>
    <row r="113" spans="2:98">
      <c r="B113">
        <v>2.2000000000000002</v>
      </c>
      <c r="C113" s="36" t="s">
        <v>1164</v>
      </c>
      <c r="CJ113" s="155"/>
      <c r="CK113" s="155"/>
      <c r="CL113" s="155"/>
      <c r="CM113" s="156"/>
      <c r="CN113" s="155"/>
      <c r="CO113" s="155"/>
      <c r="CP113" s="155"/>
      <c r="CQ113" s="155"/>
      <c r="CR113" s="155"/>
      <c r="CS113" s="155"/>
      <c r="CT113" s="155"/>
    </row>
    <row r="114" spans="2:98">
      <c r="B114">
        <v>2.2999999999999998</v>
      </c>
      <c r="C114" s="36" t="s">
        <v>1165</v>
      </c>
      <c r="CJ114" s="155"/>
      <c r="CK114" s="155"/>
      <c r="CL114" s="155"/>
      <c r="CM114" s="156"/>
      <c r="CN114" s="155"/>
      <c r="CO114" s="155"/>
      <c r="CP114" s="155"/>
      <c r="CQ114" s="155"/>
      <c r="CR114" s="155"/>
      <c r="CS114" s="155"/>
      <c r="CT114" s="155"/>
    </row>
    <row r="115" spans="2:98">
      <c r="B115">
        <v>2.4</v>
      </c>
      <c r="C115" s="36" t="s">
        <v>1166</v>
      </c>
      <c r="CJ115" s="155"/>
      <c r="CK115" s="155"/>
      <c r="CL115" s="155"/>
      <c r="CM115" s="156"/>
      <c r="CN115" s="155"/>
      <c r="CO115" s="155"/>
      <c r="CP115" s="155"/>
      <c r="CQ115" s="155"/>
      <c r="CR115" s="155"/>
      <c r="CS115" s="155"/>
      <c r="CT115" s="155"/>
    </row>
    <row r="116" spans="2:98">
      <c r="CJ116" s="155"/>
      <c r="CK116" s="155"/>
      <c r="CL116" s="155"/>
      <c r="CM116" s="156"/>
      <c r="CN116" s="155"/>
      <c r="CO116" s="155"/>
      <c r="CP116" s="155"/>
      <c r="CQ116" s="155"/>
      <c r="CR116" s="155"/>
      <c r="CS116" s="155"/>
      <c r="CT116" s="155"/>
    </row>
    <row r="117" spans="2:98">
      <c r="B117">
        <v>3.1</v>
      </c>
      <c r="C117" s="36" t="s">
        <v>1167</v>
      </c>
      <c r="CJ117" s="155"/>
      <c r="CK117" s="155"/>
      <c r="CL117" s="155"/>
      <c r="CM117" s="156"/>
      <c r="CN117" s="155"/>
      <c r="CO117" s="155"/>
      <c r="CP117" s="155"/>
      <c r="CQ117" s="155"/>
      <c r="CR117" s="155"/>
      <c r="CS117" s="155"/>
      <c r="CT117" s="155"/>
    </row>
    <row r="118" spans="2:98">
      <c r="B118">
        <v>3.2</v>
      </c>
      <c r="C118" s="36" t="s">
        <v>1168</v>
      </c>
      <c r="CJ118" s="155"/>
      <c r="CK118" s="155"/>
      <c r="CL118" s="155"/>
      <c r="CM118" s="156"/>
      <c r="CN118" s="155"/>
      <c r="CO118" s="155"/>
      <c r="CP118" s="155"/>
      <c r="CQ118" s="155"/>
      <c r="CR118" s="155"/>
      <c r="CS118" s="155"/>
      <c r="CT118" s="155"/>
    </row>
    <row r="119" spans="2:98">
      <c r="B119">
        <v>3.3</v>
      </c>
      <c r="C119" s="36" t="s">
        <v>1169</v>
      </c>
      <c r="CJ119" s="155"/>
      <c r="CK119" s="155"/>
      <c r="CL119" s="155"/>
      <c r="CM119" s="156"/>
      <c r="CN119" s="155"/>
      <c r="CO119" s="155"/>
      <c r="CP119" s="155"/>
      <c r="CQ119" s="155"/>
      <c r="CR119" s="155"/>
      <c r="CS119" s="155"/>
      <c r="CT119" s="155"/>
    </row>
    <row r="120" spans="2:98">
      <c r="CJ120" s="155"/>
      <c r="CK120" s="155"/>
      <c r="CL120" s="155"/>
      <c r="CM120" s="156"/>
      <c r="CN120" s="155"/>
      <c r="CO120" s="155"/>
      <c r="CP120" s="155"/>
      <c r="CQ120" s="155"/>
      <c r="CR120" s="155"/>
      <c r="CS120" s="155"/>
      <c r="CT120" s="155"/>
    </row>
    <row r="121" spans="2:98">
      <c r="B121" s="203">
        <v>5</v>
      </c>
      <c r="C121" s="36" t="s">
        <v>1170</v>
      </c>
      <c r="CJ121" s="155"/>
      <c r="CK121" s="155"/>
      <c r="CL121" s="155"/>
      <c r="CM121" s="156"/>
      <c r="CN121" s="155"/>
      <c r="CO121" s="155"/>
      <c r="CP121" s="155"/>
      <c r="CQ121" s="155"/>
      <c r="CR121" s="155"/>
      <c r="CS121" s="155"/>
      <c r="CT121" s="155"/>
    </row>
    <row r="122" spans="2:98">
      <c r="CJ122" s="155"/>
      <c r="CK122" s="155"/>
      <c r="CL122" s="155"/>
      <c r="CM122" s="156"/>
      <c r="CN122" s="155"/>
      <c r="CO122" s="155"/>
      <c r="CP122" s="155"/>
      <c r="CQ122" s="155"/>
      <c r="CR122" s="155"/>
      <c r="CS122" s="155"/>
      <c r="CT122" s="155"/>
    </row>
    <row r="123" spans="2:98">
      <c r="CJ123" s="155"/>
      <c r="CK123" s="155"/>
      <c r="CL123" s="155"/>
      <c r="CM123" s="156"/>
      <c r="CN123" s="155"/>
      <c r="CO123" s="155"/>
      <c r="CP123" s="155"/>
      <c r="CQ123" s="155"/>
      <c r="CR123" s="155"/>
      <c r="CS123" s="155"/>
      <c r="CT123" s="155"/>
    </row>
    <row r="124" spans="2:98">
      <c r="CJ124" s="155"/>
      <c r="CK124" s="155"/>
      <c r="CL124" s="155"/>
      <c r="CM124" s="156"/>
      <c r="CN124" s="155"/>
      <c r="CO124" s="155"/>
      <c r="CP124" s="155"/>
      <c r="CQ124" s="155"/>
      <c r="CR124" s="155"/>
      <c r="CS124" s="155"/>
      <c r="CT124" s="155"/>
    </row>
    <row r="125" spans="2:98">
      <c r="CJ125" s="155"/>
      <c r="CK125" s="155"/>
      <c r="CL125" s="155"/>
      <c r="CM125" s="156"/>
      <c r="CN125" s="155"/>
      <c r="CO125" s="155"/>
      <c r="CP125" s="155"/>
      <c r="CQ125" s="155"/>
      <c r="CR125" s="155"/>
      <c r="CS125" s="155"/>
      <c r="CT125" s="155"/>
    </row>
    <row r="126" spans="2:98">
      <c r="CJ126" s="155"/>
      <c r="CK126" s="155"/>
      <c r="CL126" s="155"/>
      <c r="CM126" s="156"/>
      <c r="CN126" s="155"/>
      <c r="CO126" s="155"/>
      <c r="CP126" s="155"/>
      <c r="CQ126" s="155"/>
      <c r="CR126" s="155"/>
      <c r="CS126" s="155"/>
      <c r="CT126" s="155"/>
    </row>
    <row r="127" spans="2:98">
      <c r="CJ127" s="155"/>
      <c r="CK127" s="155"/>
      <c r="CL127" s="155"/>
      <c r="CM127" s="156"/>
      <c r="CN127" s="155"/>
      <c r="CO127" s="155"/>
      <c r="CP127" s="155"/>
      <c r="CQ127" s="155"/>
      <c r="CR127" s="155"/>
      <c r="CS127" s="155"/>
      <c r="CT127" s="155"/>
    </row>
    <row r="128" spans="2:98">
      <c r="CJ128" s="155"/>
      <c r="CK128" s="155"/>
      <c r="CL128" s="155"/>
      <c r="CM128" s="156"/>
      <c r="CN128" s="155"/>
      <c r="CO128" s="155"/>
      <c r="CP128" s="155"/>
      <c r="CQ128" s="155"/>
      <c r="CR128" s="155"/>
      <c r="CS128" s="155"/>
      <c r="CT128" s="155"/>
    </row>
    <row r="129" spans="88:98">
      <c r="CJ129" s="155"/>
      <c r="CK129" s="155"/>
      <c r="CL129" s="155"/>
      <c r="CM129" s="156"/>
      <c r="CN129" s="155"/>
      <c r="CO129" s="155"/>
      <c r="CP129" s="155"/>
      <c r="CQ129" s="155"/>
      <c r="CR129" s="155"/>
      <c r="CS129" s="155"/>
      <c r="CT129" s="155"/>
    </row>
    <row r="130" spans="88:98">
      <c r="CJ130" s="155"/>
      <c r="CK130" s="155"/>
      <c r="CL130" s="155"/>
      <c r="CM130" s="156"/>
      <c r="CN130" s="155"/>
      <c r="CO130" s="155"/>
      <c r="CP130" s="155"/>
      <c r="CQ130" s="155"/>
      <c r="CR130" s="155"/>
      <c r="CS130" s="155"/>
      <c r="CT130" s="155"/>
    </row>
    <row r="131" spans="88:98">
      <c r="CJ131" s="155"/>
      <c r="CK131" s="155"/>
      <c r="CL131" s="155"/>
      <c r="CM131" s="156"/>
      <c r="CN131" s="155"/>
      <c r="CO131" s="155"/>
      <c r="CP131" s="155"/>
      <c r="CQ131" s="155"/>
      <c r="CR131" s="155"/>
      <c r="CS131" s="155"/>
      <c r="CT131" s="155"/>
    </row>
    <row r="132" spans="88:98">
      <c r="CJ132" s="155"/>
      <c r="CK132" s="155"/>
      <c r="CL132" s="155"/>
      <c r="CM132" s="156"/>
      <c r="CN132" s="155"/>
      <c r="CO132" s="155"/>
      <c r="CP132" s="155"/>
      <c r="CQ132" s="155"/>
      <c r="CR132" s="155"/>
      <c r="CS132" s="155"/>
      <c r="CT132" s="155"/>
    </row>
    <row r="133" spans="88:98">
      <c r="CJ133" s="155"/>
      <c r="CK133" s="155"/>
      <c r="CL133" s="155"/>
      <c r="CM133" s="156"/>
      <c r="CN133" s="155"/>
      <c r="CO133" s="155"/>
      <c r="CP133" s="155"/>
      <c r="CQ133" s="155"/>
      <c r="CR133" s="155"/>
      <c r="CS133" s="155"/>
      <c r="CT133" s="155"/>
    </row>
    <row r="134" spans="88:98">
      <c r="CJ134" s="155"/>
      <c r="CK134" s="155"/>
      <c r="CL134" s="155"/>
      <c r="CM134" s="156"/>
      <c r="CN134" s="155"/>
      <c r="CO134" s="155"/>
      <c r="CP134" s="155"/>
      <c r="CQ134" s="155"/>
      <c r="CR134" s="155"/>
      <c r="CS134" s="155"/>
      <c r="CT134" s="155"/>
    </row>
    <row r="135" spans="88:98">
      <c r="CJ135" s="155"/>
      <c r="CK135" s="155"/>
      <c r="CL135" s="155"/>
      <c r="CM135" s="156"/>
      <c r="CN135" s="155"/>
      <c r="CO135" s="155"/>
      <c r="CP135" s="155"/>
      <c r="CQ135" s="155"/>
      <c r="CR135" s="155"/>
      <c r="CS135" s="155"/>
      <c r="CT135" s="155"/>
    </row>
    <row r="136" spans="88:98">
      <c r="CJ136" s="155"/>
      <c r="CK136" s="155"/>
      <c r="CL136" s="155"/>
      <c r="CM136" s="156"/>
      <c r="CN136" s="155"/>
      <c r="CO136" s="155"/>
      <c r="CP136" s="155"/>
      <c r="CQ136" s="155"/>
      <c r="CR136" s="155"/>
      <c r="CS136" s="155"/>
      <c r="CT136" s="155"/>
    </row>
    <row r="137" spans="88:98">
      <c r="CJ137" s="155"/>
      <c r="CK137" s="155"/>
      <c r="CL137" s="155"/>
      <c r="CM137" s="156"/>
      <c r="CN137" s="155"/>
      <c r="CO137" s="155"/>
      <c r="CP137" s="155"/>
      <c r="CQ137" s="155"/>
      <c r="CR137" s="155"/>
      <c r="CS137" s="155"/>
      <c r="CT137" s="155"/>
    </row>
    <row r="138" spans="88:98">
      <c r="CJ138" s="155"/>
      <c r="CK138" s="155"/>
      <c r="CL138" s="155"/>
      <c r="CM138" s="156"/>
      <c r="CN138" s="155"/>
      <c r="CO138" s="155"/>
      <c r="CP138" s="155"/>
      <c r="CQ138" s="155"/>
      <c r="CR138" s="155"/>
      <c r="CS138" s="155"/>
      <c r="CT138" s="155"/>
    </row>
    <row r="139" spans="88:98">
      <c r="CJ139" s="155"/>
      <c r="CK139" s="155"/>
      <c r="CL139" s="155"/>
      <c r="CM139" s="156"/>
      <c r="CN139" s="155"/>
      <c r="CO139" s="155"/>
      <c r="CP139" s="155"/>
      <c r="CQ139" s="155"/>
      <c r="CR139" s="155"/>
      <c r="CS139" s="155"/>
      <c r="CT139" s="155"/>
    </row>
    <row r="140" spans="88:98">
      <c r="CJ140" s="155"/>
      <c r="CK140" s="155"/>
      <c r="CL140" s="155"/>
      <c r="CM140" s="156"/>
      <c r="CN140" s="155"/>
      <c r="CO140" s="155"/>
      <c r="CP140" s="155"/>
      <c r="CQ140" s="155"/>
      <c r="CR140" s="155"/>
      <c r="CS140" s="155"/>
      <c r="CT140" s="155"/>
    </row>
    <row r="141" spans="88:98">
      <c r="CJ141" s="155"/>
      <c r="CK141" s="155"/>
      <c r="CL141" s="155"/>
      <c r="CM141" s="156"/>
      <c r="CN141" s="155"/>
      <c r="CO141" s="155"/>
      <c r="CP141" s="155"/>
      <c r="CQ141" s="155"/>
      <c r="CR141" s="155"/>
      <c r="CS141" s="155"/>
      <c r="CT141" s="155"/>
    </row>
    <row r="142" spans="88:98">
      <c r="CJ142" s="156"/>
      <c r="CK142" s="156"/>
      <c r="CL142" s="156"/>
      <c r="CM142" s="156"/>
      <c r="CN142" s="156"/>
      <c r="CO142" s="156"/>
      <c r="CP142" s="156"/>
      <c r="CQ142" s="156"/>
      <c r="CR142" s="156"/>
      <c r="CS142" s="156"/>
      <c r="CT142" s="156"/>
    </row>
    <row r="143" spans="88:98">
      <c r="CJ143" s="156"/>
      <c r="CK143" s="156"/>
      <c r="CL143" s="156"/>
      <c r="CM143" s="156"/>
      <c r="CN143" s="156"/>
      <c r="CO143" s="156"/>
      <c r="CP143" s="156"/>
      <c r="CQ143" s="156"/>
      <c r="CR143" s="156"/>
      <c r="CS143" s="156"/>
      <c r="CT143" s="156"/>
    </row>
    <row r="144" spans="88:98">
      <c r="CJ144" s="156"/>
      <c r="CK144" s="156"/>
      <c r="CL144" s="156"/>
      <c r="CM144" s="156"/>
      <c r="CN144" s="156"/>
      <c r="CO144" s="156"/>
      <c r="CP144" s="156"/>
      <c r="CQ144" s="156"/>
      <c r="CR144" s="156"/>
      <c r="CS144" s="156"/>
      <c r="CT144" s="156"/>
    </row>
  </sheetData>
  <sheetProtection sheet="1" objects="1" scenarios="1"/>
  <dataConsolidate/>
  <mergeCells count="137">
    <mergeCell ref="CS1:CS3"/>
    <mergeCell ref="CT1:CT3"/>
    <mergeCell ref="CM1:CM3"/>
    <mergeCell ref="CN1:CN3"/>
    <mergeCell ref="CO1:CO3"/>
    <mergeCell ref="CP1:CP3"/>
    <mergeCell ref="CQ1:CQ3"/>
    <mergeCell ref="CR1:CR3"/>
    <mergeCell ref="D104:E104"/>
    <mergeCell ref="D81:E81"/>
    <mergeCell ref="D82:E82"/>
    <mergeCell ref="D83:E83"/>
    <mergeCell ref="D84:E84"/>
    <mergeCell ref="D85:E85"/>
    <mergeCell ref="D74:E74"/>
    <mergeCell ref="D75:E75"/>
    <mergeCell ref="D76:E76"/>
    <mergeCell ref="D77:E77"/>
    <mergeCell ref="D78:E78"/>
    <mergeCell ref="D79:E79"/>
    <mergeCell ref="D68:E68"/>
    <mergeCell ref="D69:E69"/>
    <mergeCell ref="D70:E70"/>
    <mergeCell ref="D71:E71"/>
    <mergeCell ref="D105:E105"/>
    <mergeCell ref="D106:E106"/>
    <mergeCell ref="D107:E107"/>
    <mergeCell ref="CJ1:CJ3"/>
    <mergeCell ref="D64:E64"/>
    <mergeCell ref="D65:E65"/>
    <mergeCell ref="D66:E66"/>
    <mergeCell ref="D67:E67"/>
    <mergeCell ref="D56:E56"/>
    <mergeCell ref="D57:E57"/>
    <mergeCell ref="D58:E58"/>
    <mergeCell ref="D59:E59"/>
    <mergeCell ref="D60:E60"/>
    <mergeCell ref="D61:E61"/>
    <mergeCell ref="D50:E50"/>
    <mergeCell ref="D51:E51"/>
    <mergeCell ref="D52:E52"/>
    <mergeCell ref="D53:E53"/>
    <mergeCell ref="D54:E54"/>
    <mergeCell ref="D55:E55"/>
    <mergeCell ref="D44:E44"/>
    <mergeCell ref="D45:E45"/>
    <mergeCell ref="D46:E46"/>
    <mergeCell ref="D47:E47"/>
    <mergeCell ref="CL1:CL3"/>
    <mergeCell ref="D98:E98"/>
    <mergeCell ref="D99:E99"/>
    <mergeCell ref="D100:E100"/>
    <mergeCell ref="D101:E101"/>
    <mergeCell ref="D102:E102"/>
    <mergeCell ref="D103:E103"/>
    <mergeCell ref="D92:E92"/>
    <mergeCell ref="D93:E93"/>
    <mergeCell ref="D94:E94"/>
    <mergeCell ref="B95:E95"/>
    <mergeCell ref="D96:E96"/>
    <mergeCell ref="D97:E97"/>
    <mergeCell ref="D86:E86"/>
    <mergeCell ref="D87:E87"/>
    <mergeCell ref="D88:E88"/>
    <mergeCell ref="D89:E89"/>
    <mergeCell ref="D90:E90"/>
    <mergeCell ref="B91:E91"/>
    <mergeCell ref="D80:E80"/>
    <mergeCell ref="D72:E72"/>
    <mergeCell ref="D73:E73"/>
    <mergeCell ref="D62:E62"/>
    <mergeCell ref="D63:E63"/>
    <mergeCell ref="D48:E48"/>
    <mergeCell ref="D49:E49"/>
    <mergeCell ref="D38:E38"/>
    <mergeCell ref="D39:E39"/>
    <mergeCell ref="D40:E40"/>
    <mergeCell ref="D41:E41"/>
    <mergeCell ref="D42:E42"/>
    <mergeCell ref="D43:E43"/>
    <mergeCell ref="D32:E32"/>
    <mergeCell ref="D33:E33"/>
    <mergeCell ref="D34:E34"/>
    <mergeCell ref="D35:E35"/>
    <mergeCell ref="D36:E36"/>
    <mergeCell ref="D37:E37"/>
    <mergeCell ref="D26:E26"/>
    <mergeCell ref="D27:E27"/>
    <mergeCell ref="D28:E28"/>
    <mergeCell ref="D29:E29"/>
    <mergeCell ref="D30:E30"/>
    <mergeCell ref="D31:E31"/>
    <mergeCell ref="D20:E20"/>
    <mergeCell ref="D21:E21"/>
    <mergeCell ref="D22:E22"/>
    <mergeCell ref="D23:E23"/>
    <mergeCell ref="D24:E24"/>
    <mergeCell ref="D25:E25"/>
    <mergeCell ref="F1:G3"/>
    <mergeCell ref="H1:I3"/>
    <mergeCell ref="J1:K3"/>
    <mergeCell ref="D14:E14"/>
    <mergeCell ref="D15:E15"/>
    <mergeCell ref="D16:E16"/>
    <mergeCell ref="D17:E17"/>
    <mergeCell ref="D18:E18"/>
    <mergeCell ref="D19:E19"/>
    <mergeCell ref="D8:E8"/>
    <mergeCell ref="D9:E9"/>
    <mergeCell ref="D10:E10"/>
    <mergeCell ref="D11:E11"/>
    <mergeCell ref="D12:E12"/>
    <mergeCell ref="D13:E13"/>
    <mergeCell ref="CK1:CK3"/>
    <mergeCell ref="L1:M3"/>
    <mergeCell ref="N1:O3"/>
    <mergeCell ref="AV3:AW3"/>
    <mergeCell ref="B4:E4"/>
    <mergeCell ref="B5:C5"/>
    <mergeCell ref="D5:E5"/>
    <mergeCell ref="D6:E6"/>
    <mergeCell ref="D7:E7"/>
    <mergeCell ref="AB1:AC3"/>
    <mergeCell ref="AD1:AE3"/>
    <mergeCell ref="AF1:AG3"/>
    <mergeCell ref="AH1:AI3"/>
    <mergeCell ref="AJ1:AK3"/>
    <mergeCell ref="B2:C2"/>
    <mergeCell ref="B3:C3"/>
    <mergeCell ref="D3:E3"/>
    <mergeCell ref="P1:Q3"/>
    <mergeCell ref="R1:S3"/>
    <mergeCell ref="T1:U3"/>
    <mergeCell ref="V1:W3"/>
    <mergeCell ref="X1:Y3"/>
    <mergeCell ref="Z1:AA3"/>
    <mergeCell ref="B1:C1"/>
  </mergeCells>
  <dataValidations xWindow="1" yWindow="245" count="4">
    <dataValidation allowBlank="1" showErrorMessage="1" sqref="E1" xr:uid="{00000000-0002-0000-0B00-000000000000}"/>
    <dataValidation type="textLength" allowBlank="1" showInputMessage="1" showErrorMessage="1" prompt="Please select your country in worksheet &quot;Intro&quot; (for all pollutant sheets)" sqref="D1" xr:uid="{00000000-0002-0000-0B00-000001000000}">
      <formula1>2</formula1>
      <formula2>2</formula2>
    </dataValidation>
    <dataValidation type="custom" allowBlank="1" showInputMessage="1" showErrorMessage="1" errorTitle="Wrong data input" error="Data entry is limited to positive values or zero._x000d__x000a_: symbol can be used for not available data." sqref="BH4:BH95 BH101:BH104 BH106:BH107 BF4:BF95 BF101:BF104 BF106:BF107 BD4:BD95 BD101:BD104 BD106:BD107 BB4:BB95 BB101:BB104 BB106:BB107 AZ4:AZ95 AZ101:AZ104 AZ106:AZ107 AX4:AX95 AX101:AX104 AX106:AX107 AV4:AV95 AV101:AV104 AV106:AV107 AT4:AT95 AT101:AT104 AT106:AT107 AR4:AR95 AR101:AR104 AR106:AR107 AP4:AP95 AP101:AP104 AP106:AP107 AN4:AN95 AN101:AN104 AN106:AN107 AL4:AL95 AL101:AL104 AL106:AL107 AJ4:AJ95 AJ101:AJ104 AJ106:AJ107 AH4:AH95 AH101:AH104 AH106:AH107 AF4:AF95 AF101:AF104 AF106:AF107 AD4:AD95 AD101:AD104 AD106:AD107 AB4:AB95 AB101:AB104 AB106:AB107 Z4:Z95 Z101:Z104 Z106:Z107 X4:X95 X101:X104 X106:X107 V4:V95 V101:V104 V106:V107 T4:T95 T101:T104 T106:T107 R4:R95 R101:R104 R106:R107 P4:P95 P101:P104 P106:P107 N4:N95 N101:N104 N106:N107 L4:L95 L101:L104 L106:L107 J4:J95 J101:J104 J106:J107 H4:H95 H101:H104 H106:H107 F4:F95 F101:F104 F106:F107" xr:uid="{00000000-0002-0000-0B00-000002000000}">
      <formula1>OR(AND(ISNUMBER(F4),F4&gt;=0),F4=":")</formula1>
    </dataValidation>
    <dataValidation type="custom" allowBlank="1" showInputMessage="1" showErrorMessage="1" errorTitle="Wrong data input" error="Data entry is limited to numbers._x000d__x000a_: symbol can be used for not available data." sqref="BH105 BH96:BH100 BF105 BF96:BF100 BD105 BD96:BD100 BB105 BB96:BB100 AZ105 AZ96:AZ100 AX105 AX96:AX100 AV105 AV96:AV100 AT105 AT96:AT100 AR105 AR96:AR100 AP105 AP96:AP100 AN105 AN96:AN100 AL105 AL96:AL100 AJ105 AJ96:AJ100 AH105 AH96:AH100 AF105 AF96:AF100 AD105 AD96:AD100 AB105 AB96:AB100 Z105 Z96:Z100 X105 X96:X100 V105 V96:V100 T105 T96:T100 R105 R96:R100 P105 P96:P100 N105 N96:N100 L105 L96:L100 J105 J96:J100 H105 H96:H100 F105 F96:F100" xr:uid="{FE480055-DCD2-4CE8-9140-DA477DE11BD3}">
      <formula1>OR(ISNUMBER(F96),F96=":")</formula1>
    </dataValidation>
  </dataValidations>
  <printOptions headings="1" gridLines="1"/>
  <pageMargins left="0.2" right="0.39370078740157499" top="0.17" bottom="0.47" header="0" footer="0"/>
  <pageSetup paperSize="9" scale="60" fitToHeight="3" pageOrder="overThenDown" orientation="portrait" r:id="rId1"/>
  <headerFooter alignWithMargins="0">
    <oddFooter>&amp;L&amp;A&amp;C&amp;P&amp;R&amp;F</oddFooter>
  </headerFooter>
  <rowBreaks count="1" manualBreakCount="1">
    <brk id="94" min="1" max="22" man="1"/>
  </rowBreaks>
  <drawing r:id="rId2"/>
  <legacyDrawing r:id="rId3"/>
  <mc:AlternateContent xmlns:mc="http://schemas.openxmlformats.org/markup-compatibility/2006">
    <mc:Choice Requires="x14">
      <controls>
        <mc:AlternateContent xmlns:mc="http://schemas.openxmlformats.org/markup-compatibility/2006">
          <mc:Choice Requires="x14">
            <control shapeId="817153" r:id="rId4" name="Button 1">
              <controlPr defaultSize="0" print="0" autoFill="0" autoPict="0" macro="[0]!CheckThisSheet">
                <anchor moveWithCells="1" sizeWithCells="1">
                  <from>
                    <xdr:col>4</xdr:col>
                    <xdr:colOff>3105150</xdr:colOff>
                    <xdr:row>1</xdr:row>
                    <xdr:rowOff>76200</xdr:rowOff>
                  </from>
                  <to>
                    <xdr:col>4</xdr:col>
                    <xdr:colOff>3810000</xdr:colOff>
                    <xdr:row>2</xdr:row>
                    <xdr:rowOff>304800</xdr:rowOff>
                  </to>
                </anchor>
              </controlPr>
            </control>
          </mc:Choice>
        </mc:AlternateContent>
        <mc:AlternateContent xmlns:mc="http://schemas.openxmlformats.org/markup-compatibility/2006">
          <mc:Choice Requires="x14">
            <control shapeId="817154" r:id="rId5" name="Button 2">
              <controlPr defaultSize="0" print="0" autoFill="0" autoPict="0" macro="[0]!Interface.SetPinkColor">
                <anchor moveWithCells="1" sizeWithCells="1">
                  <from>
                    <xdr:col>4</xdr:col>
                    <xdr:colOff>2914650</xdr:colOff>
                    <xdr:row>3</xdr:row>
                    <xdr:rowOff>76200</xdr:rowOff>
                  </from>
                  <to>
                    <xdr:col>4</xdr:col>
                    <xdr:colOff>3162300</xdr:colOff>
                    <xdr:row>3</xdr:row>
                    <xdr:rowOff>323850</xdr:rowOff>
                  </to>
                </anchor>
              </controlPr>
            </control>
          </mc:Choice>
        </mc:AlternateContent>
        <mc:AlternateContent xmlns:mc="http://schemas.openxmlformats.org/markup-compatibility/2006">
          <mc:Choice Requires="x14">
            <control shapeId="817155" r:id="rId6" name="Button 3">
              <controlPr defaultSize="0" print="0" autoFill="0" autoPict="0" macro="[0]!Interface.SetGreyColor">
                <anchor moveWithCells="1" sizeWithCells="1">
                  <from>
                    <xdr:col>4</xdr:col>
                    <xdr:colOff>3257550</xdr:colOff>
                    <xdr:row>3</xdr:row>
                    <xdr:rowOff>76200</xdr:rowOff>
                  </from>
                  <to>
                    <xdr:col>4</xdr:col>
                    <xdr:colOff>3505200</xdr:colOff>
                    <xdr:row>3</xdr:row>
                    <xdr:rowOff>323850</xdr:rowOff>
                  </to>
                </anchor>
              </controlPr>
            </control>
          </mc:Choice>
        </mc:AlternateContent>
        <mc:AlternateContent xmlns:mc="http://schemas.openxmlformats.org/markup-compatibility/2006">
          <mc:Choice Requires="x14">
            <control shapeId="817156" r:id="rId7" name="Button 4">
              <controlPr defaultSize="0" print="0" autoFill="0" autoPict="0" macro="[0]!Interface.SetBlankColor">
                <anchor moveWithCells="1" sizeWithCells="1">
                  <from>
                    <xdr:col>4</xdr:col>
                    <xdr:colOff>3600450</xdr:colOff>
                    <xdr:row>3</xdr:row>
                    <xdr:rowOff>66675</xdr:rowOff>
                  </from>
                  <to>
                    <xdr:col>4</xdr:col>
                    <xdr:colOff>3838575</xdr:colOff>
                    <xdr:row>3</xdr:row>
                    <xdr:rowOff>323850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MODEL2">
    <tabColor indexed="42"/>
  </sheetPr>
  <dimension ref="A1:CT144"/>
  <sheetViews>
    <sheetView showGridLines="0" showOutlineSymbols="0" zoomScale="80" zoomScaleNormal="80" zoomScaleSheetLayoutView="100" workbookViewId="0">
      <pane xSplit="5" ySplit="4" topLeftCell="AF5" activePane="bottomRight" state="frozen"/>
      <selection pane="topRight" activeCell="AN63" sqref="AN63"/>
      <selection pane="bottomLeft" activeCell="AN63" sqref="AN63"/>
      <selection pane="bottomRight" activeCell="BD3" sqref="BD3:BD11"/>
    </sheetView>
  </sheetViews>
  <sheetFormatPr defaultColWidth="9.28515625" defaultRowHeight="12.75" outlineLevelCol="1"/>
  <cols>
    <col min="1" max="1" width="11.7109375" hidden="1" customWidth="1" outlineLevel="1" collapsed="1"/>
    <col min="2" max="2" width="10.28515625" customWidth="1" collapsed="1"/>
    <col min="3" max="3" width="2.7109375" customWidth="1"/>
    <col min="4" max="4" width="10" customWidth="1"/>
    <col min="5" max="5" width="56.7109375" customWidth="1"/>
    <col min="6" max="6" width="15.28515625" customWidth="1"/>
    <col min="7" max="7" width="2.28515625" customWidth="1"/>
    <col min="8" max="8" width="14.7109375" customWidth="1"/>
    <col min="9" max="9" width="2.28515625" customWidth="1"/>
    <col min="10" max="10" width="14.7109375" customWidth="1"/>
    <col min="11" max="11" width="2.28515625" customWidth="1"/>
    <col min="12" max="12" width="14.7109375" customWidth="1"/>
    <col min="13" max="13" width="2.28515625" customWidth="1"/>
    <col min="14" max="14" width="14.7109375" customWidth="1"/>
    <col min="15" max="15" width="2.28515625" customWidth="1"/>
    <col min="16" max="16" width="14.7109375" customWidth="1"/>
    <col min="17" max="17" width="2.28515625" customWidth="1"/>
    <col min="18" max="18" width="14.7109375" customWidth="1"/>
    <col min="19" max="19" width="2.28515625" customWidth="1"/>
    <col min="20" max="20" width="14.7109375" customWidth="1"/>
    <col min="21" max="21" width="2.28515625" customWidth="1"/>
    <col min="22" max="22" width="14.7109375" customWidth="1"/>
    <col min="23" max="23" width="2.28515625" customWidth="1"/>
    <col min="24" max="24" width="14.7109375" customWidth="1"/>
    <col min="25" max="25" width="2.28515625" customWidth="1"/>
    <col min="26" max="26" width="14.7109375" customWidth="1"/>
    <col min="27" max="27" width="2.28515625" customWidth="1"/>
    <col min="28" max="28" width="14.7109375" customWidth="1"/>
    <col min="29" max="29" width="2.28515625" customWidth="1"/>
    <col min="30" max="30" width="14.7109375" customWidth="1"/>
    <col min="31" max="31" width="2.28515625" customWidth="1"/>
    <col min="32" max="32" width="14.7109375" customWidth="1"/>
    <col min="33" max="33" width="2.28515625" customWidth="1"/>
    <col min="34" max="34" width="14.7109375" customWidth="1"/>
    <col min="35" max="35" width="2.28515625" customWidth="1"/>
    <col min="36" max="36" width="14.7109375" customWidth="1"/>
    <col min="37" max="37" width="2.28515625" customWidth="1"/>
    <col min="38" max="38" width="14.7109375" customWidth="1"/>
    <col min="39" max="39" width="2.28515625" customWidth="1"/>
    <col min="40" max="40" width="14.7109375" customWidth="1"/>
    <col min="41" max="41" width="2.28515625" customWidth="1"/>
    <col min="42" max="42" width="14.7109375" customWidth="1"/>
    <col min="43" max="43" width="2.28515625" customWidth="1"/>
    <col min="44" max="44" width="14.7109375" customWidth="1"/>
    <col min="45" max="45" width="2.28515625" customWidth="1"/>
    <col min="46" max="46" width="14.7109375" customWidth="1"/>
    <col min="47" max="47" width="2.28515625" customWidth="1"/>
    <col min="48" max="48" width="14.7109375" customWidth="1"/>
    <col min="49" max="49" width="2.28515625" customWidth="1"/>
    <col min="50" max="50" width="14.7109375" customWidth="1"/>
    <col min="51" max="51" width="2.28515625" customWidth="1"/>
    <col min="52" max="52" width="14.7109375" customWidth="1"/>
    <col min="53" max="53" width="2.28515625" customWidth="1"/>
    <col min="54" max="54" width="14.7109375" customWidth="1"/>
    <col min="55" max="55" width="2.28515625" customWidth="1"/>
    <col min="56" max="56" width="14.7109375" customWidth="1"/>
    <col min="57" max="57" width="2.28515625" customWidth="1"/>
    <col min="58" max="58" width="14.7109375" customWidth="1"/>
    <col min="59" max="59" width="2.28515625" customWidth="1"/>
    <col min="60" max="60" width="14.7109375" customWidth="1"/>
    <col min="61" max="61" width="2.28515625" customWidth="1"/>
    <col min="89" max="89" width="4.7109375" customWidth="1"/>
    <col min="92" max="92" width="13.42578125" customWidth="1"/>
  </cols>
  <sheetData>
    <row r="1" spans="1:98" ht="30" customHeight="1" thickBot="1">
      <c r="A1" t="s">
        <v>562</v>
      </c>
      <c r="B1" s="528" t="s">
        <v>563</v>
      </c>
      <c r="C1" s="529"/>
      <c r="D1" s="204" t="str">
        <f>intro!F7</f>
        <v>NO</v>
      </c>
      <c r="E1" s="15"/>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1"/>
      <c r="AI1" s="521"/>
      <c r="AJ1" s="521"/>
      <c r="AK1" s="521"/>
      <c r="CJ1" s="554" t="s">
        <v>214</v>
      </c>
      <c r="CK1" s="554" t="s">
        <v>218</v>
      </c>
      <c r="CL1" s="554" t="s">
        <v>222</v>
      </c>
      <c r="CM1" s="554" t="s">
        <v>225</v>
      </c>
      <c r="CN1" s="554" t="s">
        <v>1126</v>
      </c>
      <c r="CO1" s="554" t="s">
        <v>234</v>
      </c>
      <c r="CP1" s="554" t="s">
        <v>236</v>
      </c>
      <c r="CQ1" s="554" t="s">
        <v>238</v>
      </c>
      <c r="CR1" s="554" t="s">
        <v>259</v>
      </c>
      <c r="CS1" s="554" t="s">
        <v>240</v>
      </c>
      <c r="CT1" s="554" t="s">
        <v>242</v>
      </c>
    </row>
    <row r="2" spans="1:98" ht="30" customHeight="1" thickBot="1">
      <c r="B2" s="522" t="s">
        <v>564</v>
      </c>
      <c r="C2" s="523"/>
      <c r="D2" s="7" t="s">
        <v>640</v>
      </c>
      <c r="E2" s="297" t="s">
        <v>641</v>
      </c>
      <c r="F2" s="521"/>
      <c r="G2" s="521"/>
      <c r="H2" s="521"/>
      <c r="I2" s="521"/>
      <c r="J2" s="521"/>
      <c r="K2" s="521"/>
      <c r="L2" s="521"/>
      <c r="M2" s="521"/>
      <c r="N2" s="521"/>
      <c r="O2" s="521"/>
      <c r="P2" s="521"/>
      <c r="Q2" s="521"/>
      <c r="R2" s="521"/>
      <c r="S2" s="521"/>
      <c r="T2" s="521"/>
      <c r="U2" s="521"/>
      <c r="V2" s="521"/>
      <c r="W2" s="521"/>
      <c r="X2" s="521"/>
      <c r="Y2" s="521"/>
      <c r="Z2" s="521"/>
      <c r="AA2" s="521"/>
      <c r="AB2" s="521"/>
      <c r="AC2" s="521"/>
      <c r="AD2" s="521"/>
      <c r="AE2" s="521"/>
      <c r="AF2" s="521"/>
      <c r="AG2" s="521"/>
      <c r="AH2" s="521"/>
      <c r="AI2" s="521"/>
      <c r="AJ2" s="521"/>
      <c r="AK2" s="521"/>
      <c r="CJ2" s="554"/>
      <c r="CK2" s="554"/>
      <c r="CL2" s="554"/>
      <c r="CM2" s="554"/>
      <c r="CN2" s="554"/>
      <c r="CO2" s="554"/>
      <c r="CP2" s="554"/>
      <c r="CQ2" s="554"/>
      <c r="CR2" s="554"/>
      <c r="CS2" s="554"/>
      <c r="CT2" s="554"/>
    </row>
    <row r="3" spans="1:98" ht="30" customHeight="1" thickBot="1">
      <c r="A3" s="21" t="s">
        <v>625</v>
      </c>
      <c r="B3" s="524" t="s">
        <v>567</v>
      </c>
      <c r="C3" s="525" t="s">
        <v>568</v>
      </c>
      <c r="D3" s="526" t="s">
        <v>1127</v>
      </c>
      <c r="E3" s="527"/>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1"/>
      <c r="AI3" s="521"/>
      <c r="AJ3" s="521"/>
      <c r="AK3" s="521"/>
      <c r="AV3" s="511"/>
      <c r="AW3" s="511"/>
      <c r="CJ3" s="554"/>
      <c r="CK3" s="554"/>
      <c r="CL3" s="554"/>
      <c r="CM3" s="554"/>
      <c r="CN3" s="554"/>
      <c r="CO3" s="554"/>
      <c r="CP3" s="554"/>
      <c r="CQ3" s="554"/>
      <c r="CR3" s="554"/>
      <c r="CS3" s="554"/>
      <c r="CT3" s="554"/>
    </row>
    <row r="4" spans="1:98" ht="30" customHeight="1" thickBot="1">
      <c r="A4" s="22"/>
      <c r="B4" s="512" t="s">
        <v>570</v>
      </c>
      <c r="C4" s="513"/>
      <c r="D4" s="513"/>
      <c r="E4" s="514"/>
      <c r="F4" s="68">
        <v>1995</v>
      </c>
      <c r="G4" s="298"/>
      <c r="H4" s="1">
        <v>1996</v>
      </c>
      <c r="I4" s="298"/>
      <c r="J4" s="1">
        <v>1997</v>
      </c>
      <c r="K4" s="298"/>
      <c r="L4" s="1">
        <v>1998</v>
      </c>
      <c r="M4" s="298"/>
      <c r="N4" s="1">
        <v>1999</v>
      </c>
      <c r="O4" s="298"/>
      <c r="P4" s="1">
        <v>2000</v>
      </c>
      <c r="Q4" s="298"/>
      <c r="R4" s="1">
        <v>2001</v>
      </c>
      <c r="S4" s="298"/>
      <c r="T4" s="1">
        <v>2002</v>
      </c>
      <c r="U4" s="298"/>
      <c r="V4" s="1">
        <v>2003</v>
      </c>
      <c r="W4" s="298"/>
      <c r="X4" s="1">
        <v>2004</v>
      </c>
      <c r="Y4" s="298"/>
      <c r="Z4" s="1">
        <v>2005</v>
      </c>
      <c r="AA4" s="298"/>
      <c r="AB4" s="1">
        <v>2006</v>
      </c>
      <c r="AC4" s="298"/>
      <c r="AD4" s="1">
        <v>2007</v>
      </c>
      <c r="AE4" s="298"/>
      <c r="AF4" s="1">
        <v>2008</v>
      </c>
      <c r="AG4" s="298"/>
      <c r="AH4" s="1">
        <v>2009</v>
      </c>
      <c r="AI4" s="298"/>
      <c r="AJ4" s="1">
        <v>2010</v>
      </c>
      <c r="AK4" s="298"/>
      <c r="AL4" s="1">
        <v>2011</v>
      </c>
      <c r="AM4" s="298"/>
      <c r="AN4" s="1">
        <v>2012</v>
      </c>
      <c r="AO4" s="298"/>
      <c r="AP4" s="1">
        <v>2013</v>
      </c>
      <c r="AQ4" s="298"/>
      <c r="AR4" s="1">
        <v>2014</v>
      </c>
      <c r="AS4" s="298"/>
      <c r="AT4" s="1">
        <v>2015</v>
      </c>
      <c r="AU4" s="298"/>
      <c r="AV4" s="1">
        <v>2016</v>
      </c>
      <c r="AW4" s="299"/>
      <c r="AX4" s="1">
        <v>2017</v>
      </c>
      <c r="AY4" s="299"/>
      <c r="AZ4" s="1">
        <v>2018</v>
      </c>
      <c r="BA4" s="299"/>
      <c r="BB4" s="148">
        <v>2019</v>
      </c>
      <c r="BC4" s="300"/>
      <c r="BD4" s="180">
        <v>2020</v>
      </c>
      <c r="BE4" s="300"/>
      <c r="BF4" s="180">
        <v>2021</v>
      </c>
      <c r="BG4" s="299"/>
      <c r="BH4" s="67">
        <v>2022</v>
      </c>
      <c r="BI4" s="301"/>
      <c r="CJ4" s="149"/>
      <c r="CK4" s="149"/>
      <c r="CL4" s="149"/>
      <c r="CM4" s="149"/>
      <c r="CN4" s="149"/>
      <c r="CO4" s="149"/>
      <c r="CP4" s="149"/>
      <c r="CQ4" s="149"/>
      <c r="CR4" s="149"/>
      <c r="CS4" s="149"/>
      <c r="CT4" s="149"/>
    </row>
    <row r="5" spans="1:98" s="9" customFormat="1" ht="20.100000000000001" customHeight="1">
      <c r="A5" s="23"/>
      <c r="B5" s="515" t="str">
        <f>Parameters!Q4</f>
        <v>A_U   01-99</v>
      </c>
      <c r="C5" s="516"/>
      <c r="D5" s="517" t="str">
        <f>Parameters!S4</f>
        <v>Total industries</v>
      </c>
      <c r="E5" s="518"/>
      <c r="F5" s="220"/>
      <c r="G5" s="181"/>
      <c r="H5" s="221"/>
      <c r="I5" s="181"/>
      <c r="J5" s="221"/>
      <c r="K5" s="181"/>
      <c r="L5" s="221"/>
      <c r="M5" s="181"/>
      <c r="N5" s="221"/>
      <c r="O5" s="181"/>
      <c r="P5" s="221"/>
      <c r="Q5" s="181"/>
      <c r="R5" s="221"/>
      <c r="S5" s="181"/>
      <c r="T5" s="221"/>
      <c r="U5" s="181"/>
      <c r="V5" s="221"/>
      <c r="W5" s="181"/>
      <c r="X5" s="221"/>
      <c r="Y5" s="181"/>
      <c r="Z5" s="221"/>
      <c r="AA5" s="181"/>
      <c r="AB5" s="221"/>
      <c r="AC5" s="181"/>
      <c r="AD5" s="221"/>
      <c r="AE5" s="181"/>
      <c r="AF5" s="163">
        <v>3488.0853050999999</v>
      </c>
      <c r="AG5" s="181"/>
      <c r="AH5" s="163">
        <v>2837.5252722</v>
      </c>
      <c r="AI5" s="181"/>
      <c r="AJ5" s="163">
        <v>3924.0212282000002</v>
      </c>
      <c r="AK5" s="181"/>
      <c r="AL5" s="163">
        <v>3809.5513529</v>
      </c>
      <c r="AM5" s="181"/>
      <c r="AN5" s="163">
        <v>3110.1224347000002</v>
      </c>
      <c r="AO5" s="181"/>
      <c r="AP5" s="163">
        <v>2913.4769900000001</v>
      </c>
      <c r="AQ5" s="181"/>
      <c r="AR5" s="163">
        <v>1872.2236800000001</v>
      </c>
      <c r="AS5" s="181"/>
      <c r="AT5" s="163">
        <v>2095.4574200000002</v>
      </c>
      <c r="AU5" s="181"/>
      <c r="AV5" s="163">
        <v>2357.8232842000002</v>
      </c>
      <c r="AW5" s="181"/>
      <c r="AX5" s="163">
        <v>2855.2729820999998</v>
      </c>
      <c r="AY5" s="181"/>
      <c r="AZ5" s="163">
        <v>2759.8854894000001</v>
      </c>
      <c r="BA5" s="181"/>
      <c r="BB5" s="163">
        <v>3102.0676248999998</v>
      </c>
      <c r="BC5" s="181"/>
      <c r="BD5" s="163">
        <v>2868.5160841000002</v>
      </c>
      <c r="BE5" s="181"/>
      <c r="BF5" s="163">
        <v>3032.6778178999998</v>
      </c>
      <c r="BG5" s="181"/>
      <c r="BH5" s="221"/>
      <c r="BI5" s="183"/>
      <c r="CJ5" s="150" t="s">
        <v>271</v>
      </c>
      <c r="CK5" s="150" t="s">
        <v>219</v>
      </c>
      <c r="CL5" s="150" t="s">
        <v>1128</v>
      </c>
      <c r="CM5" s="150" t="s">
        <v>1129</v>
      </c>
      <c r="CN5" s="150" t="s">
        <v>1130</v>
      </c>
      <c r="CO5" s="150" t="s">
        <v>640</v>
      </c>
      <c r="CP5" s="150" t="s">
        <v>1131</v>
      </c>
      <c r="CQ5" s="150" t="s">
        <v>1132</v>
      </c>
      <c r="CR5" s="157">
        <v>3</v>
      </c>
      <c r="CS5" s="150" t="s">
        <v>1133</v>
      </c>
      <c r="CT5" s="150" t="s">
        <v>1134</v>
      </c>
    </row>
    <row r="6" spans="1:98" s="9" customFormat="1" ht="20.100000000000001" customHeight="1">
      <c r="A6" s="24"/>
      <c r="B6" s="83" t="str">
        <f>Parameters!Q5</f>
        <v>A</v>
      </c>
      <c r="C6" s="305"/>
      <c r="D6" s="519" t="str">
        <f>Parameters!S5</f>
        <v>Agriculture, forestry and fishing</v>
      </c>
      <c r="E6" s="520"/>
      <c r="F6" s="222"/>
      <c r="G6" s="379"/>
      <c r="H6" s="223"/>
      <c r="I6" s="379"/>
      <c r="J6" s="223"/>
      <c r="K6" s="379"/>
      <c r="L6" s="223"/>
      <c r="M6" s="379"/>
      <c r="N6" s="223"/>
      <c r="O6" s="379"/>
      <c r="P6" s="223"/>
      <c r="Q6" s="379"/>
      <c r="R6" s="223"/>
      <c r="S6" s="379"/>
      <c r="T6" s="223"/>
      <c r="U6" s="379"/>
      <c r="V6" s="223"/>
      <c r="W6" s="379"/>
      <c r="X6" s="223"/>
      <c r="Y6" s="379"/>
      <c r="Z6" s="223"/>
      <c r="AA6" s="379"/>
      <c r="AB6" s="223"/>
      <c r="AC6" s="379"/>
      <c r="AD6" s="223"/>
      <c r="AE6" s="379"/>
      <c r="AF6" s="164">
        <v>0.36669889999999999</v>
      </c>
      <c r="AG6" s="379"/>
      <c r="AH6" s="164">
        <v>0.43891429999999998</v>
      </c>
      <c r="AI6" s="379"/>
      <c r="AJ6" s="164">
        <v>0.36470740000000001</v>
      </c>
      <c r="AK6" s="379"/>
      <c r="AL6" s="164">
        <v>0.38596200000000003</v>
      </c>
      <c r="AM6" s="379"/>
      <c r="AN6" s="164">
        <v>0.35498210000000002</v>
      </c>
      <c r="AO6" s="379"/>
      <c r="AP6" s="164">
        <v>0.2317372</v>
      </c>
      <c r="AQ6" s="379"/>
      <c r="AR6" s="164">
        <v>0.24334749999999999</v>
      </c>
      <c r="AS6" s="379"/>
      <c r="AT6" s="164">
        <v>0.1465246</v>
      </c>
      <c r="AU6" s="379"/>
      <c r="AV6" s="164">
        <v>0.2903558</v>
      </c>
      <c r="AW6" s="379"/>
      <c r="AX6" s="164">
        <v>0.39152579999999998</v>
      </c>
      <c r="AY6" s="379"/>
      <c r="AZ6" s="164">
        <v>0.2811824</v>
      </c>
      <c r="BA6" s="379"/>
      <c r="BB6" s="164">
        <v>0.84933899999999996</v>
      </c>
      <c r="BC6" s="379"/>
      <c r="BD6" s="164">
        <v>0.51582249999999996</v>
      </c>
      <c r="BE6" s="379"/>
      <c r="BF6" s="164">
        <v>0.2041443</v>
      </c>
      <c r="BG6" s="379"/>
      <c r="BH6" s="223"/>
      <c r="BI6" s="184"/>
      <c r="CJ6" s="150"/>
      <c r="CK6" s="150"/>
      <c r="CL6" s="150"/>
      <c r="CM6" s="151" t="s">
        <v>206</v>
      </c>
      <c r="CN6" s="150" t="s">
        <v>1130</v>
      </c>
      <c r="CO6" s="150"/>
      <c r="CP6" s="150"/>
      <c r="CQ6" s="150"/>
      <c r="CR6" s="150"/>
      <c r="CS6" s="150"/>
      <c r="CT6" s="150"/>
    </row>
    <row r="7" spans="1:98" s="10" customFormat="1" ht="12.75" customHeight="1">
      <c r="A7" s="307"/>
      <c r="B7" s="308" t="str">
        <f>Parameters!Q6</f>
        <v>A01</v>
      </c>
      <c r="C7" s="309"/>
      <c r="D7" s="495" t="str">
        <f>Parameters!S6</f>
        <v>Crop and animal production, hunting and related service activities</v>
      </c>
      <c r="E7" s="510"/>
      <c r="F7" s="224"/>
      <c r="G7" s="379"/>
      <c r="H7" s="225"/>
      <c r="I7" s="379"/>
      <c r="J7" s="225"/>
      <c r="K7" s="379"/>
      <c r="L7" s="225"/>
      <c r="M7" s="379"/>
      <c r="N7" s="225"/>
      <c r="O7" s="379"/>
      <c r="P7" s="225"/>
      <c r="Q7" s="379"/>
      <c r="R7" s="225"/>
      <c r="S7" s="379"/>
      <c r="T7" s="225"/>
      <c r="U7" s="379"/>
      <c r="V7" s="225"/>
      <c r="W7" s="379"/>
      <c r="X7" s="225"/>
      <c r="Y7" s="379"/>
      <c r="Z7" s="225"/>
      <c r="AA7" s="379"/>
      <c r="AB7" s="225"/>
      <c r="AC7" s="379"/>
      <c r="AD7" s="225"/>
      <c r="AE7" s="379"/>
      <c r="AF7" s="165">
        <v>0.29786780000000002</v>
      </c>
      <c r="AG7" s="379"/>
      <c r="AH7" s="165">
        <v>0.36181210000000003</v>
      </c>
      <c r="AI7" s="379"/>
      <c r="AJ7" s="165">
        <v>0.25090869999999998</v>
      </c>
      <c r="AK7" s="379"/>
      <c r="AL7" s="165">
        <v>0.28476299999999999</v>
      </c>
      <c r="AM7" s="379"/>
      <c r="AN7" s="165">
        <v>0.26052579999999997</v>
      </c>
      <c r="AO7" s="379"/>
      <c r="AP7" s="165">
        <v>0.14326359999999999</v>
      </c>
      <c r="AQ7" s="379"/>
      <c r="AR7" s="165">
        <v>0.15700239999999999</v>
      </c>
      <c r="AS7" s="379"/>
      <c r="AT7" s="165">
        <v>7.7099699999999993E-2</v>
      </c>
      <c r="AU7" s="379"/>
      <c r="AV7" s="165">
        <v>0.13091849999999999</v>
      </c>
      <c r="AW7" s="379"/>
      <c r="AX7" s="165">
        <v>0.2292786</v>
      </c>
      <c r="AY7" s="379"/>
      <c r="AZ7" s="165">
        <v>0.16600280000000001</v>
      </c>
      <c r="BA7" s="379"/>
      <c r="BB7" s="251">
        <v>0.54457279999999997</v>
      </c>
      <c r="BC7" s="379" t="s">
        <v>454</v>
      </c>
      <c r="BD7" s="165">
        <v>0.37197259999999999</v>
      </c>
      <c r="BE7" s="379"/>
      <c r="BF7" s="165">
        <v>0.12961710000000001</v>
      </c>
      <c r="BG7" s="379"/>
      <c r="BH7" s="225"/>
      <c r="BI7" s="184"/>
      <c r="CJ7" s="150"/>
      <c r="CK7" s="150"/>
      <c r="CL7" s="150"/>
      <c r="CM7" s="151" t="s">
        <v>650</v>
      </c>
      <c r="CN7" s="150" t="s">
        <v>1130</v>
      </c>
      <c r="CO7" s="150"/>
      <c r="CP7" s="150"/>
      <c r="CQ7" s="150"/>
      <c r="CR7" s="150"/>
      <c r="CS7" s="150"/>
      <c r="CT7" s="150"/>
    </row>
    <row r="8" spans="1:98" s="11" customFormat="1" ht="12.75" customHeight="1">
      <c r="A8" s="307"/>
      <c r="B8" s="308" t="str">
        <f>Parameters!Q7</f>
        <v>A02</v>
      </c>
      <c r="C8" s="309"/>
      <c r="D8" s="495" t="str">
        <f>Parameters!S7</f>
        <v>Forestry and logging</v>
      </c>
      <c r="E8" s="530"/>
      <c r="F8" s="224"/>
      <c r="G8" s="379"/>
      <c r="H8" s="225"/>
      <c r="I8" s="379"/>
      <c r="J8" s="225"/>
      <c r="K8" s="379"/>
      <c r="L8" s="225"/>
      <c r="M8" s="379"/>
      <c r="N8" s="225"/>
      <c r="O8" s="379"/>
      <c r="P8" s="225"/>
      <c r="Q8" s="379"/>
      <c r="R8" s="225"/>
      <c r="S8" s="379"/>
      <c r="T8" s="225"/>
      <c r="U8" s="379"/>
      <c r="V8" s="225"/>
      <c r="W8" s="379"/>
      <c r="X8" s="225"/>
      <c r="Y8" s="379"/>
      <c r="Z8" s="225"/>
      <c r="AA8" s="379"/>
      <c r="AB8" s="225"/>
      <c r="AC8" s="379"/>
      <c r="AD8" s="225"/>
      <c r="AE8" s="379"/>
      <c r="AF8" s="165">
        <v>5.5770599999999997E-2</v>
      </c>
      <c r="AG8" s="379"/>
      <c r="AH8" s="165">
        <v>6.2377299999999997E-2</v>
      </c>
      <c r="AI8" s="379"/>
      <c r="AJ8" s="165">
        <v>8.24318E-2</v>
      </c>
      <c r="AK8" s="379"/>
      <c r="AL8" s="165">
        <v>7.8385099999999999E-2</v>
      </c>
      <c r="AM8" s="379"/>
      <c r="AN8" s="165">
        <v>7.1921200000000005E-2</v>
      </c>
      <c r="AO8" s="379"/>
      <c r="AP8" s="165">
        <v>7.2428500000000007E-2</v>
      </c>
      <c r="AQ8" s="379"/>
      <c r="AR8" s="165">
        <v>7.1760099999999993E-2</v>
      </c>
      <c r="AS8" s="379"/>
      <c r="AT8" s="165">
        <v>5.49544E-2</v>
      </c>
      <c r="AU8" s="379"/>
      <c r="AV8" s="251">
        <v>0.13506760000000001</v>
      </c>
      <c r="AW8" s="379" t="s">
        <v>444</v>
      </c>
      <c r="AX8" s="165">
        <v>0.1581012</v>
      </c>
      <c r="AY8" s="379"/>
      <c r="AZ8" s="165">
        <v>0.1151797</v>
      </c>
      <c r="BA8" s="379"/>
      <c r="BB8" s="165">
        <v>0.2187009</v>
      </c>
      <c r="BC8" s="379"/>
      <c r="BD8" s="165">
        <v>0.12971730000000001</v>
      </c>
      <c r="BE8" s="379"/>
      <c r="BF8" s="165">
        <v>7.4527300000000005E-2</v>
      </c>
      <c r="BG8" s="379"/>
      <c r="BH8" s="225"/>
      <c r="BI8" s="184"/>
      <c r="CJ8" s="150"/>
      <c r="CK8" s="150"/>
      <c r="CL8" s="150"/>
      <c r="CM8" s="151" t="s">
        <v>657</v>
      </c>
      <c r="CN8" s="150" t="s">
        <v>1130</v>
      </c>
      <c r="CO8" s="150"/>
      <c r="CP8" s="150"/>
      <c r="CQ8" s="150"/>
      <c r="CR8" s="150"/>
      <c r="CS8" s="150"/>
      <c r="CT8" s="150"/>
    </row>
    <row r="9" spans="1:98" s="11" customFormat="1" ht="12.75" customHeight="1">
      <c r="A9" s="310"/>
      <c r="B9" s="308" t="str">
        <f>Parameters!Q8</f>
        <v>A03</v>
      </c>
      <c r="C9" s="309"/>
      <c r="D9" s="495" t="str">
        <f>Parameters!S8</f>
        <v>Fishing and aquaculture</v>
      </c>
      <c r="E9" s="497"/>
      <c r="F9" s="224"/>
      <c r="G9" s="379"/>
      <c r="H9" s="225"/>
      <c r="I9" s="379"/>
      <c r="J9" s="225"/>
      <c r="K9" s="379"/>
      <c r="L9" s="225"/>
      <c r="M9" s="379"/>
      <c r="N9" s="225"/>
      <c r="O9" s="379"/>
      <c r="P9" s="225"/>
      <c r="Q9" s="379"/>
      <c r="R9" s="225"/>
      <c r="S9" s="379"/>
      <c r="T9" s="225"/>
      <c r="U9" s="379"/>
      <c r="V9" s="225"/>
      <c r="W9" s="379"/>
      <c r="X9" s="225"/>
      <c r="Y9" s="379"/>
      <c r="Z9" s="225"/>
      <c r="AA9" s="379"/>
      <c r="AB9" s="225"/>
      <c r="AC9" s="379"/>
      <c r="AD9" s="225"/>
      <c r="AE9" s="379"/>
      <c r="AF9" s="165">
        <v>1.30604E-2</v>
      </c>
      <c r="AG9" s="379"/>
      <c r="AH9" s="165">
        <v>1.4725E-2</v>
      </c>
      <c r="AI9" s="379"/>
      <c r="AJ9" s="165">
        <v>3.1366900000000003E-2</v>
      </c>
      <c r="AK9" s="379"/>
      <c r="AL9" s="165">
        <v>2.2813900000000002E-2</v>
      </c>
      <c r="AM9" s="379"/>
      <c r="AN9" s="165">
        <v>2.2535099999999999E-2</v>
      </c>
      <c r="AO9" s="379"/>
      <c r="AP9" s="165">
        <v>1.60451E-2</v>
      </c>
      <c r="AQ9" s="379"/>
      <c r="AR9" s="165">
        <v>1.45851E-2</v>
      </c>
      <c r="AS9" s="379"/>
      <c r="AT9" s="165">
        <v>1.44704E-2</v>
      </c>
      <c r="AU9" s="379"/>
      <c r="AV9" s="165">
        <v>2.4369700000000001E-2</v>
      </c>
      <c r="AW9" s="379"/>
      <c r="AX9" s="165">
        <v>4.1460000000000004E-3</v>
      </c>
      <c r="AY9" s="379"/>
      <c r="AZ9" s="165">
        <v>0</v>
      </c>
      <c r="BA9" s="379"/>
      <c r="BB9" s="165">
        <v>8.6065299999999997E-2</v>
      </c>
      <c r="BC9" s="379"/>
      <c r="BD9" s="165">
        <v>1.4132499999999999E-2</v>
      </c>
      <c r="BE9" s="379"/>
      <c r="BF9" s="165">
        <v>0</v>
      </c>
      <c r="BG9" s="379"/>
      <c r="BH9" s="225"/>
      <c r="BI9" s="184"/>
      <c r="CJ9" s="150"/>
      <c r="CK9" s="150"/>
      <c r="CL9" s="150"/>
      <c r="CM9" s="151" t="s">
        <v>665</v>
      </c>
      <c r="CN9" s="150" t="s">
        <v>1130</v>
      </c>
      <c r="CO9" s="150"/>
      <c r="CP9" s="150"/>
      <c r="CQ9" s="150"/>
      <c r="CR9" s="150"/>
      <c r="CS9" s="150"/>
      <c r="CT9" s="150"/>
    </row>
    <row r="10" spans="1:98" s="10" customFormat="1" ht="12.75" customHeight="1">
      <c r="A10" s="25"/>
      <c r="B10" s="87" t="str">
        <f>Parameters!Q9</f>
        <v>B</v>
      </c>
      <c r="C10" s="88"/>
      <c r="D10" s="498" t="str">
        <f>Parameters!S9</f>
        <v>Mining and quarrying</v>
      </c>
      <c r="E10" s="507"/>
      <c r="F10" s="222"/>
      <c r="G10" s="379"/>
      <c r="H10" s="223"/>
      <c r="I10" s="379"/>
      <c r="J10" s="223"/>
      <c r="K10" s="379"/>
      <c r="L10" s="223"/>
      <c r="M10" s="379"/>
      <c r="N10" s="223"/>
      <c r="O10" s="379"/>
      <c r="P10" s="223"/>
      <c r="Q10" s="379"/>
      <c r="R10" s="223"/>
      <c r="S10" s="379"/>
      <c r="T10" s="223"/>
      <c r="U10" s="379"/>
      <c r="V10" s="223"/>
      <c r="W10" s="379"/>
      <c r="X10" s="223"/>
      <c r="Y10" s="379"/>
      <c r="Z10" s="223"/>
      <c r="AA10" s="379"/>
      <c r="AB10" s="223"/>
      <c r="AC10" s="379"/>
      <c r="AD10" s="223"/>
      <c r="AE10" s="379"/>
      <c r="AF10" s="164">
        <v>0.59384899999999996</v>
      </c>
      <c r="AG10" s="379"/>
      <c r="AH10" s="164">
        <v>0.58839030000000003</v>
      </c>
      <c r="AI10" s="379"/>
      <c r="AJ10" s="164">
        <v>12.8126362</v>
      </c>
      <c r="AK10" s="379"/>
      <c r="AL10" s="164">
        <v>7.5535287999999996</v>
      </c>
      <c r="AM10" s="379"/>
      <c r="AN10" s="164">
        <v>6.4482502000000004</v>
      </c>
      <c r="AO10" s="379"/>
      <c r="AP10" s="164">
        <v>6.4296341000000004</v>
      </c>
      <c r="AQ10" s="379"/>
      <c r="AR10" s="164">
        <v>0.79792479999999999</v>
      </c>
      <c r="AS10" s="379"/>
      <c r="AT10" s="164">
        <v>1.8770087</v>
      </c>
      <c r="AU10" s="379"/>
      <c r="AV10" s="164">
        <v>2.8557584</v>
      </c>
      <c r="AW10" s="379"/>
      <c r="AX10" s="164">
        <v>3.4451763999999998</v>
      </c>
      <c r="AY10" s="379"/>
      <c r="AZ10" s="164">
        <v>2.5275707000000001</v>
      </c>
      <c r="BA10" s="379"/>
      <c r="BB10" s="164">
        <v>2.6408071</v>
      </c>
      <c r="BC10" s="379"/>
      <c r="BD10" s="164">
        <v>2.2794140999999999</v>
      </c>
      <c r="BE10" s="379"/>
      <c r="BF10" s="164">
        <v>2.6622034999999999</v>
      </c>
      <c r="BG10" s="379"/>
      <c r="BH10" s="223"/>
      <c r="BI10" s="184"/>
      <c r="CJ10" s="150"/>
      <c r="CK10" s="150"/>
      <c r="CL10" s="150"/>
      <c r="CM10" s="151" t="s">
        <v>267</v>
      </c>
      <c r="CN10" s="150" t="s">
        <v>1130</v>
      </c>
      <c r="CO10" s="150"/>
      <c r="CP10" s="150"/>
      <c r="CQ10" s="150"/>
      <c r="CR10" s="150"/>
      <c r="CS10" s="150"/>
      <c r="CT10" s="150"/>
    </row>
    <row r="11" spans="1:98" s="10" customFormat="1" ht="12.75" customHeight="1">
      <c r="A11" s="25"/>
      <c r="B11" s="87" t="str">
        <f>Parameters!Q10</f>
        <v>C</v>
      </c>
      <c r="C11" s="88"/>
      <c r="D11" s="498" t="str">
        <f>Parameters!S10</f>
        <v>Manufacturing</v>
      </c>
      <c r="E11" s="499"/>
      <c r="F11" s="222"/>
      <c r="G11" s="379"/>
      <c r="H11" s="223"/>
      <c r="I11" s="379"/>
      <c r="J11" s="223"/>
      <c r="K11" s="379"/>
      <c r="L11" s="223"/>
      <c r="M11" s="379"/>
      <c r="N11" s="223"/>
      <c r="O11" s="379"/>
      <c r="P11" s="223"/>
      <c r="Q11" s="379"/>
      <c r="R11" s="223"/>
      <c r="S11" s="379"/>
      <c r="T11" s="223"/>
      <c r="U11" s="379"/>
      <c r="V11" s="223"/>
      <c r="W11" s="379"/>
      <c r="X11" s="223"/>
      <c r="Y11" s="379"/>
      <c r="Z11" s="223"/>
      <c r="AA11" s="379"/>
      <c r="AB11" s="223"/>
      <c r="AC11" s="379"/>
      <c r="AD11" s="223"/>
      <c r="AE11" s="379"/>
      <c r="AF11" s="164">
        <v>2522.1708281000001</v>
      </c>
      <c r="AG11" s="379"/>
      <c r="AH11" s="164">
        <v>1981.8070107999999</v>
      </c>
      <c r="AI11" s="379"/>
      <c r="AJ11" s="247">
        <v>2612.5708626000001</v>
      </c>
      <c r="AK11" s="379" t="s">
        <v>438</v>
      </c>
      <c r="AL11" s="164">
        <v>2673.3266445999998</v>
      </c>
      <c r="AM11" s="379"/>
      <c r="AN11" s="164">
        <v>1941.1883237</v>
      </c>
      <c r="AO11" s="379"/>
      <c r="AP11" s="164">
        <v>1768.4926499999999</v>
      </c>
      <c r="AQ11" s="379"/>
      <c r="AR11" s="247">
        <v>904.31898960000001</v>
      </c>
      <c r="AS11" s="379" t="s">
        <v>468</v>
      </c>
      <c r="AT11" s="164">
        <v>959.86829899999998</v>
      </c>
      <c r="AU11" s="379"/>
      <c r="AV11" s="164">
        <v>803.04316449999999</v>
      </c>
      <c r="AW11" s="379"/>
      <c r="AX11" s="164">
        <v>910.81372199999998</v>
      </c>
      <c r="AY11" s="379"/>
      <c r="AZ11" s="164">
        <v>968.64780189999999</v>
      </c>
      <c r="BA11" s="379"/>
      <c r="BB11" s="164">
        <v>998.18737969999995</v>
      </c>
      <c r="BC11" s="379"/>
      <c r="BD11" s="164">
        <v>1091.1414399</v>
      </c>
      <c r="BE11" s="379"/>
      <c r="BF11" s="164">
        <v>1071.2223882000001</v>
      </c>
      <c r="BG11" s="379"/>
      <c r="BH11" s="223"/>
      <c r="BI11" s="184"/>
      <c r="CJ11" s="150"/>
      <c r="CK11" s="150"/>
      <c r="CL11" s="150"/>
      <c r="CM11" s="151" t="s">
        <v>273</v>
      </c>
      <c r="CN11" s="150" t="s">
        <v>1130</v>
      </c>
      <c r="CO11" s="150"/>
      <c r="CP11" s="150"/>
      <c r="CQ11" s="150"/>
      <c r="CR11" s="150"/>
      <c r="CS11" s="150"/>
      <c r="CT11" s="150"/>
    </row>
    <row r="12" spans="1:98" s="10" customFormat="1" ht="12.75" customHeight="1">
      <c r="A12" s="26"/>
      <c r="B12" s="89" t="str">
        <f>Parameters!Q11</f>
        <v>C10-C12</v>
      </c>
      <c r="C12" s="90"/>
      <c r="D12" s="504" t="str">
        <f>Parameters!S11</f>
        <v>Manufacture of food products, beverages and tobacco
products</v>
      </c>
      <c r="E12" s="505"/>
      <c r="F12" s="226"/>
      <c r="G12" s="379"/>
      <c r="H12" s="227"/>
      <c r="I12" s="379"/>
      <c r="J12" s="227"/>
      <c r="K12" s="379"/>
      <c r="L12" s="227"/>
      <c r="M12" s="379"/>
      <c r="N12" s="227"/>
      <c r="O12" s="379"/>
      <c r="P12" s="227"/>
      <c r="Q12" s="379"/>
      <c r="R12" s="227"/>
      <c r="S12" s="379"/>
      <c r="T12" s="227"/>
      <c r="U12" s="379"/>
      <c r="V12" s="227"/>
      <c r="W12" s="379"/>
      <c r="X12" s="227"/>
      <c r="Y12" s="379"/>
      <c r="Z12" s="227"/>
      <c r="AA12" s="379"/>
      <c r="AB12" s="227"/>
      <c r="AC12" s="379"/>
      <c r="AD12" s="227"/>
      <c r="AE12" s="379"/>
      <c r="AF12" s="166">
        <v>2.1283580999999998</v>
      </c>
      <c r="AG12" s="379"/>
      <c r="AH12" s="166">
        <v>1.8600738999999999</v>
      </c>
      <c r="AI12" s="379"/>
      <c r="AJ12" s="166">
        <v>51.2184904</v>
      </c>
      <c r="AK12" s="379"/>
      <c r="AL12" s="166">
        <v>47.945421400000001</v>
      </c>
      <c r="AM12" s="379"/>
      <c r="AN12" s="166">
        <v>22.245660600000001</v>
      </c>
      <c r="AO12" s="379"/>
      <c r="AP12" s="166">
        <v>26.7704919</v>
      </c>
      <c r="AQ12" s="379"/>
      <c r="AR12" s="166">
        <v>18.7418777</v>
      </c>
      <c r="AS12" s="379"/>
      <c r="AT12" s="166">
        <v>9.4471778999999998</v>
      </c>
      <c r="AU12" s="379"/>
      <c r="AV12" s="166">
        <v>7.3547292000000004</v>
      </c>
      <c r="AW12" s="379"/>
      <c r="AX12" s="166">
        <v>14.1714819</v>
      </c>
      <c r="AY12" s="379"/>
      <c r="AZ12" s="166">
        <v>14.496808400000001</v>
      </c>
      <c r="BA12" s="379"/>
      <c r="BB12" s="166">
        <v>20.2470702</v>
      </c>
      <c r="BC12" s="379"/>
      <c r="BD12" s="166">
        <v>22.274027700000001</v>
      </c>
      <c r="BE12" s="379"/>
      <c r="BF12" s="166">
        <v>10.330852800000001</v>
      </c>
      <c r="BG12" s="379"/>
      <c r="BH12" s="227"/>
      <c r="BI12" s="184"/>
      <c r="CJ12" s="150"/>
      <c r="CK12" s="150"/>
      <c r="CL12" s="150"/>
      <c r="CM12" s="152" t="s">
        <v>1135</v>
      </c>
      <c r="CN12" s="150" t="s">
        <v>1130</v>
      </c>
      <c r="CO12" s="150"/>
      <c r="CP12" s="150"/>
      <c r="CQ12" s="150"/>
      <c r="CR12" s="150"/>
      <c r="CS12" s="150"/>
      <c r="CT12" s="150"/>
    </row>
    <row r="13" spans="1:98" s="10" customFormat="1" ht="12.75" customHeight="1">
      <c r="A13" s="26"/>
      <c r="B13" s="89" t="str">
        <f>Parameters!Q12</f>
        <v>C13-C15</v>
      </c>
      <c r="C13" s="90"/>
      <c r="D13" s="504" t="str">
        <f>Parameters!S12</f>
        <v>Manufacture of textiles, wearing apparel and leather products</v>
      </c>
      <c r="E13" s="506"/>
      <c r="F13" s="226"/>
      <c r="G13" s="379"/>
      <c r="H13" s="227"/>
      <c r="I13" s="379"/>
      <c r="J13" s="227"/>
      <c r="K13" s="379"/>
      <c r="L13" s="227"/>
      <c r="M13" s="379"/>
      <c r="N13" s="227"/>
      <c r="O13" s="379"/>
      <c r="P13" s="227"/>
      <c r="Q13" s="379"/>
      <c r="R13" s="227"/>
      <c r="S13" s="379"/>
      <c r="T13" s="227"/>
      <c r="U13" s="379"/>
      <c r="V13" s="227"/>
      <c r="W13" s="379"/>
      <c r="X13" s="227"/>
      <c r="Y13" s="379"/>
      <c r="Z13" s="227"/>
      <c r="AA13" s="379"/>
      <c r="AB13" s="227"/>
      <c r="AC13" s="379"/>
      <c r="AD13" s="227"/>
      <c r="AE13" s="379"/>
      <c r="AF13" s="166">
        <v>4.0489999999999998E-2</v>
      </c>
      <c r="AG13" s="379"/>
      <c r="AH13" s="166">
        <v>3.08276E-2</v>
      </c>
      <c r="AI13" s="379"/>
      <c r="AJ13" s="166">
        <v>5.6311800000000002E-2</v>
      </c>
      <c r="AK13" s="379"/>
      <c r="AL13" s="166">
        <v>2.31682E-2</v>
      </c>
      <c r="AM13" s="379"/>
      <c r="AN13" s="166">
        <v>0.13316800000000001</v>
      </c>
      <c r="AO13" s="379"/>
      <c r="AP13" s="166">
        <v>4.5278800000000001E-2</v>
      </c>
      <c r="AQ13" s="379"/>
      <c r="AR13" s="166">
        <v>0.11179360000000001</v>
      </c>
      <c r="AS13" s="379"/>
      <c r="AT13" s="166">
        <v>3.4304500000000002E-2</v>
      </c>
      <c r="AU13" s="379"/>
      <c r="AV13" s="166">
        <v>0.19628860000000001</v>
      </c>
      <c r="AW13" s="379"/>
      <c r="AX13" s="166">
        <v>0.20444870000000001</v>
      </c>
      <c r="AY13" s="379"/>
      <c r="AZ13" s="166">
        <v>0.1200363</v>
      </c>
      <c r="BA13" s="379"/>
      <c r="BB13" s="166">
        <v>0.15543499999999999</v>
      </c>
      <c r="BC13" s="379"/>
      <c r="BD13" s="166">
        <v>0.26786080000000001</v>
      </c>
      <c r="BE13" s="379"/>
      <c r="BF13" s="166">
        <v>0.1596341</v>
      </c>
      <c r="BG13" s="379"/>
      <c r="BH13" s="227"/>
      <c r="BI13" s="184"/>
      <c r="CJ13" s="150"/>
      <c r="CK13" s="150"/>
      <c r="CL13" s="150"/>
      <c r="CM13" s="151" t="s">
        <v>1136</v>
      </c>
      <c r="CN13" s="150" t="s">
        <v>1130</v>
      </c>
      <c r="CO13" s="150"/>
      <c r="CP13" s="150"/>
      <c r="CQ13" s="150"/>
      <c r="CR13" s="150"/>
      <c r="CS13" s="150"/>
      <c r="CT13" s="150"/>
    </row>
    <row r="14" spans="1:98" s="10" customFormat="1">
      <c r="A14" s="26"/>
      <c r="B14" s="89" t="str">
        <f>Parameters!Q13</f>
        <v>C16-C18</v>
      </c>
      <c r="C14" s="90"/>
      <c r="D14" s="504" t="str">
        <f>Parameters!S13</f>
        <v>Manufacture of wood, paper, printing and reproduction</v>
      </c>
      <c r="E14" s="506"/>
      <c r="F14" s="252"/>
      <c r="G14" s="380"/>
      <c r="H14" s="253"/>
      <c r="I14" s="380"/>
      <c r="J14" s="253"/>
      <c r="K14" s="380"/>
      <c r="L14" s="253"/>
      <c r="M14" s="380"/>
      <c r="N14" s="253"/>
      <c r="O14" s="380"/>
      <c r="P14" s="253"/>
      <c r="Q14" s="380"/>
      <c r="R14" s="253"/>
      <c r="S14" s="380"/>
      <c r="T14" s="253"/>
      <c r="U14" s="380"/>
      <c r="V14" s="253"/>
      <c r="W14" s="380"/>
      <c r="X14" s="253"/>
      <c r="Y14" s="380"/>
      <c r="Z14" s="253"/>
      <c r="AA14" s="380"/>
      <c r="AB14" s="253"/>
      <c r="AC14" s="380"/>
      <c r="AD14" s="253"/>
      <c r="AE14" s="380"/>
      <c r="AF14" s="253">
        <v>2431.3731495000002</v>
      </c>
      <c r="AG14" s="380"/>
      <c r="AH14" s="253">
        <v>1858.1753289999999</v>
      </c>
      <c r="AI14" s="380"/>
      <c r="AJ14" s="253">
        <v>2432.0812765000001</v>
      </c>
      <c r="AK14" s="380"/>
      <c r="AL14" s="253">
        <v>2520.6898024000002</v>
      </c>
      <c r="AM14" s="380"/>
      <c r="AN14" s="253">
        <v>1756.2556864000001</v>
      </c>
      <c r="AO14" s="380"/>
      <c r="AP14" s="253">
        <v>1479.3224958999999</v>
      </c>
      <c r="AQ14" s="380"/>
      <c r="AR14" s="253">
        <v>587.69696390000001</v>
      </c>
      <c r="AS14" s="380"/>
      <c r="AT14" s="253">
        <v>643.00998949999996</v>
      </c>
      <c r="AU14" s="380"/>
      <c r="AV14" s="253">
        <v>583.10981070000003</v>
      </c>
      <c r="AW14" s="380"/>
      <c r="AX14" s="253">
        <v>691.87714900000003</v>
      </c>
      <c r="AY14" s="380"/>
      <c r="AZ14" s="253">
        <v>731.59192789999997</v>
      </c>
      <c r="BA14" s="380"/>
      <c r="BB14" s="253">
        <v>789.20732720000001</v>
      </c>
      <c r="BC14" s="380"/>
      <c r="BD14" s="253">
        <v>793.62602049999998</v>
      </c>
      <c r="BE14" s="380"/>
      <c r="BF14" s="253">
        <v>866.33595549999995</v>
      </c>
      <c r="BG14" s="380"/>
      <c r="BH14" s="253"/>
      <c r="BI14" s="254"/>
      <c r="CJ14" s="150"/>
      <c r="CK14" s="150"/>
      <c r="CL14" s="150"/>
      <c r="CM14" s="151"/>
      <c r="CN14" s="150"/>
      <c r="CO14" s="150"/>
      <c r="CP14" s="150"/>
      <c r="CQ14" s="150"/>
      <c r="CR14" s="150"/>
      <c r="CS14" s="150"/>
      <c r="CT14" s="150"/>
    </row>
    <row r="15" spans="1:98" s="12" customFormat="1" ht="22.5" customHeight="1">
      <c r="A15" s="310"/>
      <c r="B15" s="308" t="str">
        <f>Parameters!Q14</f>
        <v>C16</v>
      </c>
      <c r="C15" s="94"/>
      <c r="D15" s="495" t="str">
        <f>Parameters!S14</f>
        <v>Manufacture of wood and of products of wood and cork, except furniture; manufacture of articles of straw and plaiting materials</v>
      </c>
      <c r="E15" s="496"/>
      <c r="F15" s="224"/>
      <c r="G15" s="379"/>
      <c r="H15" s="225"/>
      <c r="I15" s="379"/>
      <c r="J15" s="225"/>
      <c r="K15" s="379"/>
      <c r="L15" s="225"/>
      <c r="M15" s="379"/>
      <c r="N15" s="225"/>
      <c r="O15" s="379"/>
      <c r="P15" s="225"/>
      <c r="Q15" s="379"/>
      <c r="R15" s="225"/>
      <c r="S15" s="379"/>
      <c r="T15" s="225"/>
      <c r="U15" s="379"/>
      <c r="V15" s="225"/>
      <c r="W15" s="379"/>
      <c r="X15" s="225"/>
      <c r="Y15" s="379"/>
      <c r="Z15" s="225"/>
      <c r="AA15" s="379"/>
      <c r="AB15" s="225"/>
      <c r="AC15" s="379"/>
      <c r="AD15" s="225"/>
      <c r="AE15" s="379"/>
      <c r="AF15" s="165">
        <v>281.90012189999999</v>
      </c>
      <c r="AG15" s="379"/>
      <c r="AH15" s="165">
        <v>248.3177657</v>
      </c>
      <c r="AI15" s="379"/>
      <c r="AJ15" s="165">
        <v>289.75524469999999</v>
      </c>
      <c r="AK15" s="379"/>
      <c r="AL15" s="165">
        <v>324.84016609999998</v>
      </c>
      <c r="AM15" s="379"/>
      <c r="AN15" s="165">
        <v>322.66874330000002</v>
      </c>
      <c r="AO15" s="379"/>
      <c r="AP15" s="165">
        <v>319.65323089999998</v>
      </c>
      <c r="AQ15" s="379"/>
      <c r="AR15" s="165">
        <v>303.99155330000002</v>
      </c>
      <c r="AS15" s="379"/>
      <c r="AT15" s="165">
        <v>346.51251350000001</v>
      </c>
      <c r="AU15" s="379"/>
      <c r="AV15" s="165">
        <v>312.6161482</v>
      </c>
      <c r="AW15" s="379"/>
      <c r="AX15" s="165">
        <v>303.58992710000001</v>
      </c>
      <c r="AY15" s="379"/>
      <c r="AZ15" s="165">
        <v>330.53654949999998</v>
      </c>
      <c r="BA15" s="379"/>
      <c r="BB15" s="165">
        <v>363.10280469999998</v>
      </c>
      <c r="BC15" s="379"/>
      <c r="BD15" s="165">
        <v>368.9344509</v>
      </c>
      <c r="BE15" s="379"/>
      <c r="BF15" s="165">
        <v>384.11703319999998</v>
      </c>
      <c r="BG15" s="379"/>
      <c r="BH15" s="225"/>
      <c r="BI15" s="184"/>
      <c r="CJ15" s="150"/>
      <c r="CK15" s="150"/>
      <c r="CL15" s="150"/>
      <c r="CM15" s="151" t="s">
        <v>703</v>
      </c>
      <c r="CN15" s="150" t="s">
        <v>1130</v>
      </c>
      <c r="CO15" s="150"/>
      <c r="CP15" s="150"/>
      <c r="CQ15" s="150"/>
      <c r="CR15" s="150"/>
      <c r="CS15" s="150"/>
      <c r="CT15" s="150"/>
    </row>
    <row r="16" spans="1:98" s="11" customFormat="1" ht="12.75" customHeight="1">
      <c r="A16" s="310"/>
      <c r="B16" s="308" t="str">
        <f>Parameters!Q15</f>
        <v>C17</v>
      </c>
      <c r="C16" s="309"/>
      <c r="D16" s="495" t="str">
        <f>Parameters!S15</f>
        <v>Manufacture of paper and paper products</v>
      </c>
      <c r="E16" s="510"/>
      <c r="F16" s="224"/>
      <c r="G16" s="379"/>
      <c r="H16" s="225"/>
      <c r="I16" s="379"/>
      <c r="J16" s="225"/>
      <c r="K16" s="379"/>
      <c r="L16" s="225"/>
      <c r="M16" s="379"/>
      <c r="N16" s="225"/>
      <c r="O16" s="379"/>
      <c r="P16" s="225"/>
      <c r="Q16" s="379"/>
      <c r="R16" s="225"/>
      <c r="S16" s="379"/>
      <c r="T16" s="225"/>
      <c r="U16" s="379"/>
      <c r="V16" s="225"/>
      <c r="W16" s="379"/>
      <c r="X16" s="225"/>
      <c r="Y16" s="379"/>
      <c r="Z16" s="225"/>
      <c r="AA16" s="379"/>
      <c r="AB16" s="225"/>
      <c r="AC16" s="379"/>
      <c r="AD16" s="225"/>
      <c r="AE16" s="379"/>
      <c r="AF16" s="165">
        <v>2149.4051549999999</v>
      </c>
      <c r="AG16" s="379"/>
      <c r="AH16" s="165">
        <v>1609.8188189</v>
      </c>
      <c r="AI16" s="379"/>
      <c r="AJ16" s="165">
        <v>2142.2636578000001</v>
      </c>
      <c r="AK16" s="379" t="s">
        <v>438</v>
      </c>
      <c r="AL16" s="165">
        <v>2195.7805489000002</v>
      </c>
      <c r="AM16" s="379"/>
      <c r="AN16" s="165">
        <v>1433.5407699</v>
      </c>
      <c r="AO16" s="379"/>
      <c r="AP16" s="165">
        <v>1159.6406824999999</v>
      </c>
      <c r="AQ16" s="379"/>
      <c r="AR16" s="165">
        <v>283.68310580000002</v>
      </c>
      <c r="AS16" s="379"/>
      <c r="AT16" s="165">
        <v>296.46467740000003</v>
      </c>
      <c r="AU16" s="379"/>
      <c r="AV16" s="165">
        <v>270.38046320000001</v>
      </c>
      <c r="AW16" s="379"/>
      <c r="AX16" s="165">
        <v>387.84857829999999</v>
      </c>
      <c r="AY16" s="379"/>
      <c r="AZ16" s="165">
        <v>400.91198320000001</v>
      </c>
      <c r="BA16" s="379"/>
      <c r="BB16" s="165">
        <v>425.88417989999999</v>
      </c>
      <c r="BC16" s="379"/>
      <c r="BD16" s="165">
        <v>424.51150269999999</v>
      </c>
      <c r="BE16" s="379"/>
      <c r="BF16" s="165">
        <v>482.12026300000002</v>
      </c>
      <c r="BG16" s="379"/>
      <c r="BH16" s="225"/>
      <c r="BI16" s="184"/>
      <c r="CJ16" s="150"/>
      <c r="CK16" s="150"/>
      <c r="CL16" s="150"/>
      <c r="CM16" s="151" t="s">
        <v>707</v>
      </c>
      <c r="CN16" s="150" t="s">
        <v>1130</v>
      </c>
      <c r="CO16" s="150"/>
      <c r="CP16" s="150"/>
      <c r="CQ16" s="150"/>
      <c r="CR16" s="150"/>
      <c r="CS16" s="150"/>
      <c r="CT16" s="150"/>
    </row>
    <row r="17" spans="1:98" s="11" customFormat="1" ht="12.75" customHeight="1">
      <c r="A17" s="310"/>
      <c r="B17" s="308" t="str">
        <f>Parameters!Q16</f>
        <v>C18</v>
      </c>
      <c r="C17" s="309"/>
      <c r="D17" s="495" t="str">
        <f>Parameters!S16</f>
        <v>Printing and reproduction of recorded media</v>
      </c>
      <c r="E17" s="510"/>
      <c r="F17" s="224"/>
      <c r="G17" s="379"/>
      <c r="H17" s="225"/>
      <c r="I17" s="379"/>
      <c r="J17" s="225"/>
      <c r="K17" s="379"/>
      <c r="L17" s="225"/>
      <c r="M17" s="379"/>
      <c r="N17" s="225"/>
      <c r="O17" s="379"/>
      <c r="P17" s="225"/>
      <c r="Q17" s="379"/>
      <c r="R17" s="225"/>
      <c r="S17" s="379"/>
      <c r="T17" s="225"/>
      <c r="U17" s="379"/>
      <c r="V17" s="225"/>
      <c r="W17" s="379"/>
      <c r="X17" s="225"/>
      <c r="Y17" s="379"/>
      <c r="Z17" s="225"/>
      <c r="AA17" s="379"/>
      <c r="AB17" s="225"/>
      <c r="AC17" s="379"/>
      <c r="AD17" s="225"/>
      <c r="AE17" s="379"/>
      <c r="AF17" s="165">
        <v>6.7872600000000005E-2</v>
      </c>
      <c r="AG17" s="379"/>
      <c r="AH17" s="165">
        <v>3.8744399999999998E-2</v>
      </c>
      <c r="AI17" s="379"/>
      <c r="AJ17" s="165">
        <v>6.2374100000000002E-2</v>
      </c>
      <c r="AK17" s="379"/>
      <c r="AL17" s="165">
        <v>6.9087399999999993E-2</v>
      </c>
      <c r="AM17" s="379"/>
      <c r="AN17" s="165">
        <v>4.6173199999999998E-2</v>
      </c>
      <c r="AO17" s="379"/>
      <c r="AP17" s="165">
        <v>2.85825E-2</v>
      </c>
      <c r="AQ17" s="379"/>
      <c r="AR17" s="165">
        <v>2.23048E-2</v>
      </c>
      <c r="AS17" s="379"/>
      <c r="AT17" s="165">
        <v>3.2798599999999997E-2</v>
      </c>
      <c r="AU17" s="379"/>
      <c r="AV17" s="165">
        <v>0.1131993</v>
      </c>
      <c r="AW17" s="379"/>
      <c r="AX17" s="165">
        <v>0.43864360000000002</v>
      </c>
      <c r="AY17" s="379"/>
      <c r="AZ17" s="165">
        <v>0.1433952</v>
      </c>
      <c r="BA17" s="379"/>
      <c r="BB17" s="165">
        <v>0.2203425</v>
      </c>
      <c r="BC17" s="379"/>
      <c r="BD17" s="165">
        <v>0.1800669</v>
      </c>
      <c r="BE17" s="379"/>
      <c r="BF17" s="165">
        <v>9.8659300000000005E-2</v>
      </c>
      <c r="BG17" s="379"/>
      <c r="BH17" s="225"/>
      <c r="BI17" s="184"/>
      <c r="CJ17" s="150"/>
      <c r="CK17" s="150"/>
      <c r="CL17" s="150"/>
      <c r="CM17" s="151" t="s">
        <v>711</v>
      </c>
      <c r="CN17" s="150" t="s">
        <v>1130</v>
      </c>
      <c r="CO17" s="150"/>
      <c r="CP17" s="150"/>
      <c r="CQ17" s="150"/>
      <c r="CR17" s="150"/>
      <c r="CS17" s="150"/>
      <c r="CT17" s="150"/>
    </row>
    <row r="18" spans="1:98" s="12" customFormat="1" ht="12.75" customHeight="1">
      <c r="A18" s="26"/>
      <c r="B18" s="89" t="str">
        <f>Parameters!Q17</f>
        <v>C19</v>
      </c>
      <c r="C18" s="90"/>
      <c r="D18" s="504" t="str">
        <f>Parameters!S17</f>
        <v>Manufacture of coke and refined petroleum products</v>
      </c>
      <c r="E18" s="505"/>
      <c r="F18" s="226"/>
      <c r="G18" s="379"/>
      <c r="H18" s="227"/>
      <c r="I18" s="379"/>
      <c r="J18" s="227"/>
      <c r="K18" s="379"/>
      <c r="L18" s="227"/>
      <c r="M18" s="379"/>
      <c r="N18" s="227"/>
      <c r="O18" s="379"/>
      <c r="P18" s="227"/>
      <c r="Q18" s="379"/>
      <c r="R18" s="227"/>
      <c r="S18" s="379"/>
      <c r="T18" s="227"/>
      <c r="U18" s="379"/>
      <c r="V18" s="227"/>
      <c r="W18" s="379"/>
      <c r="X18" s="227"/>
      <c r="Y18" s="379"/>
      <c r="Z18" s="227"/>
      <c r="AA18" s="379"/>
      <c r="AB18" s="227"/>
      <c r="AC18" s="379"/>
      <c r="AD18" s="227"/>
      <c r="AE18" s="379"/>
      <c r="AF18" s="166">
        <v>61.098180200000002</v>
      </c>
      <c r="AG18" s="379" t="s">
        <v>387</v>
      </c>
      <c r="AH18" s="166">
        <v>64.058284799999996</v>
      </c>
      <c r="AI18" s="379" t="s">
        <v>387</v>
      </c>
      <c r="AJ18" s="166">
        <v>46.8574555</v>
      </c>
      <c r="AK18" s="379" t="s">
        <v>387</v>
      </c>
      <c r="AL18" s="166">
        <v>35.807256899999999</v>
      </c>
      <c r="AM18" s="379" t="s">
        <v>387</v>
      </c>
      <c r="AN18" s="166">
        <v>96.184070199999994</v>
      </c>
      <c r="AO18" s="379" t="s">
        <v>387</v>
      </c>
      <c r="AP18" s="244">
        <v>185.00192799999999</v>
      </c>
      <c r="AQ18" s="379" t="s">
        <v>448</v>
      </c>
      <c r="AR18" s="166">
        <v>216.97656180000001</v>
      </c>
      <c r="AS18" s="379" t="s">
        <v>387</v>
      </c>
      <c r="AT18" s="166">
        <v>227.85738069999999</v>
      </c>
      <c r="AU18" s="379" t="s">
        <v>387</v>
      </c>
      <c r="AV18" s="166">
        <v>145.1195755</v>
      </c>
      <c r="AW18" s="379" t="s">
        <v>387</v>
      </c>
      <c r="AX18" s="166">
        <v>135.6988222</v>
      </c>
      <c r="AY18" s="379" t="s">
        <v>387</v>
      </c>
      <c r="AZ18" s="166">
        <v>160.12766500000001</v>
      </c>
      <c r="BA18" s="379" t="s">
        <v>387</v>
      </c>
      <c r="BB18" s="166">
        <v>123.9950499</v>
      </c>
      <c r="BC18" s="379" t="s">
        <v>387</v>
      </c>
      <c r="BD18" s="166">
        <v>219.62851699999999</v>
      </c>
      <c r="BE18" s="379" t="s">
        <v>387</v>
      </c>
      <c r="BF18" s="166">
        <v>135.18658389999999</v>
      </c>
      <c r="BG18" s="379" t="s">
        <v>387</v>
      </c>
      <c r="BH18" s="227"/>
      <c r="BI18" s="184"/>
      <c r="CJ18" s="150"/>
      <c r="CK18" s="150"/>
      <c r="CL18" s="150"/>
      <c r="CM18" s="151" t="s">
        <v>716</v>
      </c>
      <c r="CN18" s="150" t="s">
        <v>1130</v>
      </c>
      <c r="CO18" s="150"/>
      <c r="CP18" s="150"/>
      <c r="CQ18" s="150"/>
      <c r="CR18" s="150"/>
      <c r="CS18" s="150"/>
      <c r="CT18" s="150"/>
    </row>
    <row r="19" spans="1:98" s="11" customFormat="1" ht="12.75" customHeight="1">
      <c r="A19" s="26"/>
      <c r="B19" s="89" t="str">
        <f>Parameters!Q18</f>
        <v>C20</v>
      </c>
      <c r="C19" s="90"/>
      <c r="D19" s="504" t="str">
        <f>Parameters!S18</f>
        <v>Manufacture of chemicals and chemical products</v>
      </c>
      <c r="E19" s="505"/>
      <c r="F19" s="226"/>
      <c r="G19" s="379"/>
      <c r="H19" s="227"/>
      <c r="I19" s="379"/>
      <c r="J19" s="227"/>
      <c r="K19" s="379"/>
      <c r="L19" s="227"/>
      <c r="M19" s="379"/>
      <c r="N19" s="227"/>
      <c r="O19" s="379"/>
      <c r="P19" s="227"/>
      <c r="Q19" s="379"/>
      <c r="R19" s="227"/>
      <c r="S19" s="379"/>
      <c r="T19" s="227"/>
      <c r="U19" s="379"/>
      <c r="V19" s="227"/>
      <c r="W19" s="379"/>
      <c r="X19" s="227"/>
      <c r="Y19" s="379"/>
      <c r="Z19" s="227"/>
      <c r="AA19" s="379"/>
      <c r="AB19" s="227"/>
      <c r="AC19" s="379"/>
      <c r="AD19" s="227"/>
      <c r="AE19" s="379"/>
      <c r="AF19" s="166">
        <v>0</v>
      </c>
      <c r="AG19" s="379" t="s">
        <v>387</v>
      </c>
      <c r="AH19" s="166">
        <v>0</v>
      </c>
      <c r="AI19" s="379" t="s">
        <v>387</v>
      </c>
      <c r="AJ19" s="166">
        <v>0</v>
      </c>
      <c r="AK19" s="379" t="s">
        <v>387</v>
      </c>
      <c r="AL19" s="166">
        <v>0</v>
      </c>
      <c r="AM19" s="379" t="s">
        <v>387</v>
      </c>
      <c r="AN19" s="166">
        <v>0</v>
      </c>
      <c r="AO19" s="379" t="s">
        <v>387</v>
      </c>
      <c r="AP19" s="166">
        <v>0</v>
      </c>
      <c r="AQ19" s="379" t="s">
        <v>387</v>
      </c>
      <c r="AR19" s="166">
        <v>0</v>
      </c>
      <c r="AS19" s="379" t="s">
        <v>387</v>
      </c>
      <c r="AT19" s="166">
        <v>0</v>
      </c>
      <c r="AU19" s="379" t="s">
        <v>387</v>
      </c>
      <c r="AV19" s="166">
        <v>0</v>
      </c>
      <c r="AW19" s="379" t="s">
        <v>387</v>
      </c>
      <c r="AX19" s="166">
        <v>0</v>
      </c>
      <c r="AY19" s="379" t="s">
        <v>387</v>
      </c>
      <c r="AZ19" s="166">
        <v>0</v>
      </c>
      <c r="BA19" s="379" t="s">
        <v>387</v>
      </c>
      <c r="BB19" s="166">
        <v>0</v>
      </c>
      <c r="BC19" s="379" t="s">
        <v>387</v>
      </c>
      <c r="BD19" s="166">
        <v>0</v>
      </c>
      <c r="BE19" s="379" t="s">
        <v>387</v>
      </c>
      <c r="BF19" s="166">
        <v>0</v>
      </c>
      <c r="BG19" s="379" t="s">
        <v>387</v>
      </c>
      <c r="BH19" s="227"/>
      <c r="BI19" s="184"/>
      <c r="CJ19" s="150"/>
      <c r="CK19" s="150"/>
      <c r="CL19" s="150"/>
      <c r="CM19" s="151" t="s">
        <v>723</v>
      </c>
      <c r="CN19" s="150" t="s">
        <v>1130</v>
      </c>
      <c r="CO19" s="150"/>
      <c r="CP19" s="150"/>
      <c r="CQ19" s="150"/>
      <c r="CR19" s="150"/>
      <c r="CS19" s="150"/>
      <c r="CT19" s="150"/>
    </row>
    <row r="20" spans="1:98" s="11" customFormat="1" ht="12.75" customHeight="1">
      <c r="A20" s="26"/>
      <c r="B20" s="89" t="str">
        <f>Parameters!Q19</f>
        <v>C21</v>
      </c>
      <c r="C20" s="90"/>
      <c r="D20" s="504" t="str">
        <f>Parameters!S19</f>
        <v>Manufacture of basic pharmaceutical products and pharmaceutical preparations</v>
      </c>
      <c r="E20" s="505"/>
      <c r="F20" s="226"/>
      <c r="G20" s="379"/>
      <c r="H20" s="227"/>
      <c r="I20" s="379"/>
      <c r="J20" s="227"/>
      <c r="K20" s="379"/>
      <c r="L20" s="227"/>
      <c r="M20" s="379"/>
      <c r="N20" s="227"/>
      <c r="O20" s="379"/>
      <c r="P20" s="227"/>
      <c r="Q20" s="379"/>
      <c r="R20" s="227"/>
      <c r="S20" s="379"/>
      <c r="T20" s="227"/>
      <c r="U20" s="379"/>
      <c r="V20" s="227"/>
      <c r="W20" s="379"/>
      <c r="X20" s="227"/>
      <c r="Y20" s="379"/>
      <c r="Z20" s="227"/>
      <c r="AA20" s="379"/>
      <c r="AB20" s="227"/>
      <c r="AC20" s="379"/>
      <c r="AD20" s="227"/>
      <c r="AE20" s="379"/>
      <c r="AF20" s="166">
        <v>0</v>
      </c>
      <c r="AG20" s="379" t="s">
        <v>387</v>
      </c>
      <c r="AH20" s="166">
        <v>0</v>
      </c>
      <c r="AI20" s="379" t="s">
        <v>387</v>
      </c>
      <c r="AJ20" s="166">
        <v>0</v>
      </c>
      <c r="AK20" s="379" t="s">
        <v>387</v>
      </c>
      <c r="AL20" s="166">
        <v>0</v>
      </c>
      <c r="AM20" s="379" t="s">
        <v>387</v>
      </c>
      <c r="AN20" s="166">
        <v>0</v>
      </c>
      <c r="AO20" s="379" t="s">
        <v>387</v>
      </c>
      <c r="AP20" s="166">
        <v>0</v>
      </c>
      <c r="AQ20" s="379" t="s">
        <v>387</v>
      </c>
      <c r="AR20" s="166">
        <v>0</v>
      </c>
      <c r="AS20" s="379" t="s">
        <v>387</v>
      </c>
      <c r="AT20" s="166">
        <v>0</v>
      </c>
      <c r="AU20" s="379" t="s">
        <v>387</v>
      </c>
      <c r="AV20" s="166">
        <v>0</v>
      </c>
      <c r="AW20" s="379" t="s">
        <v>387</v>
      </c>
      <c r="AX20" s="166">
        <v>0</v>
      </c>
      <c r="AY20" s="379" t="s">
        <v>387</v>
      </c>
      <c r="AZ20" s="166">
        <v>0</v>
      </c>
      <c r="BA20" s="379" t="s">
        <v>387</v>
      </c>
      <c r="BB20" s="166">
        <v>0</v>
      </c>
      <c r="BC20" s="379" t="s">
        <v>387</v>
      </c>
      <c r="BD20" s="166">
        <v>0</v>
      </c>
      <c r="BE20" s="379" t="s">
        <v>387</v>
      </c>
      <c r="BF20" s="166">
        <v>0</v>
      </c>
      <c r="BG20" s="379" t="s">
        <v>387</v>
      </c>
      <c r="BH20" s="227"/>
      <c r="BI20" s="184"/>
      <c r="CJ20" s="150"/>
      <c r="CK20" s="150"/>
      <c r="CL20" s="150"/>
      <c r="CM20" s="151" t="s">
        <v>728</v>
      </c>
      <c r="CN20" s="150" t="s">
        <v>1130</v>
      </c>
      <c r="CO20" s="150"/>
      <c r="CP20" s="150"/>
      <c r="CQ20" s="150"/>
      <c r="CR20" s="150"/>
      <c r="CS20" s="150"/>
      <c r="CT20" s="150"/>
    </row>
    <row r="21" spans="1:98" s="11" customFormat="1" ht="12.75" customHeight="1">
      <c r="A21" s="26"/>
      <c r="B21" s="89" t="str">
        <f>Parameters!Q20</f>
        <v>C22_C23</v>
      </c>
      <c r="C21" s="90"/>
      <c r="D21" s="504" t="str">
        <f>Parameters!S20</f>
        <v>Manufacture of rubber and plastic products and other non-metallic mineral products</v>
      </c>
      <c r="E21" s="506"/>
      <c r="F21" s="252"/>
      <c r="G21" s="380"/>
      <c r="H21" s="253"/>
      <c r="I21" s="380"/>
      <c r="J21" s="253"/>
      <c r="K21" s="380"/>
      <c r="L21" s="253"/>
      <c r="M21" s="380"/>
      <c r="N21" s="253"/>
      <c r="O21" s="380"/>
      <c r="P21" s="253"/>
      <c r="Q21" s="380"/>
      <c r="R21" s="253"/>
      <c r="S21" s="380"/>
      <c r="T21" s="253"/>
      <c r="U21" s="380"/>
      <c r="V21" s="253"/>
      <c r="W21" s="380"/>
      <c r="X21" s="253"/>
      <c r="Y21" s="380"/>
      <c r="Z21" s="253"/>
      <c r="AA21" s="380"/>
      <c r="AB21" s="253"/>
      <c r="AC21" s="380"/>
      <c r="AD21" s="253"/>
      <c r="AE21" s="380"/>
      <c r="AF21" s="253">
        <v>17.1538024</v>
      </c>
      <c r="AG21" s="380"/>
      <c r="AH21" s="253">
        <v>20.4917765</v>
      </c>
      <c r="AI21" s="380"/>
      <c r="AJ21" s="253">
        <v>52.617774900000001</v>
      </c>
      <c r="AK21" s="380"/>
      <c r="AL21" s="253">
        <v>57.705746900000001</v>
      </c>
      <c r="AM21" s="380"/>
      <c r="AN21" s="253">
        <v>52.8543357</v>
      </c>
      <c r="AO21" s="380"/>
      <c r="AP21" s="253">
        <v>62.379367999999999</v>
      </c>
      <c r="AQ21" s="380"/>
      <c r="AR21" s="253">
        <v>70.113708099999997</v>
      </c>
      <c r="AS21" s="380"/>
      <c r="AT21" s="253">
        <v>70.628863899999999</v>
      </c>
      <c r="AU21" s="380"/>
      <c r="AV21" s="253">
        <v>60.731220700000002</v>
      </c>
      <c r="AW21" s="380"/>
      <c r="AX21" s="253">
        <v>58.826331600000003</v>
      </c>
      <c r="AY21" s="380"/>
      <c r="AZ21" s="253">
        <v>52.822433699999998</v>
      </c>
      <c r="BA21" s="380"/>
      <c r="BB21" s="253">
        <v>52.728112899999999</v>
      </c>
      <c r="BC21" s="380"/>
      <c r="BD21" s="253">
        <v>43.6629991</v>
      </c>
      <c r="BE21" s="380"/>
      <c r="BF21" s="253">
        <v>48.778635999999999</v>
      </c>
      <c r="BG21" s="380"/>
      <c r="BH21" s="253"/>
      <c r="BI21" s="254"/>
      <c r="CJ21" s="150"/>
      <c r="CK21" s="150"/>
      <c r="CL21" s="150"/>
      <c r="CM21" s="151"/>
      <c r="CN21" s="150"/>
      <c r="CO21" s="150"/>
      <c r="CP21" s="150"/>
      <c r="CQ21" s="150"/>
      <c r="CR21" s="150"/>
      <c r="CS21" s="150"/>
      <c r="CT21" s="150"/>
    </row>
    <row r="22" spans="1:98" s="12" customFormat="1" ht="12.75" customHeight="1">
      <c r="A22" s="310"/>
      <c r="B22" s="308" t="str">
        <f>Parameters!Q21</f>
        <v>C22</v>
      </c>
      <c r="C22" s="96"/>
      <c r="D22" s="495" t="str">
        <f>Parameters!S21</f>
        <v>Manufacture of rubber and plastic products</v>
      </c>
      <c r="E22" s="496"/>
      <c r="F22" s="224"/>
      <c r="G22" s="379"/>
      <c r="H22" s="225"/>
      <c r="I22" s="379"/>
      <c r="J22" s="225"/>
      <c r="K22" s="379"/>
      <c r="L22" s="225"/>
      <c r="M22" s="379"/>
      <c r="N22" s="225"/>
      <c r="O22" s="379"/>
      <c r="P22" s="225"/>
      <c r="Q22" s="379"/>
      <c r="R22" s="225"/>
      <c r="S22" s="379"/>
      <c r="T22" s="225"/>
      <c r="U22" s="379"/>
      <c r="V22" s="225"/>
      <c r="W22" s="379"/>
      <c r="X22" s="225"/>
      <c r="Y22" s="379"/>
      <c r="Z22" s="225"/>
      <c r="AA22" s="379"/>
      <c r="AB22" s="225"/>
      <c r="AC22" s="379"/>
      <c r="AD22" s="225"/>
      <c r="AE22" s="379"/>
      <c r="AF22" s="165">
        <v>0.14646770000000001</v>
      </c>
      <c r="AG22" s="379"/>
      <c r="AH22" s="165">
        <v>0.15902959999999999</v>
      </c>
      <c r="AI22" s="379"/>
      <c r="AJ22" s="165">
        <v>1.3146544</v>
      </c>
      <c r="AK22" s="379"/>
      <c r="AL22" s="165">
        <v>1.0270668999999999</v>
      </c>
      <c r="AM22" s="379"/>
      <c r="AN22" s="165">
        <v>0.2171672</v>
      </c>
      <c r="AO22" s="379"/>
      <c r="AP22" s="165">
        <v>2.1183405999999998</v>
      </c>
      <c r="AQ22" s="379"/>
      <c r="AR22" s="165">
        <v>5.2519238000000001</v>
      </c>
      <c r="AS22" s="379"/>
      <c r="AT22" s="165">
        <v>7.9525134</v>
      </c>
      <c r="AU22" s="379"/>
      <c r="AV22" s="165">
        <v>7.7789153999999998</v>
      </c>
      <c r="AW22" s="379"/>
      <c r="AX22" s="165">
        <v>0.75520600000000004</v>
      </c>
      <c r="AY22" s="379"/>
      <c r="AZ22" s="165">
        <v>0.99876319999999996</v>
      </c>
      <c r="BA22" s="379"/>
      <c r="BB22" s="165">
        <v>1.5933248</v>
      </c>
      <c r="BC22" s="379"/>
      <c r="BD22" s="165">
        <v>1.9958605</v>
      </c>
      <c r="BE22" s="379"/>
      <c r="BF22" s="165">
        <v>2.1192852000000002</v>
      </c>
      <c r="BG22" s="379"/>
      <c r="BH22" s="225"/>
      <c r="BI22" s="184"/>
      <c r="CJ22" s="150"/>
      <c r="CK22" s="150"/>
      <c r="CL22" s="150"/>
      <c r="CM22" s="151" t="s">
        <v>739</v>
      </c>
      <c r="CN22" s="150" t="s">
        <v>1130</v>
      </c>
      <c r="CO22" s="150"/>
      <c r="CP22" s="150"/>
      <c r="CQ22" s="150"/>
      <c r="CR22" s="150"/>
      <c r="CS22" s="150"/>
      <c r="CT22" s="150"/>
    </row>
    <row r="23" spans="1:98" s="12" customFormat="1" ht="12.75" customHeight="1">
      <c r="A23" s="310"/>
      <c r="B23" s="308" t="str">
        <f>Parameters!Q22</f>
        <v>C23</v>
      </c>
      <c r="C23" s="96"/>
      <c r="D23" s="495" t="str">
        <f>Parameters!S22</f>
        <v>Manufacture of other non-metallic mineral products</v>
      </c>
      <c r="E23" s="510"/>
      <c r="F23" s="224"/>
      <c r="G23" s="379"/>
      <c r="H23" s="225"/>
      <c r="I23" s="379"/>
      <c r="J23" s="225"/>
      <c r="K23" s="379"/>
      <c r="L23" s="225"/>
      <c r="M23" s="379"/>
      <c r="N23" s="225"/>
      <c r="O23" s="379"/>
      <c r="P23" s="225"/>
      <c r="Q23" s="379"/>
      <c r="R23" s="225"/>
      <c r="S23" s="379"/>
      <c r="T23" s="225"/>
      <c r="U23" s="379"/>
      <c r="V23" s="225"/>
      <c r="W23" s="379"/>
      <c r="X23" s="225"/>
      <c r="Y23" s="379"/>
      <c r="Z23" s="225"/>
      <c r="AA23" s="379"/>
      <c r="AB23" s="225"/>
      <c r="AC23" s="379"/>
      <c r="AD23" s="225"/>
      <c r="AE23" s="379"/>
      <c r="AF23" s="165">
        <v>17.007334700000001</v>
      </c>
      <c r="AG23" s="379"/>
      <c r="AH23" s="165">
        <v>20.332747000000001</v>
      </c>
      <c r="AI23" s="379"/>
      <c r="AJ23" s="165">
        <v>51.303120499999999</v>
      </c>
      <c r="AK23" s="379"/>
      <c r="AL23" s="165">
        <v>56.678680100000001</v>
      </c>
      <c r="AM23" s="379"/>
      <c r="AN23" s="165">
        <v>52.637168600000003</v>
      </c>
      <c r="AO23" s="379"/>
      <c r="AP23" s="165">
        <v>60.261027400000003</v>
      </c>
      <c r="AQ23" s="379"/>
      <c r="AR23" s="165">
        <v>64.861784299999997</v>
      </c>
      <c r="AS23" s="379"/>
      <c r="AT23" s="165">
        <v>62.676350499999998</v>
      </c>
      <c r="AU23" s="379"/>
      <c r="AV23" s="165">
        <v>52.952305299999999</v>
      </c>
      <c r="AW23" s="379"/>
      <c r="AX23" s="165">
        <v>58.071125600000002</v>
      </c>
      <c r="AY23" s="379"/>
      <c r="AZ23" s="165">
        <v>51.823670499999999</v>
      </c>
      <c r="BA23" s="379"/>
      <c r="BB23" s="165">
        <v>51.134788100000002</v>
      </c>
      <c r="BC23" s="379"/>
      <c r="BD23" s="165">
        <v>41.667138600000001</v>
      </c>
      <c r="BE23" s="379"/>
      <c r="BF23" s="165">
        <v>46.659350799999999</v>
      </c>
      <c r="BG23" s="379"/>
      <c r="BH23" s="225"/>
      <c r="BI23" s="184"/>
      <c r="CJ23" s="150"/>
      <c r="CK23" s="150"/>
      <c r="CL23" s="150"/>
      <c r="CM23" s="151" t="s">
        <v>743</v>
      </c>
      <c r="CN23" s="150" t="s">
        <v>1130</v>
      </c>
      <c r="CO23" s="150"/>
      <c r="CP23" s="150"/>
      <c r="CQ23" s="150"/>
      <c r="CR23" s="150"/>
      <c r="CS23" s="150"/>
      <c r="CT23" s="150"/>
    </row>
    <row r="24" spans="1:98" s="12" customFormat="1" ht="24.75" customHeight="1">
      <c r="A24" s="26"/>
      <c r="B24" s="89" t="str">
        <f>Parameters!Q23</f>
        <v>C24_C25</v>
      </c>
      <c r="C24" s="90"/>
      <c r="D24" s="504" t="str">
        <f>Parameters!S23</f>
        <v>Manufacture of basic metals and fabricated metal products, except machinery and equipment</v>
      </c>
      <c r="E24" s="506"/>
      <c r="F24" s="252"/>
      <c r="G24" s="380"/>
      <c r="H24" s="253"/>
      <c r="I24" s="380"/>
      <c r="J24" s="253"/>
      <c r="K24" s="380"/>
      <c r="L24" s="253"/>
      <c r="M24" s="380"/>
      <c r="N24" s="253"/>
      <c r="O24" s="380"/>
      <c r="P24" s="253"/>
      <c r="Q24" s="380"/>
      <c r="R24" s="253"/>
      <c r="S24" s="380"/>
      <c r="T24" s="253"/>
      <c r="U24" s="380"/>
      <c r="V24" s="253"/>
      <c r="W24" s="380"/>
      <c r="X24" s="253"/>
      <c r="Y24" s="380"/>
      <c r="Z24" s="253"/>
      <c r="AA24" s="380"/>
      <c r="AB24" s="253"/>
      <c r="AC24" s="380"/>
      <c r="AD24" s="253"/>
      <c r="AE24" s="380"/>
      <c r="AF24" s="253">
        <v>0.32783499999999999</v>
      </c>
      <c r="AG24" s="380"/>
      <c r="AH24" s="253">
        <v>27.5490207</v>
      </c>
      <c r="AI24" s="380"/>
      <c r="AJ24" s="253">
        <v>20.580677300000001</v>
      </c>
      <c r="AK24" s="380"/>
      <c r="AL24" s="253">
        <v>1.6110422</v>
      </c>
      <c r="AM24" s="380"/>
      <c r="AN24" s="253">
        <v>0.82161320000000004</v>
      </c>
      <c r="AO24" s="380"/>
      <c r="AP24" s="253">
        <v>0.939222</v>
      </c>
      <c r="AQ24" s="380"/>
      <c r="AR24" s="253">
        <v>0.3306364</v>
      </c>
      <c r="AS24" s="380"/>
      <c r="AT24" s="253">
        <v>0.55306040000000001</v>
      </c>
      <c r="AU24" s="380"/>
      <c r="AV24" s="253">
        <v>0.82222790000000001</v>
      </c>
      <c r="AW24" s="380"/>
      <c r="AX24" s="253">
        <v>2.2517561000000001</v>
      </c>
      <c r="AY24" s="380"/>
      <c r="AZ24" s="253">
        <v>1.2733749000000001</v>
      </c>
      <c r="BA24" s="380"/>
      <c r="BB24" s="253">
        <v>2.2793446999999998</v>
      </c>
      <c r="BC24" s="380"/>
      <c r="BD24" s="253">
        <v>2.3090353000000001</v>
      </c>
      <c r="BE24" s="380"/>
      <c r="BF24" s="253">
        <v>1.7789812</v>
      </c>
      <c r="BG24" s="380"/>
      <c r="BH24" s="253"/>
      <c r="BI24" s="254"/>
      <c r="CJ24" s="150"/>
      <c r="CK24" s="150"/>
      <c r="CL24" s="150"/>
      <c r="CM24" s="151"/>
      <c r="CN24" s="150"/>
      <c r="CO24" s="150"/>
      <c r="CP24" s="150"/>
      <c r="CQ24" s="150"/>
      <c r="CR24" s="150"/>
      <c r="CS24" s="150"/>
      <c r="CT24" s="150"/>
    </row>
    <row r="25" spans="1:98" s="12" customFormat="1" ht="12.75" customHeight="1">
      <c r="A25" s="310"/>
      <c r="B25" s="308" t="str">
        <f>Parameters!Q24</f>
        <v>C24</v>
      </c>
      <c r="C25" s="96"/>
      <c r="D25" s="495" t="str">
        <f>Parameters!S24</f>
        <v>Manufacture of basic metals</v>
      </c>
      <c r="E25" s="496"/>
      <c r="F25" s="224"/>
      <c r="G25" s="379"/>
      <c r="H25" s="225"/>
      <c r="I25" s="379"/>
      <c r="J25" s="225"/>
      <c r="K25" s="379"/>
      <c r="L25" s="225"/>
      <c r="M25" s="379"/>
      <c r="N25" s="225"/>
      <c r="O25" s="379"/>
      <c r="P25" s="225"/>
      <c r="Q25" s="379"/>
      <c r="R25" s="225"/>
      <c r="S25" s="379"/>
      <c r="T25" s="225"/>
      <c r="U25" s="379"/>
      <c r="V25" s="225"/>
      <c r="W25" s="379"/>
      <c r="X25" s="225"/>
      <c r="Y25" s="379"/>
      <c r="Z25" s="225"/>
      <c r="AA25" s="379"/>
      <c r="AB25" s="225"/>
      <c r="AC25" s="379"/>
      <c r="AD25" s="225"/>
      <c r="AE25" s="379"/>
      <c r="AF25" s="165">
        <v>0.1046431</v>
      </c>
      <c r="AG25" s="379"/>
      <c r="AH25" s="165">
        <v>27.280855200000001</v>
      </c>
      <c r="AI25" s="379"/>
      <c r="AJ25" s="165">
        <v>20.3032732</v>
      </c>
      <c r="AK25" s="379"/>
      <c r="AL25" s="165">
        <v>1.3430868</v>
      </c>
      <c r="AM25" s="379"/>
      <c r="AN25" s="165">
        <v>0.1004449</v>
      </c>
      <c r="AO25" s="379"/>
      <c r="AP25" s="165">
        <v>3.2006800000000002E-2</v>
      </c>
      <c r="AQ25" s="379"/>
      <c r="AR25" s="165">
        <v>2.3937199999999999E-2</v>
      </c>
      <c r="AS25" s="379"/>
      <c r="AT25" s="165">
        <v>6.6058699999999998E-2</v>
      </c>
      <c r="AU25" s="379"/>
      <c r="AV25" s="165">
        <v>7.6611499999999999E-2</v>
      </c>
      <c r="AW25" s="379"/>
      <c r="AX25" s="165">
        <v>0.1150105</v>
      </c>
      <c r="AY25" s="379"/>
      <c r="AZ25" s="165">
        <v>5.1164599999999998E-2</v>
      </c>
      <c r="BA25" s="379"/>
      <c r="BB25" s="165">
        <v>0.1174007</v>
      </c>
      <c r="BC25" s="379"/>
      <c r="BD25" s="165">
        <v>2.6436500000000002E-2</v>
      </c>
      <c r="BE25" s="379"/>
      <c r="BF25" s="165">
        <v>6.9959400000000005E-2</v>
      </c>
      <c r="BG25" s="379"/>
      <c r="BH25" s="225"/>
      <c r="BI25" s="184"/>
      <c r="CJ25" s="150"/>
      <c r="CK25" s="150"/>
      <c r="CL25" s="150"/>
      <c r="CM25" s="151" t="s">
        <v>749</v>
      </c>
      <c r="CN25" s="150" t="s">
        <v>1130</v>
      </c>
      <c r="CO25" s="150"/>
      <c r="CP25" s="150"/>
      <c r="CQ25" s="150"/>
      <c r="CR25" s="150"/>
      <c r="CS25" s="150"/>
      <c r="CT25" s="150"/>
    </row>
    <row r="26" spans="1:98" s="11" customFormat="1" ht="12.75" customHeight="1">
      <c r="A26" s="310"/>
      <c r="B26" s="308" t="str">
        <f>Parameters!Q25</f>
        <v>C25</v>
      </c>
      <c r="C26" s="309"/>
      <c r="D26" s="495" t="str">
        <f>Parameters!S25</f>
        <v>Manufacture of fabricated metal products, except machinery and equipment</v>
      </c>
      <c r="E26" s="510"/>
      <c r="F26" s="224"/>
      <c r="G26" s="379"/>
      <c r="H26" s="225"/>
      <c r="I26" s="379"/>
      <c r="J26" s="225"/>
      <c r="K26" s="379"/>
      <c r="L26" s="225"/>
      <c r="M26" s="379"/>
      <c r="N26" s="225"/>
      <c r="O26" s="379"/>
      <c r="P26" s="225"/>
      <c r="Q26" s="379"/>
      <c r="R26" s="225"/>
      <c r="S26" s="379"/>
      <c r="T26" s="225"/>
      <c r="U26" s="379"/>
      <c r="V26" s="225"/>
      <c r="W26" s="379"/>
      <c r="X26" s="225"/>
      <c r="Y26" s="379"/>
      <c r="Z26" s="225"/>
      <c r="AA26" s="379"/>
      <c r="AB26" s="225"/>
      <c r="AC26" s="379"/>
      <c r="AD26" s="225"/>
      <c r="AE26" s="379"/>
      <c r="AF26" s="165">
        <v>0.2231919</v>
      </c>
      <c r="AG26" s="379"/>
      <c r="AH26" s="165">
        <v>0.2681656</v>
      </c>
      <c r="AI26" s="379"/>
      <c r="AJ26" s="165">
        <v>0.27740409999999999</v>
      </c>
      <c r="AK26" s="379"/>
      <c r="AL26" s="165">
        <v>0.26795540000000001</v>
      </c>
      <c r="AM26" s="379"/>
      <c r="AN26" s="165">
        <v>0.72116820000000004</v>
      </c>
      <c r="AO26" s="379"/>
      <c r="AP26" s="165">
        <v>0.9072152</v>
      </c>
      <c r="AQ26" s="379"/>
      <c r="AR26" s="165">
        <v>0.30669920000000001</v>
      </c>
      <c r="AS26" s="379"/>
      <c r="AT26" s="165">
        <v>0.48700169999999998</v>
      </c>
      <c r="AU26" s="379"/>
      <c r="AV26" s="165">
        <v>0.74561639999999996</v>
      </c>
      <c r="AW26" s="379"/>
      <c r="AX26" s="165">
        <v>2.1367455999999998</v>
      </c>
      <c r="AY26" s="379"/>
      <c r="AZ26" s="165">
        <v>1.2222103</v>
      </c>
      <c r="BA26" s="379"/>
      <c r="BB26" s="165">
        <v>2.1619440000000001</v>
      </c>
      <c r="BC26" s="379"/>
      <c r="BD26" s="165">
        <v>2.2825988000000001</v>
      </c>
      <c r="BE26" s="379"/>
      <c r="BF26" s="165">
        <v>1.7090217000000001</v>
      </c>
      <c r="BG26" s="379"/>
      <c r="BH26" s="225"/>
      <c r="BI26" s="184"/>
      <c r="CJ26" s="150"/>
      <c r="CK26" s="150"/>
      <c r="CL26" s="150"/>
      <c r="CM26" s="151" t="s">
        <v>753</v>
      </c>
      <c r="CN26" s="150" t="s">
        <v>1130</v>
      </c>
      <c r="CO26" s="150"/>
      <c r="CP26" s="150"/>
      <c r="CQ26" s="150"/>
      <c r="CR26" s="150"/>
      <c r="CS26" s="150"/>
      <c r="CT26" s="150"/>
    </row>
    <row r="27" spans="1:98" s="11" customFormat="1" ht="12.75" customHeight="1">
      <c r="A27" s="26"/>
      <c r="B27" s="89" t="str">
        <f>Parameters!Q26</f>
        <v>C26</v>
      </c>
      <c r="C27" s="90"/>
      <c r="D27" s="504" t="str">
        <f>Parameters!S26</f>
        <v>Manufacture of computer, electronic and optical products</v>
      </c>
      <c r="E27" s="505"/>
      <c r="F27" s="226"/>
      <c r="G27" s="379"/>
      <c r="H27" s="227"/>
      <c r="I27" s="379"/>
      <c r="J27" s="227"/>
      <c r="K27" s="379"/>
      <c r="L27" s="227"/>
      <c r="M27" s="379"/>
      <c r="N27" s="227"/>
      <c r="O27" s="379"/>
      <c r="P27" s="227"/>
      <c r="Q27" s="379"/>
      <c r="R27" s="227"/>
      <c r="S27" s="379"/>
      <c r="T27" s="227"/>
      <c r="U27" s="379"/>
      <c r="V27" s="227"/>
      <c r="W27" s="379"/>
      <c r="X27" s="227"/>
      <c r="Y27" s="379"/>
      <c r="Z27" s="227"/>
      <c r="AA27" s="379"/>
      <c r="AB27" s="227"/>
      <c r="AC27" s="379"/>
      <c r="AD27" s="227"/>
      <c r="AE27" s="379"/>
      <c r="AF27" s="166">
        <v>1.56104E-2</v>
      </c>
      <c r="AG27" s="379"/>
      <c r="AH27" s="166">
        <v>6.3799E-3</v>
      </c>
      <c r="AI27" s="379"/>
      <c r="AJ27" s="166">
        <v>4.0346000000000002E-3</v>
      </c>
      <c r="AK27" s="379"/>
      <c r="AL27" s="166">
        <v>2.3108999999999998E-3</v>
      </c>
      <c r="AM27" s="379"/>
      <c r="AN27" s="166">
        <v>1.2228599999999999E-2</v>
      </c>
      <c r="AO27" s="379"/>
      <c r="AP27" s="166">
        <v>7.9462000000000005E-3</v>
      </c>
      <c r="AQ27" s="379"/>
      <c r="AR27" s="166">
        <v>2.10253E-2</v>
      </c>
      <c r="AS27" s="379"/>
      <c r="AT27" s="166">
        <v>2.0922300000000001E-2</v>
      </c>
      <c r="AU27" s="379"/>
      <c r="AV27" s="166">
        <v>3.63092E-2</v>
      </c>
      <c r="AW27" s="379"/>
      <c r="AX27" s="166">
        <v>6.0593800000000003E-2</v>
      </c>
      <c r="AY27" s="379"/>
      <c r="AZ27" s="166">
        <v>4.93298E-2</v>
      </c>
      <c r="BA27" s="379"/>
      <c r="BB27" s="166">
        <v>0.12598970000000001</v>
      </c>
      <c r="BC27" s="379"/>
      <c r="BD27" s="166">
        <v>0.30281209999999997</v>
      </c>
      <c r="BE27" s="379"/>
      <c r="BF27" s="166">
        <v>8.0862799999999999E-2</v>
      </c>
      <c r="BG27" s="379"/>
      <c r="BH27" s="227"/>
      <c r="BI27" s="184"/>
      <c r="CJ27" s="150"/>
      <c r="CK27" s="150"/>
      <c r="CL27" s="150"/>
      <c r="CM27" s="151" t="s">
        <v>760</v>
      </c>
      <c r="CN27" s="150" t="s">
        <v>1130</v>
      </c>
      <c r="CO27" s="150"/>
      <c r="CP27" s="150"/>
      <c r="CQ27" s="150"/>
      <c r="CR27" s="150"/>
      <c r="CS27" s="150"/>
      <c r="CT27" s="150"/>
    </row>
    <row r="28" spans="1:98" s="12" customFormat="1" ht="12.75" customHeight="1">
      <c r="A28" s="26"/>
      <c r="B28" s="89" t="str">
        <f>Parameters!Q27</f>
        <v>C27</v>
      </c>
      <c r="C28" s="90"/>
      <c r="D28" s="504" t="str">
        <f>Parameters!S27</f>
        <v>Manufacture of electrical equipment</v>
      </c>
      <c r="E28" s="505"/>
      <c r="F28" s="226"/>
      <c r="G28" s="379"/>
      <c r="H28" s="227"/>
      <c r="I28" s="379"/>
      <c r="J28" s="227"/>
      <c r="K28" s="379"/>
      <c r="L28" s="227"/>
      <c r="M28" s="379"/>
      <c r="N28" s="227"/>
      <c r="O28" s="379"/>
      <c r="P28" s="227"/>
      <c r="Q28" s="379"/>
      <c r="R28" s="227"/>
      <c r="S28" s="379"/>
      <c r="T28" s="227"/>
      <c r="U28" s="379"/>
      <c r="V28" s="227"/>
      <c r="W28" s="379"/>
      <c r="X28" s="227"/>
      <c r="Y28" s="379"/>
      <c r="Z28" s="227"/>
      <c r="AA28" s="379"/>
      <c r="AB28" s="227"/>
      <c r="AC28" s="379"/>
      <c r="AD28" s="227"/>
      <c r="AE28" s="379"/>
      <c r="AF28" s="166">
        <v>4.2171199999999999E-2</v>
      </c>
      <c r="AG28" s="379"/>
      <c r="AH28" s="166">
        <v>9.0621E-3</v>
      </c>
      <c r="AI28" s="379"/>
      <c r="AJ28" s="166">
        <v>5.4775999999999998E-2</v>
      </c>
      <c r="AK28" s="379"/>
      <c r="AL28" s="166">
        <v>8.9097099999999999E-2</v>
      </c>
      <c r="AM28" s="379"/>
      <c r="AN28" s="166">
        <v>2.3105500000000001E-2</v>
      </c>
      <c r="AO28" s="379"/>
      <c r="AP28" s="166">
        <v>3.31481E-2</v>
      </c>
      <c r="AQ28" s="379"/>
      <c r="AR28" s="166">
        <v>2.5946299999999999E-2</v>
      </c>
      <c r="AS28" s="379"/>
      <c r="AT28" s="166">
        <v>2.9727E-2</v>
      </c>
      <c r="AU28" s="379"/>
      <c r="AV28" s="166">
        <v>8.5705400000000001E-2</v>
      </c>
      <c r="AW28" s="379"/>
      <c r="AX28" s="166">
        <v>0.23044290000000001</v>
      </c>
      <c r="AY28" s="379"/>
      <c r="AZ28" s="166">
        <v>0.1177488</v>
      </c>
      <c r="BA28" s="379"/>
      <c r="BB28" s="166">
        <v>0.1447792</v>
      </c>
      <c r="BC28" s="379"/>
      <c r="BD28" s="166">
        <v>0.15972049999999999</v>
      </c>
      <c r="BE28" s="379"/>
      <c r="BF28" s="166">
        <v>0.4824135</v>
      </c>
      <c r="BG28" s="379"/>
      <c r="BH28" s="227"/>
      <c r="BI28" s="184"/>
      <c r="CJ28" s="150"/>
      <c r="CK28" s="150"/>
      <c r="CL28" s="150"/>
      <c r="CM28" s="151" t="s">
        <v>763</v>
      </c>
      <c r="CN28" s="150" t="s">
        <v>1130</v>
      </c>
      <c r="CO28" s="150"/>
      <c r="CP28" s="150"/>
      <c r="CQ28" s="150"/>
      <c r="CR28" s="150"/>
      <c r="CS28" s="150"/>
      <c r="CT28" s="150"/>
    </row>
    <row r="29" spans="1:98" s="12" customFormat="1" ht="12.75" customHeight="1">
      <c r="A29" s="26"/>
      <c r="B29" s="89" t="str">
        <f>Parameters!Q28</f>
        <v>C28</v>
      </c>
      <c r="C29" s="90"/>
      <c r="D29" s="504" t="str">
        <f>Parameters!S28</f>
        <v>Manufacture of machinery and equipment n.e.c.</v>
      </c>
      <c r="E29" s="505"/>
      <c r="F29" s="226"/>
      <c r="G29" s="379"/>
      <c r="H29" s="227"/>
      <c r="I29" s="379"/>
      <c r="J29" s="227"/>
      <c r="K29" s="379"/>
      <c r="L29" s="227"/>
      <c r="M29" s="379"/>
      <c r="N29" s="227"/>
      <c r="O29" s="379"/>
      <c r="P29" s="227"/>
      <c r="Q29" s="379"/>
      <c r="R29" s="227"/>
      <c r="S29" s="379"/>
      <c r="T29" s="227"/>
      <c r="U29" s="379"/>
      <c r="V29" s="227"/>
      <c r="W29" s="379"/>
      <c r="X29" s="227"/>
      <c r="Y29" s="379"/>
      <c r="Z29" s="227"/>
      <c r="AA29" s="379"/>
      <c r="AB29" s="227"/>
      <c r="AC29" s="379"/>
      <c r="AD29" s="227"/>
      <c r="AE29" s="379"/>
      <c r="AF29" s="166">
        <v>0.44183600000000001</v>
      </c>
      <c r="AG29" s="379"/>
      <c r="AH29" s="166">
        <v>0.1026077</v>
      </c>
      <c r="AI29" s="379"/>
      <c r="AJ29" s="166">
        <v>0.17109469999999999</v>
      </c>
      <c r="AK29" s="379"/>
      <c r="AL29" s="166">
        <v>0.35061569999999997</v>
      </c>
      <c r="AM29" s="379"/>
      <c r="AN29" s="166">
        <v>0.20924090000000001</v>
      </c>
      <c r="AO29" s="379"/>
      <c r="AP29" s="166">
        <v>0.38194450000000002</v>
      </c>
      <c r="AQ29" s="379"/>
      <c r="AR29" s="166">
        <v>0.316187</v>
      </c>
      <c r="AS29" s="379"/>
      <c r="AT29" s="166">
        <v>0.17508870000000001</v>
      </c>
      <c r="AU29" s="379"/>
      <c r="AV29" s="166">
        <v>0.59231940000000005</v>
      </c>
      <c r="AW29" s="379"/>
      <c r="AX29" s="166">
        <v>0.73461719999999997</v>
      </c>
      <c r="AY29" s="379"/>
      <c r="AZ29" s="166">
        <v>0.66780989999999996</v>
      </c>
      <c r="BA29" s="379"/>
      <c r="BB29" s="166">
        <v>1.0145975</v>
      </c>
      <c r="BC29" s="379"/>
      <c r="BD29" s="166">
        <v>0.88700500000000004</v>
      </c>
      <c r="BE29" s="379"/>
      <c r="BF29" s="166">
        <v>0.48327979999999998</v>
      </c>
      <c r="BG29" s="379"/>
      <c r="BH29" s="227"/>
      <c r="BI29" s="184"/>
      <c r="CJ29" s="150"/>
      <c r="CK29" s="150"/>
      <c r="CL29" s="150"/>
      <c r="CM29" s="151" t="s">
        <v>768</v>
      </c>
      <c r="CN29" s="150" t="s">
        <v>1130</v>
      </c>
      <c r="CO29" s="150"/>
      <c r="CP29" s="150"/>
      <c r="CQ29" s="150"/>
      <c r="CR29" s="150"/>
      <c r="CS29" s="150"/>
      <c r="CT29" s="150"/>
    </row>
    <row r="30" spans="1:98" s="12" customFormat="1" ht="12.75" customHeight="1">
      <c r="A30" s="26"/>
      <c r="B30" s="89" t="str">
        <f>Parameters!Q29</f>
        <v>C29_C30</v>
      </c>
      <c r="C30" s="90"/>
      <c r="D30" s="504" t="str">
        <f>Parameters!S29</f>
        <v>Manufacture of motor vehicles, trailers, semi-trailers and of other transport equipment</v>
      </c>
      <c r="E30" s="506"/>
      <c r="F30" s="252"/>
      <c r="G30" s="380"/>
      <c r="H30" s="253"/>
      <c r="I30" s="380"/>
      <c r="J30" s="253"/>
      <c r="K30" s="380"/>
      <c r="L30" s="253"/>
      <c r="M30" s="380"/>
      <c r="N30" s="253"/>
      <c r="O30" s="380"/>
      <c r="P30" s="253"/>
      <c r="Q30" s="380"/>
      <c r="R30" s="253"/>
      <c r="S30" s="380"/>
      <c r="T30" s="253"/>
      <c r="U30" s="380"/>
      <c r="V30" s="253"/>
      <c r="W30" s="380"/>
      <c r="X30" s="253"/>
      <c r="Y30" s="380"/>
      <c r="Z30" s="253"/>
      <c r="AA30" s="380"/>
      <c r="AB30" s="253"/>
      <c r="AC30" s="380"/>
      <c r="AD30" s="253"/>
      <c r="AE30" s="380"/>
      <c r="AF30" s="253">
        <v>0.14667469999999999</v>
      </c>
      <c r="AG30" s="380"/>
      <c r="AH30" s="253">
        <v>0.16078880000000001</v>
      </c>
      <c r="AI30" s="380"/>
      <c r="AJ30" s="253">
        <v>0.34474159999999998</v>
      </c>
      <c r="AK30" s="380"/>
      <c r="AL30" s="253">
        <v>0.38941140000000002</v>
      </c>
      <c r="AM30" s="380"/>
      <c r="AN30" s="253">
        <v>0.84688490000000005</v>
      </c>
      <c r="AO30" s="380"/>
      <c r="AP30" s="253">
        <v>0.44333479999999997</v>
      </c>
      <c r="AQ30" s="380"/>
      <c r="AR30" s="253">
        <v>0.43578450000000002</v>
      </c>
      <c r="AS30" s="380"/>
      <c r="AT30" s="253">
        <v>0.23782200000000001</v>
      </c>
      <c r="AU30" s="380"/>
      <c r="AV30" s="253">
        <v>0.23297010000000001</v>
      </c>
      <c r="AW30" s="380"/>
      <c r="AX30" s="253">
        <v>0.78967030000000005</v>
      </c>
      <c r="AY30" s="380"/>
      <c r="AZ30" s="253">
        <v>0.37747960000000003</v>
      </c>
      <c r="BA30" s="380"/>
      <c r="BB30" s="253">
        <v>0.49099189999999998</v>
      </c>
      <c r="BC30" s="380"/>
      <c r="BD30" s="253">
        <v>0.4835023</v>
      </c>
      <c r="BE30" s="380"/>
      <c r="BF30" s="253">
        <v>0.74602639999999998</v>
      </c>
      <c r="BG30" s="380"/>
      <c r="BH30" s="253"/>
      <c r="BI30" s="254"/>
      <c r="CJ30" s="150"/>
      <c r="CK30" s="150"/>
      <c r="CL30" s="150"/>
      <c r="CM30" s="151"/>
      <c r="CN30" s="150"/>
      <c r="CO30" s="150"/>
      <c r="CP30" s="150"/>
      <c r="CQ30" s="150"/>
      <c r="CR30" s="150"/>
      <c r="CS30" s="150"/>
      <c r="CT30" s="150"/>
    </row>
    <row r="31" spans="1:98" s="12" customFormat="1" ht="12.75" customHeight="1">
      <c r="A31" s="310"/>
      <c r="B31" s="308" t="str">
        <f>Parameters!Q30</f>
        <v>C29</v>
      </c>
      <c r="C31" s="309"/>
      <c r="D31" s="495" t="str">
        <f>Parameters!S30</f>
        <v>Manufacture of motor vehicles, trailers and semi-trailers</v>
      </c>
      <c r="E31" s="496"/>
      <c r="F31" s="224"/>
      <c r="G31" s="379"/>
      <c r="H31" s="225"/>
      <c r="I31" s="379"/>
      <c r="J31" s="225"/>
      <c r="K31" s="379"/>
      <c r="L31" s="225"/>
      <c r="M31" s="379"/>
      <c r="N31" s="225"/>
      <c r="O31" s="379"/>
      <c r="P31" s="225"/>
      <c r="Q31" s="379"/>
      <c r="R31" s="225"/>
      <c r="S31" s="379"/>
      <c r="T31" s="225"/>
      <c r="U31" s="379"/>
      <c r="V31" s="225"/>
      <c r="W31" s="379"/>
      <c r="X31" s="225"/>
      <c r="Y31" s="379"/>
      <c r="Z31" s="225"/>
      <c r="AA31" s="379"/>
      <c r="AB31" s="225"/>
      <c r="AC31" s="379"/>
      <c r="AD31" s="225"/>
      <c r="AE31" s="379"/>
      <c r="AF31" s="165">
        <v>6.3030000000000003E-2</v>
      </c>
      <c r="AG31" s="379"/>
      <c r="AH31" s="165">
        <v>4.7476600000000001E-2</v>
      </c>
      <c r="AI31" s="379"/>
      <c r="AJ31" s="165">
        <v>2.17545E-2</v>
      </c>
      <c r="AK31" s="379"/>
      <c r="AL31" s="165">
        <v>4.3622099999999997E-2</v>
      </c>
      <c r="AM31" s="379"/>
      <c r="AN31" s="165">
        <v>3.3109399999999997E-2</v>
      </c>
      <c r="AO31" s="379"/>
      <c r="AP31" s="165">
        <v>1.77234E-2</v>
      </c>
      <c r="AQ31" s="379"/>
      <c r="AR31" s="165">
        <v>2.4870300000000001E-2</v>
      </c>
      <c r="AS31" s="379"/>
      <c r="AT31" s="165">
        <v>4.1446200000000002E-2</v>
      </c>
      <c r="AU31" s="379"/>
      <c r="AV31" s="165">
        <v>2.38055E-2</v>
      </c>
      <c r="AW31" s="379"/>
      <c r="AX31" s="165">
        <v>0.38958359999999997</v>
      </c>
      <c r="AY31" s="379"/>
      <c r="AZ31" s="165">
        <v>0.20087559999999999</v>
      </c>
      <c r="BA31" s="379"/>
      <c r="BB31" s="165">
        <v>6.4176999999999998E-2</v>
      </c>
      <c r="BC31" s="379"/>
      <c r="BD31" s="165">
        <v>8.6198399999999994E-2</v>
      </c>
      <c r="BE31" s="379"/>
      <c r="BF31" s="165">
        <v>0.45427089999999998</v>
      </c>
      <c r="BG31" s="379"/>
      <c r="BH31" s="225"/>
      <c r="BI31" s="184"/>
      <c r="CJ31" s="150"/>
      <c r="CK31" s="150"/>
      <c r="CL31" s="150"/>
      <c r="CM31" s="151" t="s">
        <v>779</v>
      </c>
      <c r="CN31" s="150" t="s">
        <v>1130</v>
      </c>
      <c r="CO31" s="150"/>
      <c r="CP31" s="150"/>
      <c r="CQ31" s="150"/>
      <c r="CR31" s="150"/>
      <c r="CS31" s="150"/>
      <c r="CT31" s="150"/>
    </row>
    <row r="32" spans="1:98" s="12" customFormat="1" ht="12.75" customHeight="1">
      <c r="A32" s="310"/>
      <c r="B32" s="308" t="str">
        <f>Parameters!Q31</f>
        <v>C30</v>
      </c>
      <c r="C32" s="309"/>
      <c r="D32" s="495" t="str">
        <f>Parameters!S31</f>
        <v>Manufacture of other transport equipment</v>
      </c>
      <c r="E32" s="496"/>
      <c r="F32" s="224"/>
      <c r="G32" s="379"/>
      <c r="H32" s="225"/>
      <c r="I32" s="379"/>
      <c r="J32" s="225"/>
      <c r="K32" s="379"/>
      <c r="L32" s="225"/>
      <c r="M32" s="379"/>
      <c r="N32" s="225"/>
      <c r="O32" s="379"/>
      <c r="P32" s="225"/>
      <c r="Q32" s="379"/>
      <c r="R32" s="225"/>
      <c r="S32" s="379"/>
      <c r="T32" s="225"/>
      <c r="U32" s="379"/>
      <c r="V32" s="225"/>
      <c r="W32" s="379"/>
      <c r="X32" s="225"/>
      <c r="Y32" s="379"/>
      <c r="Z32" s="225"/>
      <c r="AA32" s="379"/>
      <c r="AB32" s="225"/>
      <c r="AC32" s="379"/>
      <c r="AD32" s="225"/>
      <c r="AE32" s="379"/>
      <c r="AF32" s="165">
        <v>8.3644700000000002E-2</v>
      </c>
      <c r="AG32" s="379"/>
      <c r="AH32" s="165">
        <v>0.1133122</v>
      </c>
      <c r="AI32" s="379"/>
      <c r="AJ32" s="165">
        <v>0.32298710000000003</v>
      </c>
      <c r="AK32" s="379"/>
      <c r="AL32" s="165">
        <v>0.34578930000000002</v>
      </c>
      <c r="AM32" s="379"/>
      <c r="AN32" s="165">
        <v>0.81377549999999998</v>
      </c>
      <c r="AO32" s="379"/>
      <c r="AP32" s="165">
        <v>0.42561139999999997</v>
      </c>
      <c r="AQ32" s="379"/>
      <c r="AR32" s="165">
        <v>0.41091420000000001</v>
      </c>
      <c r="AS32" s="379"/>
      <c r="AT32" s="165">
        <v>0.19637579999999999</v>
      </c>
      <c r="AU32" s="379"/>
      <c r="AV32" s="165">
        <v>0.20916460000000001</v>
      </c>
      <c r="AW32" s="379"/>
      <c r="AX32" s="165">
        <v>0.40008670000000002</v>
      </c>
      <c r="AY32" s="379"/>
      <c r="AZ32" s="165">
        <v>0.17660400000000001</v>
      </c>
      <c r="BA32" s="379"/>
      <c r="BB32" s="165">
        <v>0.4268149</v>
      </c>
      <c r="BC32" s="379"/>
      <c r="BD32" s="165">
        <v>0.39730389999999999</v>
      </c>
      <c r="BE32" s="379"/>
      <c r="BF32" s="165">
        <v>0.2917555</v>
      </c>
      <c r="BG32" s="379"/>
      <c r="BH32" s="225"/>
      <c r="BI32" s="184"/>
      <c r="CJ32" s="150"/>
      <c r="CK32" s="150"/>
      <c r="CL32" s="150"/>
      <c r="CM32" s="151" t="s">
        <v>788</v>
      </c>
      <c r="CN32" s="150" t="s">
        <v>1130</v>
      </c>
      <c r="CO32" s="150"/>
      <c r="CP32" s="150"/>
      <c r="CQ32" s="150"/>
      <c r="CR32" s="150"/>
      <c r="CS32" s="150"/>
      <c r="CT32" s="150"/>
    </row>
    <row r="33" spans="1:98" s="12" customFormat="1" ht="25.5" customHeight="1">
      <c r="A33" s="26"/>
      <c r="B33" s="89" t="str">
        <f>Parameters!Q32</f>
        <v>C31-C33</v>
      </c>
      <c r="C33" s="90"/>
      <c r="D33" s="504" t="str">
        <f>Parameters!S32</f>
        <v>Manufacture of furniture; jewellery, musical instruments, toys; repair and installation of machinery and equipment</v>
      </c>
      <c r="E33" s="506"/>
      <c r="F33" s="252"/>
      <c r="G33" s="380"/>
      <c r="H33" s="253"/>
      <c r="I33" s="380"/>
      <c r="J33" s="253"/>
      <c r="K33" s="380"/>
      <c r="L33" s="253"/>
      <c r="M33" s="380"/>
      <c r="N33" s="253"/>
      <c r="O33" s="380"/>
      <c r="P33" s="253"/>
      <c r="Q33" s="380"/>
      <c r="R33" s="253"/>
      <c r="S33" s="380"/>
      <c r="T33" s="253"/>
      <c r="U33" s="380"/>
      <c r="V33" s="253"/>
      <c r="W33" s="380"/>
      <c r="X33" s="253"/>
      <c r="Y33" s="380"/>
      <c r="Z33" s="253"/>
      <c r="AA33" s="380"/>
      <c r="AB33" s="253"/>
      <c r="AC33" s="380"/>
      <c r="AD33" s="253"/>
      <c r="AE33" s="380"/>
      <c r="AF33" s="253">
        <v>9.4027206000000003</v>
      </c>
      <c r="AG33" s="380"/>
      <c r="AH33" s="253">
        <v>9.3628596000000002</v>
      </c>
      <c r="AI33" s="380"/>
      <c r="AJ33" s="253">
        <v>8.5842293000000005</v>
      </c>
      <c r="AK33" s="380"/>
      <c r="AL33" s="253">
        <v>8.7127715000000006</v>
      </c>
      <c r="AM33" s="380"/>
      <c r="AN33" s="253">
        <v>11.602329900000001</v>
      </c>
      <c r="AO33" s="380"/>
      <c r="AP33" s="253">
        <v>13.167501700000001</v>
      </c>
      <c r="AQ33" s="380"/>
      <c r="AR33" s="253">
        <v>9.5485048999999993</v>
      </c>
      <c r="AS33" s="380"/>
      <c r="AT33" s="253">
        <v>7.8739621</v>
      </c>
      <c r="AU33" s="380"/>
      <c r="AV33" s="253">
        <v>4.7620076999999998</v>
      </c>
      <c r="AW33" s="380"/>
      <c r="AX33" s="253">
        <v>5.9684083000000001</v>
      </c>
      <c r="AY33" s="380"/>
      <c r="AZ33" s="253">
        <v>7.0031878000000001</v>
      </c>
      <c r="BA33" s="380"/>
      <c r="BB33" s="253">
        <v>7.7986814000000004</v>
      </c>
      <c r="BC33" s="380"/>
      <c r="BD33" s="253">
        <v>7.5399395</v>
      </c>
      <c r="BE33" s="380"/>
      <c r="BF33" s="253">
        <v>6.8591622000000001</v>
      </c>
      <c r="BG33" s="380"/>
      <c r="BH33" s="253"/>
      <c r="BI33" s="254"/>
      <c r="CJ33" s="150"/>
      <c r="CK33" s="150"/>
      <c r="CL33" s="150"/>
      <c r="CM33" s="151"/>
      <c r="CN33" s="150"/>
      <c r="CO33" s="150"/>
      <c r="CP33" s="150"/>
      <c r="CQ33" s="150"/>
      <c r="CR33" s="150"/>
      <c r="CS33" s="150"/>
      <c r="CT33" s="150"/>
    </row>
    <row r="34" spans="1:98" s="12" customFormat="1" ht="12.75" customHeight="1">
      <c r="A34" s="310"/>
      <c r="B34" s="308" t="str">
        <f>Parameters!Q33</f>
        <v>C31_C32</v>
      </c>
      <c r="C34" s="309"/>
      <c r="D34" s="495" t="str">
        <f>Parameters!S33</f>
        <v>Manufacture of furniture; other manufacturing</v>
      </c>
      <c r="E34" s="496"/>
      <c r="F34" s="224"/>
      <c r="G34" s="379"/>
      <c r="H34" s="225"/>
      <c r="I34" s="379"/>
      <c r="J34" s="225"/>
      <c r="K34" s="379"/>
      <c r="L34" s="225"/>
      <c r="M34" s="379"/>
      <c r="N34" s="225"/>
      <c r="O34" s="379"/>
      <c r="P34" s="225"/>
      <c r="Q34" s="379"/>
      <c r="R34" s="225"/>
      <c r="S34" s="379"/>
      <c r="T34" s="225"/>
      <c r="U34" s="379"/>
      <c r="V34" s="225"/>
      <c r="W34" s="379"/>
      <c r="X34" s="225"/>
      <c r="Y34" s="379"/>
      <c r="Z34" s="225"/>
      <c r="AA34" s="379"/>
      <c r="AB34" s="225"/>
      <c r="AC34" s="379"/>
      <c r="AD34" s="225"/>
      <c r="AE34" s="379"/>
      <c r="AF34" s="165">
        <v>9.2919119999999999</v>
      </c>
      <c r="AG34" s="379"/>
      <c r="AH34" s="165">
        <v>8.9952833000000005</v>
      </c>
      <c r="AI34" s="379"/>
      <c r="AJ34" s="165">
        <v>7.7733473000000002</v>
      </c>
      <c r="AK34" s="379"/>
      <c r="AL34" s="165">
        <v>8.5074556999999995</v>
      </c>
      <c r="AM34" s="379"/>
      <c r="AN34" s="165">
        <v>11.399309799999999</v>
      </c>
      <c r="AO34" s="379"/>
      <c r="AP34" s="165">
        <v>12.9737361</v>
      </c>
      <c r="AQ34" s="379"/>
      <c r="AR34" s="165">
        <v>9.1827222000000006</v>
      </c>
      <c r="AS34" s="379"/>
      <c r="AT34" s="165">
        <v>7.5122771999999998</v>
      </c>
      <c r="AU34" s="379"/>
      <c r="AV34" s="165">
        <v>3.6747242999999998</v>
      </c>
      <c r="AW34" s="379"/>
      <c r="AX34" s="165">
        <v>4.5321115000000001</v>
      </c>
      <c r="AY34" s="379"/>
      <c r="AZ34" s="165">
        <v>5.4933801000000004</v>
      </c>
      <c r="BA34" s="379"/>
      <c r="BB34" s="165">
        <v>4.6582201999999997</v>
      </c>
      <c r="BC34" s="379"/>
      <c r="BD34" s="165">
        <v>4.8368194999999998</v>
      </c>
      <c r="BE34" s="379"/>
      <c r="BF34" s="165">
        <v>5.3836576000000003</v>
      </c>
      <c r="BG34" s="379"/>
      <c r="BH34" s="225"/>
      <c r="BI34" s="184"/>
      <c r="CJ34" s="150"/>
      <c r="CK34" s="150"/>
      <c r="CL34" s="150"/>
      <c r="CM34" s="151" t="s">
        <v>1137</v>
      </c>
      <c r="CN34" s="150" t="s">
        <v>1130</v>
      </c>
      <c r="CO34" s="150"/>
      <c r="CP34" s="150"/>
      <c r="CQ34" s="150"/>
      <c r="CR34" s="150"/>
      <c r="CS34" s="150"/>
      <c r="CT34" s="150"/>
    </row>
    <row r="35" spans="1:98" s="11" customFormat="1" ht="12.75" customHeight="1">
      <c r="A35" s="310"/>
      <c r="B35" s="308" t="str">
        <f>Parameters!Q34</f>
        <v>C33</v>
      </c>
      <c r="C35" s="309"/>
      <c r="D35" s="495" t="str">
        <f>Parameters!S34</f>
        <v>Repair and installation of machinery and equipment</v>
      </c>
      <c r="E35" s="510"/>
      <c r="F35" s="224"/>
      <c r="G35" s="379"/>
      <c r="H35" s="225"/>
      <c r="I35" s="379"/>
      <c r="J35" s="225"/>
      <c r="K35" s="379"/>
      <c r="L35" s="225"/>
      <c r="M35" s="379"/>
      <c r="N35" s="225"/>
      <c r="O35" s="379"/>
      <c r="P35" s="225"/>
      <c r="Q35" s="379"/>
      <c r="R35" s="225"/>
      <c r="S35" s="379"/>
      <c r="T35" s="225"/>
      <c r="U35" s="379"/>
      <c r="V35" s="225"/>
      <c r="W35" s="379"/>
      <c r="X35" s="225"/>
      <c r="Y35" s="379"/>
      <c r="Z35" s="225"/>
      <c r="AA35" s="379"/>
      <c r="AB35" s="225"/>
      <c r="AC35" s="379"/>
      <c r="AD35" s="225"/>
      <c r="AE35" s="379"/>
      <c r="AF35" s="165">
        <v>0.11080859999999999</v>
      </c>
      <c r="AG35" s="379"/>
      <c r="AH35" s="165">
        <v>0.36757630000000002</v>
      </c>
      <c r="AI35" s="379"/>
      <c r="AJ35" s="165">
        <v>0.81088199999999999</v>
      </c>
      <c r="AK35" s="379"/>
      <c r="AL35" s="165">
        <v>0.20531579999999999</v>
      </c>
      <c r="AM35" s="379"/>
      <c r="AN35" s="165">
        <v>0.20302010000000001</v>
      </c>
      <c r="AO35" s="379"/>
      <c r="AP35" s="165">
        <v>0.19376550000000001</v>
      </c>
      <c r="AQ35" s="379"/>
      <c r="AR35" s="165">
        <v>0.36578260000000001</v>
      </c>
      <c r="AS35" s="379"/>
      <c r="AT35" s="165">
        <v>0.36168489999999998</v>
      </c>
      <c r="AU35" s="379"/>
      <c r="AV35" s="165">
        <v>1.0872834</v>
      </c>
      <c r="AW35" s="379"/>
      <c r="AX35" s="165">
        <v>1.4362968</v>
      </c>
      <c r="AY35" s="379"/>
      <c r="AZ35" s="165">
        <v>1.5098077000000001</v>
      </c>
      <c r="BA35" s="379"/>
      <c r="BB35" s="165">
        <v>3.1404611999999998</v>
      </c>
      <c r="BC35" s="379"/>
      <c r="BD35" s="165">
        <v>2.7031200000000002</v>
      </c>
      <c r="BE35" s="379"/>
      <c r="BF35" s="165">
        <v>1.4755045</v>
      </c>
      <c r="BG35" s="379"/>
      <c r="BH35" s="225"/>
      <c r="BI35" s="184"/>
      <c r="CJ35" s="150"/>
      <c r="CK35" s="150"/>
      <c r="CL35" s="150"/>
      <c r="CM35" s="151" t="s">
        <v>810</v>
      </c>
      <c r="CN35" s="150" t="s">
        <v>1130</v>
      </c>
      <c r="CO35" s="150"/>
      <c r="CP35" s="150"/>
      <c r="CQ35" s="150"/>
      <c r="CR35" s="150"/>
      <c r="CS35" s="150"/>
      <c r="CT35" s="150"/>
    </row>
    <row r="36" spans="1:98" s="10" customFormat="1" ht="12.75" customHeight="1">
      <c r="A36" s="25"/>
      <c r="B36" s="87" t="str">
        <f>Parameters!Q35</f>
        <v>D</v>
      </c>
      <c r="C36" s="88"/>
      <c r="D36" s="498" t="str">
        <f>Parameters!S35</f>
        <v>Electricity, gas, steam and air conditioning supply</v>
      </c>
      <c r="E36" s="496"/>
      <c r="F36" s="222"/>
      <c r="G36" s="379"/>
      <c r="H36" s="223"/>
      <c r="I36" s="379"/>
      <c r="J36" s="223"/>
      <c r="K36" s="379"/>
      <c r="L36" s="223"/>
      <c r="M36" s="379"/>
      <c r="N36" s="223"/>
      <c r="O36" s="379"/>
      <c r="P36" s="223"/>
      <c r="Q36" s="379"/>
      <c r="R36" s="223"/>
      <c r="S36" s="379"/>
      <c r="T36" s="223"/>
      <c r="U36" s="379"/>
      <c r="V36" s="223"/>
      <c r="W36" s="379"/>
      <c r="X36" s="223"/>
      <c r="Y36" s="379"/>
      <c r="Z36" s="223"/>
      <c r="AA36" s="379"/>
      <c r="AB36" s="223"/>
      <c r="AC36" s="379"/>
      <c r="AD36" s="223"/>
      <c r="AE36" s="379"/>
      <c r="AF36" s="164">
        <v>675.90339129999995</v>
      </c>
      <c r="AG36" s="379"/>
      <c r="AH36" s="164">
        <v>542.91130459999999</v>
      </c>
      <c r="AI36" s="379"/>
      <c r="AJ36" s="247">
        <v>955.71068609999998</v>
      </c>
      <c r="AK36" s="379" t="s">
        <v>432</v>
      </c>
      <c r="AL36" s="164">
        <v>751.04684870000006</v>
      </c>
      <c r="AM36" s="379"/>
      <c r="AN36" s="164">
        <v>760.46770660000004</v>
      </c>
      <c r="AO36" s="379"/>
      <c r="AP36" s="164">
        <v>762.67980299999999</v>
      </c>
      <c r="AQ36" s="379"/>
      <c r="AR36" s="164">
        <v>616.45178750000002</v>
      </c>
      <c r="AS36" s="379"/>
      <c r="AT36" s="164">
        <v>731.08925769999996</v>
      </c>
      <c r="AU36" s="379"/>
      <c r="AV36" s="164">
        <v>836.93223490000003</v>
      </c>
      <c r="AW36" s="379"/>
      <c r="AX36" s="164">
        <v>835.21512250000001</v>
      </c>
      <c r="AY36" s="379"/>
      <c r="AZ36" s="164">
        <v>909.71610810000004</v>
      </c>
      <c r="BA36" s="379"/>
      <c r="BB36" s="164">
        <v>1008.03302</v>
      </c>
      <c r="BC36" s="379"/>
      <c r="BD36" s="164">
        <v>858.16881100000001</v>
      </c>
      <c r="BE36" s="379"/>
      <c r="BF36" s="247">
        <v>1139.5220896999999</v>
      </c>
      <c r="BG36" s="379" t="s">
        <v>494</v>
      </c>
      <c r="BH36" s="223"/>
      <c r="BI36" s="184"/>
      <c r="CJ36" s="150"/>
      <c r="CK36" s="150"/>
      <c r="CL36" s="150"/>
      <c r="CM36" s="151" t="s">
        <v>275</v>
      </c>
      <c r="CN36" s="150" t="s">
        <v>1130</v>
      </c>
      <c r="CO36" s="150"/>
      <c r="CP36" s="150"/>
      <c r="CQ36" s="150"/>
      <c r="CR36" s="150"/>
      <c r="CS36" s="150"/>
      <c r="CT36" s="150"/>
    </row>
    <row r="37" spans="1:98" s="10" customFormat="1">
      <c r="A37" s="25"/>
      <c r="B37" s="87" t="str">
        <f>Parameters!Q36</f>
        <v>E</v>
      </c>
      <c r="C37" s="88"/>
      <c r="D37" s="498" t="str">
        <f>Parameters!S36</f>
        <v>Water supply; sewerage, waste management and remediation activities</v>
      </c>
      <c r="E37" s="499"/>
      <c r="F37" s="222"/>
      <c r="G37" s="379"/>
      <c r="H37" s="223"/>
      <c r="I37" s="379"/>
      <c r="J37" s="223"/>
      <c r="K37" s="379"/>
      <c r="L37" s="223"/>
      <c r="M37" s="379"/>
      <c r="N37" s="223"/>
      <c r="O37" s="379"/>
      <c r="P37" s="223"/>
      <c r="Q37" s="379"/>
      <c r="R37" s="223"/>
      <c r="S37" s="379"/>
      <c r="T37" s="223"/>
      <c r="U37" s="379"/>
      <c r="V37" s="223"/>
      <c r="W37" s="379"/>
      <c r="X37" s="223"/>
      <c r="Y37" s="379"/>
      <c r="Z37" s="223"/>
      <c r="AA37" s="379"/>
      <c r="AB37" s="223"/>
      <c r="AC37" s="379"/>
      <c r="AD37" s="223"/>
      <c r="AE37" s="379"/>
      <c r="AF37" s="164">
        <v>80.845930999999993</v>
      </c>
      <c r="AG37" s="379"/>
      <c r="AH37" s="164">
        <v>75.818416999999997</v>
      </c>
      <c r="AI37" s="379"/>
      <c r="AJ37" s="164">
        <v>71.674444399999999</v>
      </c>
      <c r="AK37" s="379"/>
      <c r="AL37" s="164">
        <v>70.699291500000001</v>
      </c>
      <c r="AM37" s="379"/>
      <c r="AN37" s="164">
        <v>61.024624899999999</v>
      </c>
      <c r="AO37" s="379"/>
      <c r="AP37" s="164">
        <v>54.742601999999998</v>
      </c>
      <c r="AQ37" s="379"/>
      <c r="AR37" s="164">
        <v>43.202459900000001</v>
      </c>
      <c r="AS37" s="379"/>
      <c r="AT37" s="164">
        <v>64.349543800000006</v>
      </c>
      <c r="AU37" s="379"/>
      <c r="AV37" s="164">
        <v>77.380822300000005</v>
      </c>
      <c r="AW37" s="379"/>
      <c r="AX37" s="164">
        <v>94.760506699999993</v>
      </c>
      <c r="AY37" s="379"/>
      <c r="AZ37" s="164">
        <v>80.224888199999995</v>
      </c>
      <c r="BA37" s="379"/>
      <c r="BB37" s="164">
        <v>94.812411400000002</v>
      </c>
      <c r="BC37" s="379"/>
      <c r="BD37" s="164">
        <v>92.084904499999993</v>
      </c>
      <c r="BE37" s="379"/>
      <c r="BF37" s="164">
        <v>70.782073600000004</v>
      </c>
      <c r="BG37" s="379"/>
      <c r="BH37" s="223"/>
      <c r="BI37" s="184"/>
      <c r="CJ37" s="150"/>
      <c r="CK37" s="150"/>
      <c r="CL37" s="150"/>
      <c r="CM37" s="151" t="s">
        <v>269</v>
      </c>
      <c r="CN37" s="150" t="s">
        <v>1130</v>
      </c>
      <c r="CO37" s="150"/>
      <c r="CP37" s="150"/>
      <c r="CQ37" s="150"/>
      <c r="CR37" s="150"/>
      <c r="CS37" s="150"/>
      <c r="CT37" s="150"/>
    </row>
    <row r="38" spans="1:98" s="11" customFormat="1" ht="12.75" customHeight="1">
      <c r="A38" s="310"/>
      <c r="B38" s="308" t="str">
        <f>Parameters!Q37</f>
        <v>E36</v>
      </c>
      <c r="C38" s="309"/>
      <c r="D38" s="495" t="str">
        <f>Parameters!S37</f>
        <v>Water collection, treatment and supply</v>
      </c>
      <c r="E38" s="510"/>
      <c r="F38" s="224"/>
      <c r="G38" s="379"/>
      <c r="H38" s="225"/>
      <c r="I38" s="379"/>
      <c r="J38" s="225"/>
      <c r="K38" s="379"/>
      <c r="L38" s="225"/>
      <c r="M38" s="379"/>
      <c r="N38" s="225"/>
      <c r="O38" s="379"/>
      <c r="P38" s="225"/>
      <c r="Q38" s="379"/>
      <c r="R38" s="225"/>
      <c r="S38" s="379"/>
      <c r="T38" s="225"/>
      <c r="U38" s="379"/>
      <c r="V38" s="225"/>
      <c r="W38" s="379"/>
      <c r="X38" s="225"/>
      <c r="Y38" s="379"/>
      <c r="Z38" s="225"/>
      <c r="AA38" s="379"/>
      <c r="AB38" s="225"/>
      <c r="AC38" s="379"/>
      <c r="AD38" s="225"/>
      <c r="AE38" s="379"/>
      <c r="AF38" s="165">
        <v>1.65037E-2</v>
      </c>
      <c r="AG38" s="379"/>
      <c r="AH38" s="165">
        <v>1.8455200000000001E-2</v>
      </c>
      <c r="AI38" s="379"/>
      <c r="AJ38" s="165">
        <v>2.6495999999999999E-2</v>
      </c>
      <c r="AK38" s="379"/>
      <c r="AL38" s="165">
        <v>2.1713900000000001E-2</v>
      </c>
      <c r="AM38" s="379"/>
      <c r="AN38" s="165">
        <v>2.1532599999999999E-2</v>
      </c>
      <c r="AO38" s="379"/>
      <c r="AP38" s="165">
        <v>2.74364E-2</v>
      </c>
      <c r="AQ38" s="379"/>
      <c r="AR38" s="165">
        <v>2.4697899999999998E-2</v>
      </c>
      <c r="AS38" s="379"/>
      <c r="AT38" s="165">
        <v>0.10721940000000001</v>
      </c>
      <c r="AU38" s="379"/>
      <c r="AV38" s="165">
        <v>0.2062899</v>
      </c>
      <c r="AW38" s="379"/>
      <c r="AX38" s="165">
        <v>7.70367E-2</v>
      </c>
      <c r="AY38" s="379"/>
      <c r="AZ38" s="165">
        <v>5.3504900000000001E-2</v>
      </c>
      <c r="BA38" s="379"/>
      <c r="BB38" s="165">
        <v>6.1412599999999998E-2</v>
      </c>
      <c r="BC38" s="379"/>
      <c r="BD38" s="165">
        <v>9.2149400000000006E-2</v>
      </c>
      <c r="BE38" s="379"/>
      <c r="BF38" s="165">
        <v>0.64848439999999996</v>
      </c>
      <c r="BG38" s="379"/>
      <c r="BH38" s="225"/>
      <c r="BI38" s="184"/>
      <c r="CJ38" s="150"/>
      <c r="CK38" s="150"/>
      <c r="CL38" s="150"/>
      <c r="CM38" s="151" t="s">
        <v>824</v>
      </c>
      <c r="CN38" s="150" t="s">
        <v>1130</v>
      </c>
      <c r="CO38" s="150"/>
      <c r="CP38" s="150"/>
      <c r="CQ38" s="150"/>
      <c r="CR38" s="150"/>
      <c r="CS38" s="150"/>
      <c r="CT38" s="150"/>
    </row>
    <row r="39" spans="1:98" s="11" customFormat="1" ht="12.75" customHeight="1">
      <c r="A39" s="310"/>
      <c r="B39" s="308" t="str">
        <f>Parameters!Q38</f>
        <v>E37-E39</v>
      </c>
      <c r="C39" s="309"/>
      <c r="D39" s="495" t="str">
        <f>Parameters!S38</f>
        <v>Sewerage, waste management, remediation activities</v>
      </c>
      <c r="E39" s="510"/>
      <c r="F39" s="224"/>
      <c r="G39" s="379"/>
      <c r="H39" s="225"/>
      <c r="I39" s="379"/>
      <c r="J39" s="225"/>
      <c r="K39" s="379"/>
      <c r="L39" s="225"/>
      <c r="M39" s="379"/>
      <c r="N39" s="225"/>
      <c r="O39" s="379"/>
      <c r="P39" s="225"/>
      <c r="Q39" s="379"/>
      <c r="R39" s="225"/>
      <c r="S39" s="379"/>
      <c r="T39" s="225"/>
      <c r="U39" s="379"/>
      <c r="V39" s="225"/>
      <c r="W39" s="379"/>
      <c r="X39" s="225"/>
      <c r="Y39" s="379"/>
      <c r="Z39" s="225"/>
      <c r="AA39" s="379"/>
      <c r="AB39" s="225"/>
      <c r="AC39" s="379"/>
      <c r="AD39" s="225"/>
      <c r="AE39" s="379"/>
      <c r="AF39" s="165">
        <v>80.829427300000006</v>
      </c>
      <c r="AG39" s="379"/>
      <c r="AH39" s="165">
        <v>75.799961699999997</v>
      </c>
      <c r="AI39" s="379"/>
      <c r="AJ39" s="165">
        <v>71.647948400000004</v>
      </c>
      <c r="AK39" s="379"/>
      <c r="AL39" s="165">
        <v>70.677577700000001</v>
      </c>
      <c r="AM39" s="379"/>
      <c r="AN39" s="165">
        <v>61.003092299999999</v>
      </c>
      <c r="AO39" s="379"/>
      <c r="AP39" s="165">
        <v>54.715165599999999</v>
      </c>
      <c r="AQ39" s="379"/>
      <c r="AR39" s="165">
        <v>43.177762000000001</v>
      </c>
      <c r="AS39" s="379"/>
      <c r="AT39" s="165">
        <v>64.242324300000007</v>
      </c>
      <c r="AU39" s="379"/>
      <c r="AV39" s="165">
        <v>77.174532400000004</v>
      </c>
      <c r="AW39" s="379"/>
      <c r="AX39" s="165">
        <v>94.683470099999994</v>
      </c>
      <c r="AY39" s="379"/>
      <c r="AZ39" s="165">
        <v>80.171383399999996</v>
      </c>
      <c r="BA39" s="379"/>
      <c r="BB39" s="165">
        <v>94.750998800000005</v>
      </c>
      <c r="BC39" s="379"/>
      <c r="BD39" s="165">
        <v>91.992755099999997</v>
      </c>
      <c r="BE39" s="379"/>
      <c r="BF39" s="165">
        <v>70.133589200000003</v>
      </c>
      <c r="BG39" s="379"/>
      <c r="BH39" s="225"/>
      <c r="BI39" s="184"/>
      <c r="CJ39" s="150"/>
      <c r="CK39" s="150"/>
      <c r="CL39" s="150"/>
      <c r="CM39" s="151" t="s">
        <v>1138</v>
      </c>
      <c r="CN39" s="150" t="s">
        <v>1130</v>
      </c>
      <c r="CO39" s="150"/>
      <c r="CP39" s="150"/>
      <c r="CQ39" s="150"/>
      <c r="CR39" s="150"/>
      <c r="CS39" s="150"/>
      <c r="CT39" s="150"/>
    </row>
    <row r="40" spans="1:98" s="10" customFormat="1" ht="12.75" customHeight="1">
      <c r="A40" s="27"/>
      <c r="B40" s="87" t="str">
        <f>Parameters!Q39</f>
        <v>F</v>
      </c>
      <c r="C40" s="88"/>
      <c r="D40" s="498" t="str">
        <f>Parameters!S39</f>
        <v>Construction</v>
      </c>
      <c r="E40" s="496"/>
      <c r="F40" s="222"/>
      <c r="G40" s="379"/>
      <c r="H40" s="223"/>
      <c r="I40" s="379"/>
      <c r="J40" s="223"/>
      <c r="K40" s="379"/>
      <c r="L40" s="223"/>
      <c r="M40" s="379"/>
      <c r="N40" s="223"/>
      <c r="O40" s="379"/>
      <c r="P40" s="223"/>
      <c r="Q40" s="379"/>
      <c r="R40" s="223"/>
      <c r="S40" s="379"/>
      <c r="T40" s="223"/>
      <c r="U40" s="379"/>
      <c r="V40" s="223"/>
      <c r="W40" s="379"/>
      <c r="X40" s="223"/>
      <c r="Y40" s="379"/>
      <c r="Z40" s="223"/>
      <c r="AA40" s="379"/>
      <c r="AB40" s="223"/>
      <c r="AC40" s="379"/>
      <c r="AD40" s="223"/>
      <c r="AE40" s="379"/>
      <c r="AF40" s="164">
        <v>38.433956899999998</v>
      </c>
      <c r="AG40" s="379"/>
      <c r="AH40" s="164">
        <v>42.644879199999998</v>
      </c>
      <c r="AI40" s="379"/>
      <c r="AJ40" s="164">
        <v>44.580745899999997</v>
      </c>
      <c r="AK40" s="379"/>
      <c r="AL40" s="164">
        <v>46.870932600000003</v>
      </c>
      <c r="AM40" s="379"/>
      <c r="AN40" s="164">
        <v>57.736270099999999</v>
      </c>
      <c r="AO40" s="379"/>
      <c r="AP40" s="164">
        <v>55.194633899999999</v>
      </c>
      <c r="AQ40" s="379"/>
      <c r="AR40" s="164">
        <v>54.807691699999999</v>
      </c>
      <c r="AS40" s="379"/>
      <c r="AT40" s="164">
        <v>63.391034300000001</v>
      </c>
      <c r="AU40" s="379"/>
      <c r="AV40" s="164">
        <v>143.4041465</v>
      </c>
      <c r="AW40" s="379"/>
      <c r="AX40" s="164">
        <v>256.45593350000001</v>
      </c>
      <c r="AY40" s="379"/>
      <c r="AZ40" s="164">
        <v>179.123955</v>
      </c>
      <c r="BA40" s="379"/>
      <c r="BB40" s="164">
        <v>243.25874279999999</v>
      </c>
      <c r="BC40" s="379"/>
      <c r="BD40" s="164">
        <v>198.46236010000001</v>
      </c>
      <c r="BE40" s="379"/>
      <c r="BF40" s="164">
        <v>181.35842969999999</v>
      </c>
      <c r="BG40" s="379"/>
      <c r="BH40" s="223"/>
      <c r="BI40" s="184"/>
      <c r="CJ40" s="150"/>
      <c r="CK40" s="150"/>
      <c r="CL40" s="150"/>
      <c r="CM40" s="151" t="s">
        <v>834</v>
      </c>
      <c r="CN40" s="150" t="s">
        <v>1130</v>
      </c>
      <c r="CO40" s="150"/>
      <c r="CP40" s="150"/>
      <c r="CQ40" s="150"/>
      <c r="CR40" s="150"/>
      <c r="CS40" s="150"/>
      <c r="CT40" s="150"/>
    </row>
    <row r="41" spans="1:98" s="10" customFormat="1">
      <c r="A41" s="25"/>
      <c r="B41" s="87" t="str">
        <f>Parameters!Q40</f>
        <v>G</v>
      </c>
      <c r="C41" s="88"/>
      <c r="D41" s="498" t="str">
        <f>Parameters!S40</f>
        <v>Wholesale and retail trade; repair of motor vehicles and motorcycles</v>
      </c>
      <c r="E41" s="499"/>
      <c r="F41" s="222"/>
      <c r="G41" s="379"/>
      <c r="H41" s="223"/>
      <c r="I41" s="379"/>
      <c r="J41" s="223"/>
      <c r="K41" s="379"/>
      <c r="L41" s="223"/>
      <c r="M41" s="379"/>
      <c r="N41" s="223"/>
      <c r="O41" s="379"/>
      <c r="P41" s="223"/>
      <c r="Q41" s="379"/>
      <c r="R41" s="223"/>
      <c r="S41" s="379"/>
      <c r="T41" s="223"/>
      <c r="U41" s="379"/>
      <c r="V41" s="223"/>
      <c r="W41" s="379"/>
      <c r="X41" s="223"/>
      <c r="Y41" s="379"/>
      <c r="Z41" s="223"/>
      <c r="AA41" s="379"/>
      <c r="AB41" s="223"/>
      <c r="AC41" s="379"/>
      <c r="AD41" s="223"/>
      <c r="AE41" s="379"/>
      <c r="AF41" s="164">
        <v>23.726635099999999</v>
      </c>
      <c r="AG41" s="379"/>
      <c r="AH41" s="164">
        <v>26.3049781</v>
      </c>
      <c r="AI41" s="379"/>
      <c r="AJ41" s="164">
        <v>32.304328300000002</v>
      </c>
      <c r="AK41" s="379"/>
      <c r="AL41" s="164">
        <v>31.561927300000001</v>
      </c>
      <c r="AM41" s="379"/>
      <c r="AN41" s="164">
        <v>36.386161799999996</v>
      </c>
      <c r="AO41" s="379"/>
      <c r="AP41" s="164">
        <v>33.111028500000003</v>
      </c>
      <c r="AQ41" s="379"/>
      <c r="AR41" s="164">
        <v>30.567231100000001</v>
      </c>
      <c r="AS41" s="379"/>
      <c r="AT41" s="164">
        <v>35.112024400000003</v>
      </c>
      <c r="AU41" s="379"/>
      <c r="AV41" s="164">
        <v>77.788219100000006</v>
      </c>
      <c r="AW41" s="379"/>
      <c r="AX41" s="164">
        <v>125.1924171</v>
      </c>
      <c r="AY41" s="379"/>
      <c r="AZ41" s="164">
        <v>87.817964900000007</v>
      </c>
      <c r="BA41" s="379"/>
      <c r="BB41" s="164">
        <v>110.24442120000001</v>
      </c>
      <c r="BC41" s="379"/>
      <c r="BD41" s="164">
        <v>87.656688599999995</v>
      </c>
      <c r="BE41" s="379"/>
      <c r="BF41" s="164">
        <v>75.541622700000005</v>
      </c>
      <c r="BG41" s="379"/>
      <c r="BH41" s="223"/>
      <c r="BI41" s="184"/>
      <c r="CJ41" s="150"/>
      <c r="CK41" s="150"/>
      <c r="CL41" s="150"/>
      <c r="CM41" s="151" t="s">
        <v>839</v>
      </c>
      <c r="CN41" s="150" t="s">
        <v>1130</v>
      </c>
      <c r="CO41" s="150"/>
      <c r="CP41" s="150"/>
      <c r="CQ41" s="150"/>
      <c r="CR41" s="150"/>
      <c r="CS41" s="150"/>
      <c r="CT41" s="150"/>
    </row>
    <row r="42" spans="1:98" s="10" customFormat="1" ht="12.75" customHeight="1">
      <c r="A42" s="310"/>
      <c r="B42" s="308" t="str">
        <f>Parameters!Q41</f>
        <v>G45</v>
      </c>
      <c r="C42" s="309"/>
      <c r="D42" s="495" t="str">
        <f>Parameters!S41</f>
        <v>Wholesale and retail trade and repair of motor vehicles and motorcycles</v>
      </c>
      <c r="E42" s="496"/>
      <c r="F42" s="224"/>
      <c r="G42" s="379"/>
      <c r="H42" s="225"/>
      <c r="I42" s="379"/>
      <c r="J42" s="225"/>
      <c r="K42" s="379"/>
      <c r="L42" s="225"/>
      <c r="M42" s="379"/>
      <c r="N42" s="225"/>
      <c r="O42" s="379"/>
      <c r="P42" s="225"/>
      <c r="Q42" s="379"/>
      <c r="R42" s="225"/>
      <c r="S42" s="379"/>
      <c r="T42" s="225"/>
      <c r="U42" s="379"/>
      <c r="V42" s="225"/>
      <c r="W42" s="379"/>
      <c r="X42" s="225"/>
      <c r="Y42" s="379"/>
      <c r="Z42" s="225"/>
      <c r="AA42" s="379"/>
      <c r="AB42" s="225"/>
      <c r="AC42" s="379"/>
      <c r="AD42" s="225"/>
      <c r="AE42" s="379"/>
      <c r="AF42" s="165">
        <v>5.5729696000000004</v>
      </c>
      <c r="AG42" s="379"/>
      <c r="AH42" s="165">
        <v>6.0238756000000002</v>
      </c>
      <c r="AI42" s="379"/>
      <c r="AJ42" s="165">
        <v>7.0840974000000001</v>
      </c>
      <c r="AK42" s="379"/>
      <c r="AL42" s="165">
        <v>6.9418553999999997</v>
      </c>
      <c r="AM42" s="379"/>
      <c r="AN42" s="165">
        <v>8.1311164999999992</v>
      </c>
      <c r="AO42" s="379"/>
      <c r="AP42" s="165">
        <v>7.4437461999999996</v>
      </c>
      <c r="AQ42" s="379"/>
      <c r="AR42" s="165">
        <v>7.2571719000000003</v>
      </c>
      <c r="AS42" s="379"/>
      <c r="AT42" s="165">
        <v>8.4039885999999999</v>
      </c>
      <c r="AU42" s="379"/>
      <c r="AV42" s="165">
        <v>18.146456100000002</v>
      </c>
      <c r="AW42" s="379"/>
      <c r="AX42" s="165">
        <v>31.532313899999998</v>
      </c>
      <c r="AY42" s="379"/>
      <c r="AZ42" s="165">
        <v>21.344468200000001</v>
      </c>
      <c r="BA42" s="379"/>
      <c r="BB42" s="165">
        <v>24.4343182</v>
      </c>
      <c r="BC42" s="379"/>
      <c r="BD42" s="165">
        <v>20.282275599999998</v>
      </c>
      <c r="BE42" s="379"/>
      <c r="BF42" s="165">
        <v>18.715699900000001</v>
      </c>
      <c r="BG42" s="379"/>
      <c r="BH42" s="225"/>
      <c r="BI42" s="184"/>
      <c r="CJ42" s="150"/>
      <c r="CK42" s="150"/>
      <c r="CL42" s="150"/>
      <c r="CM42" s="151" t="s">
        <v>844</v>
      </c>
      <c r="CN42" s="150" t="s">
        <v>1130</v>
      </c>
      <c r="CO42" s="150"/>
      <c r="CP42" s="150"/>
      <c r="CQ42" s="150"/>
      <c r="CR42" s="150"/>
      <c r="CS42" s="150"/>
      <c r="CT42" s="150"/>
    </row>
    <row r="43" spans="1:98" s="11" customFormat="1" ht="12.75" customHeight="1">
      <c r="A43" s="310"/>
      <c r="B43" s="308" t="str">
        <f>Parameters!Q42</f>
        <v>G46</v>
      </c>
      <c r="C43" s="309"/>
      <c r="D43" s="495" t="str">
        <f>Parameters!S42</f>
        <v>Wholesale trade, except of motor vehicles and motorcycles</v>
      </c>
      <c r="E43" s="496"/>
      <c r="F43" s="224"/>
      <c r="G43" s="379"/>
      <c r="H43" s="225"/>
      <c r="I43" s="379"/>
      <c r="J43" s="225"/>
      <c r="K43" s="379"/>
      <c r="L43" s="225"/>
      <c r="M43" s="379"/>
      <c r="N43" s="225"/>
      <c r="O43" s="379"/>
      <c r="P43" s="225"/>
      <c r="Q43" s="379"/>
      <c r="R43" s="225"/>
      <c r="S43" s="379"/>
      <c r="T43" s="225"/>
      <c r="U43" s="379"/>
      <c r="V43" s="225"/>
      <c r="W43" s="379"/>
      <c r="X43" s="225"/>
      <c r="Y43" s="379"/>
      <c r="Z43" s="225"/>
      <c r="AA43" s="379"/>
      <c r="AB43" s="225"/>
      <c r="AC43" s="379"/>
      <c r="AD43" s="225"/>
      <c r="AE43" s="379"/>
      <c r="AF43" s="165">
        <v>12.580906300000001</v>
      </c>
      <c r="AG43" s="379"/>
      <c r="AH43" s="165">
        <v>14.067976399999999</v>
      </c>
      <c r="AI43" s="379"/>
      <c r="AJ43" s="165">
        <v>17.703612799999998</v>
      </c>
      <c r="AK43" s="379"/>
      <c r="AL43" s="165">
        <v>16.477727900000001</v>
      </c>
      <c r="AM43" s="379"/>
      <c r="AN43" s="165">
        <v>19.132732399999998</v>
      </c>
      <c r="AO43" s="379"/>
      <c r="AP43" s="165">
        <v>17.554235899999998</v>
      </c>
      <c r="AQ43" s="379"/>
      <c r="AR43" s="165">
        <v>16.09225</v>
      </c>
      <c r="AS43" s="379"/>
      <c r="AT43" s="165">
        <v>18.9287116</v>
      </c>
      <c r="AU43" s="379"/>
      <c r="AV43" s="165">
        <v>42.518631499999998</v>
      </c>
      <c r="AW43" s="379"/>
      <c r="AX43" s="165">
        <v>67.943156900000005</v>
      </c>
      <c r="AY43" s="379"/>
      <c r="AZ43" s="165">
        <v>48.995223699999997</v>
      </c>
      <c r="BA43" s="379"/>
      <c r="BB43" s="165">
        <v>61.914179099999998</v>
      </c>
      <c r="BC43" s="379"/>
      <c r="BD43" s="165">
        <v>48.900227100000002</v>
      </c>
      <c r="BE43" s="379"/>
      <c r="BF43" s="165">
        <v>43.673807600000004</v>
      </c>
      <c r="BG43" s="379"/>
      <c r="BH43" s="225"/>
      <c r="BI43" s="184"/>
      <c r="CJ43" s="150"/>
      <c r="CK43" s="150"/>
      <c r="CL43" s="150"/>
      <c r="CM43" s="151" t="s">
        <v>848</v>
      </c>
      <c r="CN43" s="150" t="s">
        <v>1130</v>
      </c>
      <c r="CO43" s="150"/>
      <c r="CP43" s="150"/>
      <c r="CQ43" s="150"/>
      <c r="CR43" s="150"/>
      <c r="CS43" s="150"/>
      <c r="CT43" s="150"/>
    </row>
    <row r="44" spans="1:98" s="11" customFormat="1" ht="12.75" customHeight="1">
      <c r="A44" s="310"/>
      <c r="B44" s="308" t="str">
        <f>Parameters!Q43</f>
        <v>G47</v>
      </c>
      <c r="C44" s="309"/>
      <c r="D44" s="495" t="str">
        <f>Parameters!S43</f>
        <v>Retail trade, except of motor vehicles and motorcycles</v>
      </c>
      <c r="E44" s="496"/>
      <c r="F44" s="224"/>
      <c r="G44" s="379"/>
      <c r="H44" s="225"/>
      <c r="I44" s="379"/>
      <c r="J44" s="225"/>
      <c r="K44" s="379"/>
      <c r="L44" s="225"/>
      <c r="M44" s="379"/>
      <c r="N44" s="225"/>
      <c r="O44" s="379"/>
      <c r="P44" s="225"/>
      <c r="Q44" s="379"/>
      <c r="R44" s="225"/>
      <c r="S44" s="379"/>
      <c r="T44" s="225"/>
      <c r="U44" s="379"/>
      <c r="V44" s="225"/>
      <c r="W44" s="379"/>
      <c r="X44" s="225"/>
      <c r="Y44" s="379"/>
      <c r="Z44" s="225"/>
      <c r="AA44" s="379"/>
      <c r="AB44" s="225"/>
      <c r="AC44" s="379"/>
      <c r="AD44" s="225"/>
      <c r="AE44" s="379"/>
      <c r="AF44" s="165">
        <v>5.5727592000000001</v>
      </c>
      <c r="AG44" s="379"/>
      <c r="AH44" s="165">
        <v>6.2131259999999999</v>
      </c>
      <c r="AI44" s="379"/>
      <c r="AJ44" s="165">
        <v>7.5166181999999999</v>
      </c>
      <c r="AK44" s="379"/>
      <c r="AL44" s="165">
        <v>8.1423439999999996</v>
      </c>
      <c r="AM44" s="379"/>
      <c r="AN44" s="165">
        <v>9.1223130000000001</v>
      </c>
      <c r="AO44" s="379"/>
      <c r="AP44" s="165">
        <v>8.1130464</v>
      </c>
      <c r="AQ44" s="379"/>
      <c r="AR44" s="165">
        <v>7.2178091000000002</v>
      </c>
      <c r="AS44" s="379"/>
      <c r="AT44" s="165">
        <v>7.7793241999999996</v>
      </c>
      <c r="AU44" s="379"/>
      <c r="AV44" s="165">
        <v>17.1231315</v>
      </c>
      <c r="AW44" s="379"/>
      <c r="AX44" s="165">
        <v>25.7169463</v>
      </c>
      <c r="AY44" s="379"/>
      <c r="AZ44" s="165">
        <v>17.478273000000002</v>
      </c>
      <c r="BA44" s="379"/>
      <c r="BB44" s="165">
        <v>23.895923799999998</v>
      </c>
      <c r="BC44" s="379"/>
      <c r="BD44" s="165">
        <v>18.474185800000001</v>
      </c>
      <c r="BE44" s="379"/>
      <c r="BF44" s="165">
        <v>13.152115200000001</v>
      </c>
      <c r="BG44" s="379"/>
      <c r="BH44" s="225"/>
      <c r="BI44" s="184"/>
      <c r="CJ44" s="150"/>
      <c r="CK44" s="150"/>
      <c r="CL44" s="150"/>
      <c r="CM44" s="151" t="s">
        <v>854</v>
      </c>
      <c r="CN44" s="150" t="s">
        <v>1130</v>
      </c>
      <c r="CO44" s="150"/>
      <c r="CP44" s="150"/>
      <c r="CQ44" s="150"/>
      <c r="CR44" s="150"/>
      <c r="CS44" s="150"/>
      <c r="CT44" s="150"/>
    </row>
    <row r="45" spans="1:98" s="11" customFormat="1" ht="12.75" customHeight="1">
      <c r="A45" s="25"/>
      <c r="B45" s="87" t="str">
        <f>Parameters!Q44</f>
        <v>H</v>
      </c>
      <c r="C45" s="88"/>
      <c r="D45" s="498" t="str">
        <f>Parameters!S44</f>
        <v>Transportation and storage</v>
      </c>
      <c r="E45" s="499"/>
      <c r="F45" s="222"/>
      <c r="G45" s="379"/>
      <c r="H45" s="223"/>
      <c r="I45" s="379"/>
      <c r="J45" s="223"/>
      <c r="K45" s="379"/>
      <c r="L45" s="223"/>
      <c r="M45" s="379"/>
      <c r="N45" s="223"/>
      <c r="O45" s="379"/>
      <c r="P45" s="223"/>
      <c r="Q45" s="379"/>
      <c r="R45" s="223"/>
      <c r="S45" s="379"/>
      <c r="T45" s="223"/>
      <c r="U45" s="379"/>
      <c r="V45" s="223"/>
      <c r="W45" s="379"/>
      <c r="X45" s="223"/>
      <c r="Y45" s="379"/>
      <c r="Z45" s="223"/>
      <c r="AA45" s="379"/>
      <c r="AB45" s="223"/>
      <c r="AC45" s="379"/>
      <c r="AD45" s="223"/>
      <c r="AE45" s="379"/>
      <c r="AF45" s="164">
        <v>92.676173599999998</v>
      </c>
      <c r="AG45" s="379"/>
      <c r="AH45" s="164">
        <v>105.4674187</v>
      </c>
      <c r="AI45" s="379"/>
      <c r="AJ45" s="164">
        <v>114.7092403</v>
      </c>
      <c r="AK45" s="379"/>
      <c r="AL45" s="164">
        <v>109.0254881</v>
      </c>
      <c r="AM45" s="379"/>
      <c r="AN45" s="164">
        <v>121.69113729999999</v>
      </c>
      <c r="AO45" s="379"/>
      <c r="AP45" s="164">
        <v>114.5512803</v>
      </c>
      <c r="AQ45" s="379"/>
      <c r="AR45" s="164">
        <v>121.8722313</v>
      </c>
      <c r="AS45" s="379"/>
      <c r="AT45" s="164">
        <v>149.41405990000001</v>
      </c>
      <c r="AU45" s="379"/>
      <c r="AV45" s="247">
        <v>297.93476829999997</v>
      </c>
      <c r="AW45" s="379" t="s">
        <v>444</v>
      </c>
      <c r="AX45" s="247">
        <v>470.74488550000001</v>
      </c>
      <c r="AY45" s="379" t="s">
        <v>444</v>
      </c>
      <c r="AZ45" s="164">
        <v>379.51284329999999</v>
      </c>
      <c r="BA45" s="379"/>
      <c r="BB45" s="164">
        <v>474.78329489999999</v>
      </c>
      <c r="BC45" s="379"/>
      <c r="BD45" s="164">
        <v>387.12052260000002</v>
      </c>
      <c r="BE45" s="379"/>
      <c r="BF45" s="164">
        <v>366.37914039999998</v>
      </c>
      <c r="BG45" s="379"/>
      <c r="BH45" s="223"/>
      <c r="BI45" s="184"/>
      <c r="CJ45" s="150"/>
      <c r="CK45" s="150"/>
      <c r="CL45" s="150"/>
      <c r="CM45" s="151" t="s">
        <v>862</v>
      </c>
      <c r="CN45" s="150" t="s">
        <v>1130</v>
      </c>
      <c r="CO45" s="150"/>
      <c r="CP45" s="150"/>
      <c r="CQ45" s="150"/>
      <c r="CR45" s="150"/>
      <c r="CS45" s="150"/>
      <c r="CT45" s="150"/>
    </row>
    <row r="46" spans="1:98" s="10" customFormat="1" ht="12.75" customHeight="1">
      <c r="A46" s="310"/>
      <c r="B46" s="308" t="str">
        <f>Parameters!Q45</f>
        <v>H49</v>
      </c>
      <c r="C46" s="309"/>
      <c r="D46" s="495" t="str">
        <f>Parameters!S45</f>
        <v>Land transport and transport via pipelines</v>
      </c>
      <c r="E46" s="496"/>
      <c r="F46" s="224"/>
      <c r="G46" s="379"/>
      <c r="H46" s="225"/>
      <c r="I46" s="379"/>
      <c r="J46" s="225"/>
      <c r="K46" s="379"/>
      <c r="L46" s="225"/>
      <c r="M46" s="379"/>
      <c r="N46" s="225"/>
      <c r="O46" s="379"/>
      <c r="P46" s="225"/>
      <c r="Q46" s="379"/>
      <c r="R46" s="225"/>
      <c r="S46" s="379"/>
      <c r="T46" s="225"/>
      <c r="U46" s="379"/>
      <c r="V46" s="225"/>
      <c r="W46" s="379"/>
      <c r="X46" s="225"/>
      <c r="Y46" s="379"/>
      <c r="Z46" s="225"/>
      <c r="AA46" s="379"/>
      <c r="AB46" s="225"/>
      <c r="AC46" s="379"/>
      <c r="AD46" s="225"/>
      <c r="AE46" s="379"/>
      <c r="AF46" s="165">
        <v>88.329844100000003</v>
      </c>
      <c r="AG46" s="379"/>
      <c r="AH46" s="165">
        <v>100.1752082</v>
      </c>
      <c r="AI46" s="379"/>
      <c r="AJ46" s="165">
        <v>107.1886167</v>
      </c>
      <c r="AK46" s="379"/>
      <c r="AL46" s="165">
        <v>104.6333513</v>
      </c>
      <c r="AM46" s="379"/>
      <c r="AN46" s="165">
        <v>116.7099788</v>
      </c>
      <c r="AO46" s="379"/>
      <c r="AP46" s="165">
        <v>107.0625198</v>
      </c>
      <c r="AQ46" s="379"/>
      <c r="AR46" s="165">
        <v>115.85199900000001</v>
      </c>
      <c r="AS46" s="379"/>
      <c r="AT46" s="165">
        <v>144.15218150000001</v>
      </c>
      <c r="AU46" s="379"/>
      <c r="AV46" s="251">
        <v>281.92190470000003</v>
      </c>
      <c r="AW46" s="379" t="s">
        <v>444</v>
      </c>
      <c r="AX46" s="165">
        <v>441.99829929999999</v>
      </c>
      <c r="AY46" s="379"/>
      <c r="AZ46" s="165">
        <v>357.79616920000001</v>
      </c>
      <c r="BA46" s="379"/>
      <c r="BB46" s="165">
        <v>447.09319649999998</v>
      </c>
      <c r="BC46" s="379"/>
      <c r="BD46" s="165">
        <v>357.68886350000002</v>
      </c>
      <c r="BE46" s="379"/>
      <c r="BF46" s="165">
        <v>333.69636159999999</v>
      </c>
      <c r="BG46" s="379"/>
      <c r="BH46" s="225"/>
      <c r="BI46" s="184"/>
      <c r="CJ46" s="150"/>
      <c r="CK46" s="150"/>
      <c r="CL46" s="150"/>
      <c r="CM46" s="151" t="s">
        <v>869</v>
      </c>
      <c r="CN46" s="150" t="s">
        <v>1130</v>
      </c>
      <c r="CO46" s="150"/>
      <c r="CP46" s="150"/>
      <c r="CQ46" s="150"/>
      <c r="CR46" s="150"/>
      <c r="CS46" s="150"/>
      <c r="CT46" s="150"/>
    </row>
    <row r="47" spans="1:98" s="10" customFormat="1" ht="12.75" customHeight="1">
      <c r="A47" s="310"/>
      <c r="B47" s="308" t="str">
        <f>Parameters!Q46</f>
        <v>H50</v>
      </c>
      <c r="C47" s="309"/>
      <c r="D47" s="495" t="str">
        <f>Parameters!S46</f>
        <v>Water transport</v>
      </c>
      <c r="E47" s="497"/>
      <c r="F47" s="224"/>
      <c r="G47" s="379"/>
      <c r="H47" s="225"/>
      <c r="I47" s="379"/>
      <c r="J47" s="225"/>
      <c r="K47" s="379"/>
      <c r="L47" s="225"/>
      <c r="M47" s="379"/>
      <c r="N47" s="225"/>
      <c r="O47" s="379"/>
      <c r="P47" s="225"/>
      <c r="Q47" s="379"/>
      <c r="R47" s="225"/>
      <c r="S47" s="379"/>
      <c r="T47" s="225"/>
      <c r="U47" s="379"/>
      <c r="V47" s="225"/>
      <c r="W47" s="379"/>
      <c r="X47" s="225"/>
      <c r="Y47" s="379"/>
      <c r="Z47" s="225"/>
      <c r="AA47" s="379"/>
      <c r="AB47" s="225"/>
      <c r="AC47" s="379"/>
      <c r="AD47" s="225"/>
      <c r="AE47" s="379"/>
      <c r="AF47" s="165">
        <v>0.49903219999999998</v>
      </c>
      <c r="AG47" s="379"/>
      <c r="AH47" s="165">
        <v>0.99018119999999998</v>
      </c>
      <c r="AI47" s="379"/>
      <c r="AJ47" s="165">
        <v>0.1670449</v>
      </c>
      <c r="AK47" s="379"/>
      <c r="AL47" s="165">
        <v>0.1646186</v>
      </c>
      <c r="AM47" s="379"/>
      <c r="AN47" s="165">
        <v>6.1551700000000001E-2</v>
      </c>
      <c r="AO47" s="379"/>
      <c r="AP47" s="165">
        <v>0.15731329999999999</v>
      </c>
      <c r="AQ47" s="379"/>
      <c r="AR47" s="165">
        <v>0.16702349999999999</v>
      </c>
      <c r="AS47" s="379"/>
      <c r="AT47" s="165">
        <v>0.19443479999999999</v>
      </c>
      <c r="AU47" s="379"/>
      <c r="AV47" s="165">
        <v>3.9885443</v>
      </c>
      <c r="AW47" s="379"/>
      <c r="AX47" s="165">
        <v>7.3311852999999996</v>
      </c>
      <c r="AY47" s="379"/>
      <c r="AZ47" s="165">
        <v>6.1658643</v>
      </c>
      <c r="BA47" s="379"/>
      <c r="BB47" s="165">
        <v>7.0788799999999998</v>
      </c>
      <c r="BC47" s="379"/>
      <c r="BD47" s="165">
        <v>13.9328059</v>
      </c>
      <c r="BE47" s="379"/>
      <c r="BF47" s="165">
        <v>12.925818100000001</v>
      </c>
      <c r="BG47" s="379"/>
      <c r="BH47" s="225"/>
      <c r="BI47" s="184"/>
      <c r="CJ47" s="150"/>
      <c r="CK47" s="150"/>
      <c r="CL47" s="150"/>
      <c r="CM47" s="151" t="s">
        <v>877</v>
      </c>
      <c r="CN47" s="150" t="s">
        <v>1130</v>
      </c>
      <c r="CO47" s="150"/>
      <c r="CP47" s="150"/>
      <c r="CQ47" s="150"/>
      <c r="CR47" s="150"/>
      <c r="CS47" s="150"/>
      <c r="CT47" s="150"/>
    </row>
    <row r="48" spans="1:98" s="11" customFormat="1" ht="12.75" customHeight="1">
      <c r="A48" s="310"/>
      <c r="B48" s="308" t="str">
        <f>Parameters!Q47</f>
        <v>H51</v>
      </c>
      <c r="C48" s="309"/>
      <c r="D48" s="495" t="str">
        <f>Parameters!S47</f>
        <v>Air transport</v>
      </c>
      <c r="E48" s="510"/>
      <c r="F48" s="224"/>
      <c r="G48" s="379"/>
      <c r="H48" s="225"/>
      <c r="I48" s="379"/>
      <c r="J48" s="225"/>
      <c r="K48" s="379"/>
      <c r="L48" s="225"/>
      <c r="M48" s="379"/>
      <c r="N48" s="225"/>
      <c r="O48" s="379"/>
      <c r="P48" s="225"/>
      <c r="Q48" s="379"/>
      <c r="R48" s="225"/>
      <c r="S48" s="379"/>
      <c r="T48" s="225"/>
      <c r="U48" s="379"/>
      <c r="V48" s="225"/>
      <c r="W48" s="379"/>
      <c r="X48" s="225"/>
      <c r="Y48" s="379"/>
      <c r="Z48" s="225"/>
      <c r="AA48" s="379"/>
      <c r="AB48" s="225"/>
      <c r="AC48" s="379"/>
      <c r="AD48" s="225"/>
      <c r="AE48" s="379"/>
      <c r="AF48" s="165">
        <v>1.184E-4</v>
      </c>
      <c r="AG48" s="379"/>
      <c r="AH48" s="165">
        <v>5.7299999999999997E-5</v>
      </c>
      <c r="AI48" s="379"/>
      <c r="AJ48" s="165">
        <v>0.11692039999999999</v>
      </c>
      <c r="AK48" s="379"/>
      <c r="AL48" s="165">
        <v>4.0117600000000003E-2</v>
      </c>
      <c r="AM48" s="379"/>
      <c r="AN48" s="165">
        <v>4.4678299999999997E-2</v>
      </c>
      <c r="AO48" s="379"/>
      <c r="AP48" s="165">
        <v>2.3050399999999999E-2</v>
      </c>
      <c r="AQ48" s="379"/>
      <c r="AR48" s="165">
        <v>3.15106E-2</v>
      </c>
      <c r="AS48" s="379"/>
      <c r="AT48" s="165">
        <v>3.7701999999999999E-2</v>
      </c>
      <c r="AU48" s="379"/>
      <c r="AV48" s="165">
        <v>7.4504500000000001E-2</v>
      </c>
      <c r="AW48" s="379"/>
      <c r="AX48" s="165">
        <v>0.18563660000000001</v>
      </c>
      <c r="AY48" s="379"/>
      <c r="AZ48" s="165">
        <v>0.1298868</v>
      </c>
      <c r="BA48" s="379"/>
      <c r="BB48" s="165">
        <v>0.19284219999999999</v>
      </c>
      <c r="BC48" s="379"/>
      <c r="BD48" s="165">
        <v>0.44268020000000002</v>
      </c>
      <c r="BE48" s="379"/>
      <c r="BF48" s="165">
        <v>6.5422985000000002</v>
      </c>
      <c r="BG48" s="379"/>
      <c r="BH48" s="225"/>
      <c r="BI48" s="184"/>
      <c r="CJ48" s="150"/>
      <c r="CK48" s="150"/>
      <c r="CL48" s="150"/>
      <c r="CM48" s="151" t="s">
        <v>884</v>
      </c>
      <c r="CN48" s="150" t="s">
        <v>1130</v>
      </c>
      <c r="CO48" s="150"/>
      <c r="CP48" s="150"/>
      <c r="CQ48" s="150"/>
      <c r="CR48" s="150"/>
      <c r="CS48" s="150"/>
      <c r="CT48" s="150"/>
    </row>
    <row r="49" spans="1:98" s="11" customFormat="1" ht="12.75" customHeight="1">
      <c r="A49" s="310"/>
      <c r="B49" s="308" t="str">
        <f>Parameters!Q48</f>
        <v>H52</v>
      </c>
      <c r="C49" s="309"/>
      <c r="D49" s="495" t="str">
        <f>Parameters!S48</f>
        <v>Warehousing and support activities for transportation</v>
      </c>
      <c r="E49" s="510"/>
      <c r="F49" s="224"/>
      <c r="G49" s="379"/>
      <c r="H49" s="225"/>
      <c r="I49" s="379"/>
      <c r="J49" s="225"/>
      <c r="K49" s="379"/>
      <c r="L49" s="225"/>
      <c r="M49" s="379"/>
      <c r="N49" s="225"/>
      <c r="O49" s="379"/>
      <c r="P49" s="225"/>
      <c r="Q49" s="379"/>
      <c r="R49" s="225"/>
      <c r="S49" s="379"/>
      <c r="T49" s="225"/>
      <c r="U49" s="379"/>
      <c r="V49" s="225"/>
      <c r="W49" s="379"/>
      <c r="X49" s="225"/>
      <c r="Y49" s="379"/>
      <c r="Z49" s="225"/>
      <c r="AA49" s="379"/>
      <c r="AB49" s="225"/>
      <c r="AC49" s="379"/>
      <c r="AD49" s="225"/>
      <c r="AE49" s="379"/>
      <c r="AF49" s="165">
        <v>2.4820886</v>
      </c>
      <c r="AG49" s="379"/>
      <c r="AH49" s="165">
        <v>2.7754405000000002</v>
      </c>
      <c r="AI49" s="379"/>
      <c r="AJ49" s="165">
        <v>5.2382909</v>
      </c>
      <c r="AK49" s="379"/>
      <c r="AL49" s="165">
        <v>2.5158873000000002</v>
      </c>
      <c r="AM49" s="379"/>
      <c r="AN49" s="165">
        <v>2.7743692000000002</v>
      </c>
      <c r="AO49" s="379"/>
      <c r="AP49" s="165">
        <v>5.2289295999999998</v>
      </c>
      <c r="AQ49" s="379"/>
      <c r="AR49" s="165">
        <v>3.7948586</v>
      </c>
      <c r="AS49" s="379"/>
      <c r="AT49" s="165">
        <v>2.9896405000000001</v>
      </c>
      <c r="AU49" s="379"/>
      <c r="AV49" s="165">
        <v>6.8426898999999999</v>
      </c>
      <c r="AW49" s="379"/>
      <c r="AX49" s="165">
        <v>12.1910615</v>
      </c>
      <c r="AY49" s="379"/>
      <c r="AZ49" s="165">
        <v>9.0969031000000005</v>
      </c>
      <c r="BA49" s="379"/>
      <c r="BB49" s="165">
        <v>11.3698493</v>
      </c>
      <c r="BC49" s="379"/>
      <c r="BD49" s="165">
        <v>8.5615915999999999</v>
      </c>
      <c r="BE49" s="379"/>
      <c r="BF49" s="165">
        <v>6.4537937999999997</v>
      </c>
      <c r="BG49" s="379"/>
      <c r="BH49" s="225"/>
      <c r="BI49" s="184"/>
      <c r="CJ49" s="150"/>
      <c r="CK49" s="150"/>
      <c r="CL49" s="150"/>
      <c r="CM49" s="151" t="s">
        <v>891</v>
      </c>
      <c r="CN49" s="150" t="s">
        <v>1130</v>
      </c>
      <c r="CO49" s="150"/>
      <c r="CP49" s="150"/>
      <c r="CQ49" s="150"/>
      <c r="CR49" s="150"/>
      <c r="CS49" s="150"/>
      <c r="CT49" s="150"/>
    </row>
    <row r="50" spans="1:98" s="11" customFormat="1" ht="12.75" customHeight="1">
      <c r="A50" s="310"/>
      <c r="B50" s="308" t="str">
        <f>Parameters!Q49</f>
        <v>H53</v>
      </c>
      <c r="C50" s="309"/>
      <c r="D50" s="495" t="str">
        <f>Parameters!S49</f>
        <v>Postal and courier activities</v>
      </c>
      <c r="E50" s="510"/>
      <c r="F50" s="224"/>
      <c r="G50" s="379"/>
      <c r="H50" s="225"/>
      <c r="I50" s="379"/>
      <c r="J50" s="225"/>
      <c r="K50" s="379"/>
      <c r="L50" s="225"/>
      <c r="M50" s="379"/>
      <c r="N50" s="225"/>
      <c r="O50" s="379"/>
      <c r="P50" s="225"/>
      <c r="Q50" s="379"/>
      <c r="R50" s="225"/>
      <c r="S50" s="379"/>
      <c r="T50" s="225"/>
      <c r="U50" s="379"/>
      <c r="V50" s="225"/>
      <c r="W50" s="379"/>
      <c r="X50" s="225"/>
      <c r="Y50" s="379"/>
      <c r="Z50" s="225"/>
      <c r="AA50" s="379"/>
      <c r="AB50" s="225"/>
      <c r="AC50" s="379"/>
      <c r="AD50" s="225"/>
      <c r="AE50" s="379"/>
      <c r="AF50" s="165">
        <v>1.3650903000000001</v>
      </c>
      <c r="AG50" s="379" t="s">
        <v>420</v>
      </c>
      <c r="AH50" s="165">
        <v>1.5265314999999999</v>
      </c>
      <c r="AI50" s="379" t="s">
        <v>420</v>
      </c>
      <c r="AJ50" s="165">
        <v>1.9983673</v>
      </c>
      <c r="AK50" s="379" t="s">
        <v>420</v>
      </c>
      <c r="AL50" s="165">
        <v>1.6715133</v>
      </c>
      <c r="AM50" s="379" t="s">
        <v>420</v>
      </c>
      <c r="AN50" s="165">
        <v>2.1005593</v>
      </c>
      <c r="AO50" s="379" t="s">
        <v>420</v>
      </c>
      <c r="AP50" s="165">
        <v>2.0794671999999998</v>
      </c>
      <c r="AQ50" s="379" t="s">
        <v>420</v>
      </c>
      <c r="AR50" s="165">
        <v>2.0268396000000002</v>
      </c>
      <c r="AS50" s="379" t="s">
        <v>420</v>
      </c>
      <c r="AT50" s="165">
        <v>2.0401010999999998</v>
      </c>
      <c r="AU50" s="379" t="s">
        <v>420</v>
      </c>
      <c r="AV50" s="165">
        <v>5.1071248999999996</v>
      </c>
      <c r="AW50" s="379" t="s">
        <v>420</v>
      </c>
      <c r="AX50" s="165">
        <v>9.0387027999999994</v>
      </c>
      <c r="AY50" s="379" t="s">
        <v>420</v>
      </c>
      <c r="AZ50" s="165">
        <v>6.3240198999999997</v>
      </c>
      <c r="BA50" s="379" t="s">
        <v>420</v>
      </c>
      <c r="BB50" s="165">
        <v>9.0485269000000006</v>
      </c>
      <c r="BC50" s="379" t="s">
        <v>420</v>
      </c>
      <c r="BD50" s="165">
        <v>6.4945814000000004</v>
      </c>
      <c r="BE50" s="379" t="s">
        <v>420</v>
      </c>
      <c r="BF50" s="165">
        <v>6.7608683999999997</v>
      </c>
      <c r="BG50" s="379" t="s">
        <v>420</v>
      </c>
      <c r="BH50" s="225"/>
      <c r="BI50" s="184"/>
      <c r="CJ50" s="150"/>
      <c r="CK50" s="150"/>
      <c r="CL50" s="150"/>
      <c r="CM50" s="151" t="s">
        <v>897</v>
      </c>
      <c r="CN50" s="150" t="s">
        <v>1130</v>
      </c>
      <c r="CO50" s="150"/>
      <c r="CP50" s="150"/>
      <c r="CQ50" s="150"/>
      <c r="CR50" s="150"/>
      <c r="CS50" s="150"/>
      <c r="CT50" s="150"/>
    </row>
    <row r="51" spans="1:98" s="10" customFormat="1" ht="12.75" customHeight="1">
      <c r="A51" s="25"/>
      <c r="B51" s="87" t="str">
        <f>Parameters!Q50</f>
        <v>I</v>
      </c>
      <c r="C51" s="88"/>
      <c r="D51" s="498" t="str">
        <f>Parameters!S50</f>
        <v>Accommodation and food service activities</v>
      </c>
      <c r="E51" s="496"/>
      <c r="F51" s="222"/>
      <c r="G51" s="379"/>
      <c r="H51" s="223"/>
      <c r="I51" s="379"/>
      <c r="J51" s="223"/>
      <c r="K51" s="379"/>
      <c r="L51" s="223"/>
      <c r="M51" s="379"/>
      <c r="N51" s="223"/>
      <c r="O51" s="379"/>
      <c r="P51" s="223"/>
      <c r="Q51" s="379"/>
      <c r="R51" s="223"/>
      <c r="S51" s="379"/>
      <c r="T51" s="223"/>
      <c r="U51" s="379"/>
      <c r="V51" s="223"/>
      <c r="W51" s="379"/>
      <c r="X51" s="223"/>
      <c r="Y51" s="379"/>
      <c r="Z51" s="223"/>
      <c r="AA51" s="379"/>
      <c r="AB51" s="223"/>
      <c r="AC51" s="379"/>
      <c r="AD51" s="223"/>
      <c r="AE51" s="379"/>
      <c r="AF51" s="164">
        <v>1.1493437</v>
      </c>
      <c r="AG51" s="379"/>
      <c r="AH51" s="164">
        <v>1.2841773999999999</v>
      </c>
      <c r="AI51" s="379"/>
      <c r="AJ51" s="164">
        <v>1.5316109</v>
      </c>
      <c r="AK51" s="379"/>
      <c r="AL51" s="164">
        <v>1.5588336</v>
      </c>
      <c r="AM51" s="379"/>
      <c r="AN51" s="164">
        <v>1.8422795000000001</v>
      </c>
      <c r="AO51" s="379"/>
      <c r="AP51" s="164">
        <v>1.5934607000000001</v>
      </c>
      <c r="AQ51" s="379"/>
      <c r="AR51" s="164">
        <v>1.5060906000000001</v>
      </c>
      <c r="AS51" s="379"/>
      <c r="AT51" s="164">
        <v>1.8390388</v>
      </c>
      <c r="AU51" s="379"/>
      <c r="AV51" s="164">
        <v>4.2138651999999999</v>
      </c>
      <c r="AW51" s="379"/>
      <c r="AX51" s="164">
        <v>5.9154961000000004</v>
      </c>
      <c r="AY51" s="379"/>
      <c r="AZ51" s="164">
        <v>4.5009253999999999</v>
      </c>
      <c r="BA51" s="379"/>
      <c r="BB51" s="164">
        <v>5.2732704999999997</v>
      </c>
      <c r="BC51" s="379"/>
      <c r="BD51" s="164">
        <v>3.5962947000000001</v>
      </c>
      <c r="BE51" s="379"/>
      <c r="BF51" s="164">
        <v>3.1686553000000002</v>
      </c>
      <c r="BG51" s="379"/>
      <c r="BH51" s="223"/>
      <c r="BI51" s="184"/>
      <c r="CJ51" s="150"/>
      <c r="CK51" s="150"/>
      <c r="CL51" s="150"/>
      <c r="CM51" s="151" t="s">
        <v>904</v>
      </c>
      <c r="CN51" s="150" t="s">
        <v>1130</v>
      </c>
      <c r="CO51" s="150"/>
      <c r="CP51" s="150"/>
      <c r="CQ51" s="150"/>
      <c r="CR51" s="150"/>
      <c r="CS51" s="150"/>
      <c r="CT51" s="150"/>
    </row>
    <row r="52" spans="1:98" s="10" customFormat="1" ht="12.75" customHeight="1">
      <c r="A52" s="25"/>
      <c r="B52" s="87" t="str">
        <f>Parameters!Q51</f>
        <v>J</v>
      </c>
      <c r="C52" s="88"/>
      <c r="D52" s="498" t="str">
        <f>Parameters!S51</f>
        <v>Information and communication</v>
      </c>
      <c r="E52" s="499"/>
      <c r="F52" s="222"/>
      <c r="G52" s="379"/>
      <c r="H52" s="223"/>
      <c r="I52" s="379"/>
      <c r="J52" s="223"/>
      <c r="K52" s="379"/>
      <c r="L52" s="223"/>
      <c r="M52" s="379"/>
      <c r="N52" s="223"/>
      <c r="O52" s="379"/>
      <c r="P52" s="223"/>
      <c r="Q52" s="379"/>
      <c r="R52" s="223"/>
      <c r="S52" s="379"/>
      <c r="T52" s="223"/>
      <c r="U52" s="379"/>
      <c r="V52" s="223"/>
      <c r="W52" s="379"/>
      <c r="X52" s="223"/>
      <c r="Y52" s="379"/>
      <c r="Z52" s="223"/>
      <c r="AA52" s="379"/>
      <c r="AB52" s="223"/>
      <c r="AC52" s="379"/>
      <c r="AD52" s="223"/>
      <c r="AE52" s="379"/>
      <c r="AF52" s="164">
        <v>1.0761540999999999</v>
      </c>
      <c r="AG52" s="379"/>
      <c r="AH52" s="164">
        <v>1.2034092999999999</v>
      </c>
      <c r="AI52" s="379"/>
      <c r="AJ52" s="164">
        <v>1.5850550000000001</v>
      </c>
      <c r="AK52" s="379"/>
      <c r="AL52" s="164">
        <v>1.3930513</v>
      </c>
      <c r="AM52" s="379"/>
      <c r="AN52" s="164">
        <v>1.5782773000000001</v>
      </c>
      <c r="AO52" s="379"/>
      <c r="AP52" s="164">
        <v>1.4755529999999999</v>
      </c>
      <c r="AQ52" s="379"/>
      <c r="AR52" s="164">
        <v>1.3034945</v>
      </c>
      <c r="AS52" s="379"/>
      <c r="AT52" s="164">
        <v>1.3246456</v>
      </c>
      <c r="AU52" s="379"/>
      <c r="AV52" s="164">
        <v>2.6907095000000001</v>
      </c>
      <c r="AW52" s="379"/>
      <c r="AX52" s="164">
        <v>3.7737398999999998</v>
      </c>
      <c r="AY52" s="379"/>
      <c r="AZ52" s="164">
        <v>2.6404217999999999</v>
      </c>
      <c r="BA52" s="379"/>
      <c r="BB52" s="164">
        <v>3.4263937000000002</v>
      </c>
      <c r="BC52" s="379"/>
      <c r="BD52" s="164">
        <v>2.4488845000000001</v>
      </c>
      <c r="BE52" s="379"/>
      <c r="BF52" s="164">
        <v>2.1679411000000002</v>
      </c>
      <c r="BG52" s="379"/>
      <c r="BH52" s="223"/>
      <c r="BI52" s="184"/>
      <c r="CJ52" s="150"/>
      <c r="CK52" s="150"/>
      <c r="CL52" s="150"/>
      <c r="CM52" s="153" t="s">
        <v>910</v>
      </c>
      <c r="CN52" s="150" t="s">
        <v>1130</v>
      </c>
      <c r="CO52" s="150"/>
      <c r="CP52" s="150"/>
      <c r="CQ52" s="150"/>
      <c r="CR52" s="150"/>
      <c r="CS52" s="150"/>
      <c r="CT52" s="150"/>
    </row>
    <row r="53" spans="1:98" s="10" customFormat="1" ht="27" customHeight="1">
      <c r="A53" s="26"/>
      <c r="B53" s="89" t="str">
        <f>Parameters!Q52</f>
        <v>J58-J60</v>
      </c>
      <c r="C53" s="90"/>
      <c r="D53" s="504" t="str">
        <f>Parameters!S52</f>
        <v>Publishing, motion picture, video, television programme production; sound recording, programming and broadcasting activities</v>
      </c>
      <c r="E53" s="506"/>
      <c r="F53" s="252"/>
      <c r="G53" s="380"/>
      <c r="H53" s="253"/>
      <c r="I53" s="380"/>
      <c r="J53" s="253"/>
      <c r="K53" s="380"/>
      <c r="L53" s="253"/>
      <c r="M53" s="380"/>
      <c r="N53" s="253"/>
      <c r="O53" s="380"/>
      <c r="P53" s="253"/>
      <c r="Q53" s="380"/>
      <c r="R53" s="253"/>
      <c r="S53" s="380"/>
      <c r="T53" s="253"/>
      <c r="U53" s="380"/>
      <c r="V53" s="253"/>
      <c r="W53" s="380"/>
      <c r="X53" s="253"/>
      <c r="Y53" s="380"/>
      <c r="Z53" s="253"/>
      <c r="AA53" s="380"/>
      <c r="AB53" s="253"/>
      <c r="AC53" s="380"/>
      <c r="AD53" s="253"/>
      <c r="AE53" s="380"/>
      <c r="AF53" s="253">
        <v>0.4378322</v>
      </c>
      <c r="AG53" s="380"/>
      <c r="AH53" s="253">
        <v>0.48960520000000002</v>
      </c>
      <c r="AI53" s="380"/>
      <c r="AJ53" s="253">
        <v>0.65921419999999997</v>
      </c>
      <c r="AK53" s="380"/>
      <c r="AL53" s="253">
        <v>0.55618250000000002</v>
      </c>
      <c r="AM53" s="380"/>
      <c r="AN53" s="253">
        <v>0.63904660000000002</v>
      </c>
      <c r="AO53" s="380"/>
      <c r="AP53" s="253">
        <v>0.53478049999999999</v>
      </c>
      <c r="AQ53" s="380"/>
      <c r="AR53" s="253">
        <v>0.50671759999999999</v>
      </c>
      <c r="AS53" s="380"/>
      <c r="AT53" s="253">
        <v>0.49187150000000002</v>
      </c>
      <c r="AU53" s="380"/>
      <c r="AV53" s="253">
        <v>1.0265295000000001</v>
      </c>
      <c r="AW53" s="380"/>
      <c r="AX53" s="253">
        <v>1.5604363000000001</v>
      </c>
      <c r="AY53" s="380"/>
      <c r="AZ53" s="253">
        <v>1.0918108</v>
      </c>
      <c r="BA53" s="380"/>
      <c r="BB53" s="253">
        <v>1.2851353999999999</v>
      </c>
      <c r="BC53" s="380"/>
      <c r="BD53" s="253">
        <v>0.93028359999999999</v>
      </c>
      <c r="BE53" s="380"/>
      <c r="BF53" s="253">
        <v>0.76763159999999997</v>
      </c>
      <c r="BG53" s="380"/>
      <c r="BH53" s="253"/>
      <c r="BI53" s="254"/>
      <c r="CJ53" s="150"/>
      <c r="CK53" s="150"/>
      <c r="CL53" s="150"/>
      <c r="CM53" s="151"/>
      <c r="CN53" s="150"/>
      <c r="CO53" s="150"/>
      <c r="CP53" s="150"/>
      <c r="CQ53" s="150"/>
      <c r="CR53" s="150"/>
      <c r="CS53" s="150"/>
      <c r="CT53" s="150"/>
    </row>
    <row r="54" spans="1:98" s="11" customFormat="1" ht="12.75" customHeight="1">
      <c r="A54" s="310"/>
      <c r="B54" s="308" t="str">
        <f>Parameters!Q53</f>
        <v>J58</v>
      </c>
      <c r="C54" s="309"/>
      <c r="D54" s="495" t="str">
        <f>Parameters!S53</f>
        <v>Publishing activities</v>
      </c>
      <c r="E54" s="510"/>
      <c r="F54" s="224"/>
      <c r="G54" s="379"/>
      <c r="H54" s="225"/>
      <c r="I54" s="379"/>
      <c r="J54" s="225"/>
      <c r="K54" s="379"/>
      <c r="L54" s="225"/>
      <c r="M54" s="379"/>
      <c r="N54" s="225"/>
      <c r="O54" s="379"/>
      <c r="P54" s="225"/>
      <c r="Q54" s="379"/>
      <c r="R54" s="225"/>
      <c r="S54" s="379"/>
      <c r="T54" s="225"/>
      <c r="U54" s="379"/>
      <c r="V54" s="225"/>
      <c r="W54" s="379"/>
      <c r="X54" s="225"/>
      <c r="Y54" s="379"/>
      <c r="Z54" s="225"/>
      <c r="AA54" s="379"/>
      <c r="AB54" s="225"/>
      <c r="AC54" s="379"/>
      <c r="AD54" s="225"/>
      <c r="AE54" s="379"/>
      <c r="AF54" s="165">
        <v>0.26097320000000002</v>
      </c>
      <c r="AG54" s="379"/>
      <c r="AH54" s="165">
        <v>0.29183249999999999</v>
      </c>
      <c r="AI54" s="379"/>
      <c r="AJ54" s="165">
        <v>0.403254</v>
      </c>
      <c r="AK54" s="379"/>
      <c r="AL54" s="165">
        <v>0.32895940000000001</v>
      </c>
      <c r="AM54" s="379"/>
      <c r="AN54" s="165">
        <v>0.37310520000000003</v>
      </c>
      <c r="AO54" s="379"/>
      <c r="AP54" s="165">
        <v>0.34088350000000001</v>
      </c>
      <c r="AQ54" s="379"/>
      <c r="AR54" s="165">
        <v>0.32652409999999998</v>
      </c>
      <c r="AS54" s="379"/>
      <c r="AT54" s="165">
        <v>0.31945079999999998</v>
      </c>
      <c r="AU54" s="379"/>
      <c r="AV54" s="165">
        <v>0.63460159999999999</v>
      </c>
      <c r="AW54" s="379"/>
      <c r="AX54" s="165">
        <v>1.0028598</v>
      </c>
      <c r="AY54" s="379"/>
      <c r="AZ54" s="165">
        <v>0.70168399999999997</v>
      </c>
      <c r="BA54" s="379"/>
      <c r="BB54" s="165">
        <v>0.85514880000000004</v>
      </c>
      <c r="BC54" s="379"/>
      <c r="BD54" s="165">
        <v>0.5901923</v>
      </c>
      <c r="BE54" s="379"/>
      <c r="BF54" s="165">
        <v>0.44348389999999999</v>
      </c>
      <c r="BG54" s="379"/>
      <c r="BH54" s="225"/>
      <c r="BI54" s="184"/>
      <c r="CJ54" s="150"/>
      <c r="CK54" s="150"/>
      <c r="CL54" s="150"/>
      <c r="CM54" s="151" t="s">
        <v>926</v>
      </c>
      <c r="CN54" s="150" t="s">
        <v>1130</v>
      </c>
      <c r="CO54" s="151"/>
      <c r="CP54" s="150"/>
      <c r="CQ54" s="150"/>
      <c r="CR54" s="150"/>
      <c r="CS54" s="150"/>
      <c r="CT54" s="150"/>
    </row>
    <row r="55" spans="1:98" s="11" customFormat="1">
      <c r="A55" s="310"/>
      <c r="B55" s="308" t="str">
        <f>Parameters!Q54</f>
        <v>J59_J60</v>
      </c>
      <c r="C55" s="309"/>
      <c r="D55" s="495" t="str">
        <f>Parameters!S54</f>
        <v>Motion picture, video, television programme production; programming and broadcasting activities</v>
      </c>
      <c r="E55" s="510"/>
      <c r="F55" s="224"/>
      <c r="G55" s="379"/>
      <c r="H55" s="225"/>
      <c r="I55" s="379"/>
      <c r="J55" s="225"/>
      <c r="K55" s="379"/>
      <c r="L55" s="225"/>
      <c r="M55" s="379"/>
      <c r="N55" s="225"/>
      <c r="O55" s="379"/>
      <c r="P55" s="225"/>
      <c r="Q55" s="379"/>
      <c r="R55" s="225"/>
      <c r="S55" s="379"/>
      <c r="T55" s="225"/>
      <c r="U55" s="379"/>
      <c r="V55" s="225"/>
      <c r="W55" s="379"/>
      <c r="X55" s="225"/>
      <c r="Y55" s="379"/>
      <c r="Z55" s="225"/>
      <c r="AA55" s="379"/>
      <c r="AB55" s="225"/>
      <c r="AC55" s="379"/>
      <c r="AD55" s="225"/>
      <c r="AE55" s="379"/>
      <c r="AF55" s="165">
        <v>0.17685890000000001</v>
      </c>
      <c r="AG55" s="379"/>
      <c r="AH55" s="165">
        <v>0.1977727</v>
      </c>
      <c r="AI55" s="379"/>
      <c r="AJ55" s="165">
        <v>0.25596020000000003</v>
      </c>
      <c r="AK55" s="379"/>
      <c r="AL55" s="165">
        <v>0.22722310000000001</v>
      </c>
      <c r="AM55" s="379"/>
      <c r="AN55" s="165">
        <v>0.26594139999999999</v>
      </c>
      <c r="AO55" s="379"/>
      <c r="AP55" s="165">
        <v>0.19389700000000001</v>
      </c>
      <c r="AQ55" s="379"/>
      <c r="AR55" s="165">
        <v>0.18019350000000001</v>
      </c>
      <c r="AS55" s="379"/>
      <c r="AT55" s="165">
        <v>0.17242070000000001</v>
      </c>
      <c r="AU55" s="379"/>
      <c r="AV55" s="165">
        <v>0.3919279</v>
      </c>
      <c r="AW55" s="379"/>
      <c r="AX55" s="165">
        <v>0.55757650000000003</v>
      </c>
      <c r="AY55" s="379"/>
      <c r="AZ55" s="165">
        <v>0.3901268</v>
      </c>
      <c r="BA55" s="379"/>
      <c r="BB55" s="165">
        <v>0.4299866</v>
      </c>
      <c r="BC55" s="379"/>
      <c r="BD55" s="165">
        <v>0.34009129999999999</v>
      </c>
      <c r="BE55" s="379"/>
      <c r="BF55" s="165">
        <v>0.32414769999999998</v>
      </c>
      <c r="BG55" s="379"/>
      <c r="BH55" s="225"/>
      <c r="BI55" s="184"/>
      <c r="CJ55" s="150"/>
      <c r="CK55" s="150"/>
      <c r="CL55" s="150"/>
      <c r="CM55" s="151" t="s">
        <v>1139</v>
      </c>
      <c r="CN55" s="150" t="s">
        <v>1130</v>
      </c>
      <c r="CO55" s="150"/>
      <c r="CP55" s="150"/>
      <c r="CQ55" s="150"/>
      <c r="CR55" s="150"/>
      <c r="CS55" s="150"/>
      <c r="CT55" s="150"/>
    </row>
    <row r="56" spans="1:98" s="11" customFormat="1" ht="12.75" customHeight="1">
      <c r="A56" s="26"/>
      <c r="B56" s="89" t="str">
        <f>Parameters!Q55</f>
        <v>J61</v>
      </c>
      <c r="C56" s="90"/>
      <c r="D56" s="504" t="str">
        <f>Parameters!S55</f>
        <v>Telecommunications</v>
      </c>
      <c r="E56" s="505"/>
      <c r="F56" s="226"/>
      <c r="G56" s="379"/>
      <c r="H56" s="227"/>
      <c r="I56" s="379"/>
      <c r="J56" s="227"/>
      <c r="K56" s="379"/>
      <c r="L56" s="227"/>
      <c r="M56" s="379"/>
      <c r="N56" s="227"/>
      <c r="O56" s="379"/>
      <c r="P56" s="227"/>
      <c r="Q56" s="379"/>
      <c r="R56" s="227"/>
      <c r="S56" s="379"/>
      <c r="T56" s="227"/>
      <c r="U56" s="379"/>
      <c r="V56" s="227"/>
      <c r="W56" s="379"/>
      <c r="X56" s="227"/>
      <c r="Y56" s="379"/>
      <c r="Z56" s="227"/>
      <c r="AA56" s="379"/>
      <c r="AB56" s="227"/>
      <c r="AC56" s="379"/>
      <c r="AD56" s="227"/>
      <c r="AE56" s="379"/>
      <c r="AF56" s="166">
        <v>0</v>
      </c>
      <c r="AG56" s="379" t="s">
        <v>420</v>
      </c>
      <c r="AH56" s="166">
        <v>0</v>
      </c>
      <c r="AI56" s="379" t="s">
        <v>420</v>
      </c>
      <c r="AJ56" s="166">
        <v>0</v>
      </c>
      <c r="AK56" s="379" t="s">
        <v>420</v>
      </c>
      <c r="AL56" s="166">
        <v>0</v>
      </c>
      <c r="AM56" s="379" t="s">
        <v>420</v>
      </c>
      <c r="AN56" s="166">
        <v>0</v>
      </c>
      <c r="AO56" s="379" t="s">
        <v>420</v>
      </c>
      <c r="AP56" s="166">
        <v>0</v>
      </c>
      <c r="AQ56" s="379" t="s">
        <v>420</v>
      </c>
      <c r="AR56" s="166">
        <v>0</v>
      </c>
      <c r="AS56" s="379" t="s">
        <v>420</v>
      </c>
      <c r="AT56" s="166">
        <v>0</v>
      </c>
      <c r="AU56" s="379" t="s">
        <v>420</v>
      </c>
      <c r="AV56" s="166">
        <v>0</v>
      </c>
      <c r="AW56" s="379" t="s">
        <v>420</v>
      </c>
      <c r="AX56" s="166">
        <v>0</v>
      </c>
      <c r="AY56" s="379" t="s">
        <v>420</v>
      </c>
      <c r="AZ56" s="166">
        <v>0</v>
      </c>
      <c r="BA56" s="379" t="s">
        <v>420</v>
      </c>
      <c r="BB56" s="166">
        <v>0</v>
      </c>
      <c r="BC56" s="379" t="s">
        <v>420</v>
      </c>
      <c r="BD56" s="166">
        <v>0</v>
      </c>
      <c r="BE56" s="379" t="s">
        <v>420</v>
      </c>
      <c r="BF56" s="166">
        <v>0</v>
      </c>
      <c r="BG56" s="379" t="s">
        <v>420</v>
      </c>
      <c r="BH56" s="227"/>
      <c r="BI56" s="184"/>
      <c r="CJ56" s="150"/>
      <c r="CK56" s="150"/>
      <c r="CL56" s="150"/>
      <c r="CM56" s="151" t="s">
        <v>939</v>
      </c>
      <c r="CN56" s="150" t="s">
        <v>1130</v>
      </c>
      <c r="CO56" s="150"/>
      <c r="CP56" s="150"/>
      <c r="CQ56" s="150"/>
      <c r="CR56" s="150"/>
      <c r="CS56" s="150"/>
      <c r="CT56" s="150"/>
    </row>
    <row r="57" spans="1:98" s="10" customFormat="1" ht="12.75" customHeight="1">
      <c r="A57" s="26"/>
      <c r="B57" s="89" t="str">
        <f>Parameters!Q56</f>
        <v>J62_J63</v>
      </c>
      <c r="C57" s="90"/>
      <c r="D57" s="504" t="str">
        <f>Parameters!S56</f>
        <v>Computer programming, consultancy, and information service activities</v>
      </c>
      <c r="E57" s="505"/>
      <c r="F57" s="226"/>
      <c r="G57" s="379"/>
      <c r="H57" s="227"/>
      <c r="I57" s="379"/>
      <c r="J57" s="227"/>
      <c r="K57" s="379"/>
      <c r="L57" s="227"/>
      <c r="M57" s="379"/>
      <c r="N57" s="227"/>
      <c r="O57" s="379"/>
      <c r="P57" s="227"/>
      <c r="Q57" s="379"/>
      <c r="R57" s="227"/>
      <c r="S57" s="379"/>
      <c r="T57" s="227"/>
      <c r="U57" s="379"/>
      <c r="V57" s="227"/>
      <c r="W57" s="379"/>
      <c r="X57" s="227"/>
      <c r="Y57" s="379"/>
      <c r="Z57" s="227"/>
      <c r="AA57" s="379"/>
      <c r="AB57" s="227"/>
      <c r="AC57" s="379"/>
      <c r="AD57" s="227"/>
      <c r="AE57" s="379"/>
      <c r="AF57" s="166">
        <v>0.6383219</v>
      </c>
      <c r="AG57" s="379"/>
      <c r="AH57" s="166">
        <v>0.71380410000000005</v>
      </c>
      <c r="AI57" s="379"/>
      <c r="AJ57" s="166">
        <v>0.92584080000000002</v>
      </c>
      <c r="AK57" s="379"/>
      <c r="AL57" s="166">
        <v>0.83686879999999997</v>
      </c>
      <c r="AM57" s="379"/>
      <c r="AN57" s="166">
        <v>0.93923069999999997</v>
      </c>
      <c r="AO57" s="379"/>
      <c r="AP57" s="166">
        <v>0.94077250000000001</v>
      </c>
      <c r="AQ57" s="379"/>
      <c r="AR57" s="166">
        <v>0.79677690000000001</v>
      </c>
      <c r="AS57" s="379"/>
      <c r="AT57" s="166">
        <v>0.83277409999999996</v>
      </c>
      <c r="AU57" s="379"/>
      <c r="AV57" s="166">
        <v>1.6641801000000001</v>
      </c>
      <c r="AW57" s="379"/>
      <c r="AX57" s="166">
        <v>2.2133036000000001</v>
      </c>
      <c r="AY57" s="379"/>
      <c r="AZ57" s="166">
        <v>1.548611</v>
      </c>
      <c r="BA57" s="379"/>
      <c r="BB57" s="166">
        <v>2.1412583000000001</v>
      </c>
      <c r="BC57" s="379"/>
      <c r="BD57" s="166">
        <v>1.5186010000000001</v>
      </c>
      <c r="BE57" s="379"/>
      <c r="BF57" s="166">
        <v>1.4003095999999999</v>
      </c>
      <c r="BG57" s="379"/>
      <c r="BH57" s="227"/>
      <c r="BI57" s="184"/>
      <c r="CJ57" s="158"/>
      <c r="CK57" s="150"/>
      <c r="CL57" s="158"/>
      <c r="CM57" s="151" t="s">
        <v>1140</v>
      </c>
      <c r="CN57" s="150" t="s">
        <v>1130</v>
      </c>
      <c r="CO57" s="150"/>
      <c r="CP57" s="158"/>
      <c r="CQ57" s="158"/>
      <c r="CR57" s="158"/>
      <c r="CS57" s="158"/>
      <c r="CT57" s="158"/>
    </row>
    <row r="58" spans="1:98" s="10" customFormat="1" ht="12.75" customHeight="1">
      <c r="A58" s="25"/>
      <c r="B58" s="87" t="str">
        <f>Parameters!Q57</f>
        <v>K</v>
      </c>
      <c r="C58" s="88"/>
      <c r="D58" s="498" t="str">
        <f>Parameters!S57</f>
        <v>Financial and insurance activities</v>
      </c>
      <c r="E58" s="499"/>
      <c r="F58" s="222"/>
      <c r="G58" s="379"/>
      <c r="H58" s="223"/>
      <c r="I58" s="379"/>
      <c r="J58" s="223"/>
      <c r="K58" s="379"/>
      <c r="L58" s="223"/>
      <c r="M58" s="379"/>
      <c r="N58" s="223"/>
      <c r="O58" s="379"/>
      <c r="P58" s="223"/>
      <c r="Q58" s="379"/>
      <c r="R58" s="223"/>
      <c r="S58" s="379"/>
      <c r="T58" s="223"/>
      <c r="U58" s="379"/>
      <c r="V58" s="223"/>
      <c r="W58" s="379"/>
      <c r="X58" s="223"/>
      <c r="Y58" s="379"/>
      <c r="Z58" s="223"/>
      <c r="AA58" s="379"/>
      <c r="AB58" s="223"/>
      <c r="AC58" s="379"/>
      <c r="AD58" s="223"/>
      <c r="AE58" s="379"/>
      <c r="AF58" s="164">
        <v>5.689E-4</v>
      </c>
      <c r="AG58" s="379"/>
      <c r="AH58" s="164">
        <v>6.3630000000000002E-4</v>
      </c>
      <c r="AI58" s="379"/>
      <c r="AJ58" s="164">
        <v>1.6816999999999999E-3</v>
      </c>
      <c r="AK58" s="379"/>
      <c r="AL58" s="164">
        <v>6.0369999999999998E-4</v>
      </c>
      <c r="AM58" s="379"/>
      <c r="AN58" s="164">
        <v>8.8900000000000006E-5</v>
      </c>
      <c r="AO58" s="379"/>
      <c r="AP58" s="164">
        <v>9.9500000000000006E-5</v>
      </c>
      <c r="AQ58" s="379"/>
      <c r="AR58" s="164">
        <v>0</v>
      </c>
      <c r="AS58" s="379"/>
      <c r="AT58" s="164">
        <v>1.42E-3</v>
      </c>
      <c r="AU58" s="379"/>
      <c r="AV58" s="164">
        <v>0</v>
      </c>
      <c r="AW58" s="379"/>
      <c r="AX58" s="164">
        <v>0</v>
      </c>
      <c r="AY58" s="379"/>
      <c r="AZ58" s="164">
        <v>0</v>
      </c>
      <c r="BA58" s="379"/>
      <c r="BB58" s="164">
        <v>0</v>
      </c>
      <c r="BC58" s="379"/>
      <c r="BD58" s="164">
        <v>0</v>
      </c>
      <c r="BE58" s="379"/>
      <c r="BF58" s="164">
        <v>0</v>
      </c>
      <c r="BG58" s="379"/>
      <c r="BH58" s="223"/>
      <c r="BI58" s="184"/>
      <c r="CJ58" s="150"/>
      <c r="CK58" s="150"/>
      <c r="CL58" s="150"/>
      <c r="CM58" s="151" t="s">
        <v>951</v>
      </c>
      <c r="CN58" s="150" t="s">
        <v>1130</v>
      </c>
      <c r="CO58" s="150"/>
      <c r="CP58" s="150"/>
      <c r="CQ58" s="150"/>
      <c r="CR58" s="150"/>
      <c r="CS58" s="150"/>
      <c r="CT58" s="150"/>
    </row>
    <row r="59" spans="1:98" s="11" customFormat="1" ht="12.75" customHeight="1">
      <c r="A59" s="310"/>
      <c r="B59" s="308" t="str">
        <f>Parameters!Q58</f>
        <v>K64</v>
      </c>
      <c r="C59" s="309"/>
      <c r="D59" s="495" t="str">
        <f>Parameters!S58</f>
        <v>Financial service activities, except insurance and pension funding</v>
      </c>
      <c r="E59" s="496"/>
      <c r="F59" s="224"/>
      <c r="G59" s="379"/>
      <c r="H59" s="225"/>
      <c r="I59" s="379"/>
      <c r="J59" s="225"/>
      <c r="K59" s="379"/>
      <c r="L59" s="225"/>
      <c r="M59" s="379"/>
      <c r="N59" s="225"/>
      <c r="O59" s="379"/>
      <c r="P59" s="225"/>
      <c r="Q59" s="379"/>
      <c r="R59" s="225"/>
      <c r="S59" s="379"/>
      <c r="T59" s="225"/>
      <c r="U59" s="379"/>
      <c r="V59" s="225"/>
      <c r="W59" s="379"/>
      <c r="X59" s="225"/>
      <c r="Y59" s="379"/>
      <c r="Z59" s="225"/>
      <c r="AA59" s="379"/>
      <c r="AB59" s="225"/>
      <c r="AC59" s="379"/>
      <c r="AD59" s="225"/>
      <c r="AE59" s="379"/>
      <c r="AF59" s="165">
        <v>5.689E-4</v>
      </c>
      <c r="AG59" s="379"/>
      <c r="AH59" s="165">
        <v>6.3630000000000002E-4</v>
      </c>
      <c r="AI59" s="379"/>
      <c r="AJ59" s="165">
        <v>1.6816999999999999E-3</v>
      </c>
      <c r="AK59" s="379"/>
      <c r="AL59" s="165">
        <v>6.0369999999999998E-4</v>
      </c>
      <c r="AM59" s="379"/>
      <c r="AN59" s="165">
        <v>8.8900000000000006E-5</v>
      </c>
      <c r="AO59" s="379"/>
      <c r="AP59" s="165">
        <v>9.9500000000000006E-5</v>
      </c>
      <c r="AQ59" s="379"/>
      <c r="AR59" s="165">
        <v>0</v>
      </c>
      <c r="AS59" s="379"/>
      <c r="AT59" s="165">
        <v>0</v>
      </c>
      <c r="AU59" s="379"/>
      <c r="AV59" s="165">
        <v>0</v>
      </c>
      <c r="AW59" s="379"/>
      <c r="AX59" s="165">
        <v>0</v>
      </c>
      <c r="AY59" s="379"/>
      <c r="AZ59" s="165">
        <v>0</v>
      </c>
      <c r="BA59" s="379"/>
      <c r="BB59" s="165">
        <v>0</v>
      </c>
      <c r="BC59" s="379"/>
      <c r="BD59" s="165">
        <v>0</v>
      </c>
      <c r="BE59" s="379"/>
      <c r="BF59" s="165">
        <v>0</v>
      </c>
      <c r="BG59" s="379"/>
      <c r="BH59" s="225"/>
      <c r="BI59" s="184"/>
      <c r="CJ59" s="150"/>
      <c r="CK59" s="150"/>
      <c r="CL59" s="150"/>
      <c r="CM59" s="151" t="s">
        <v>957</v>
      </c>
      <c r="CN59" s="150" t="s">
        <v>1130</v>
      </c>
      <c r="CO59" s="150"/>
      <c r="CP59" s="150"/>
      <c r="CQ59" s="150"/>
      <c r="CR59" s="150"/>
      <c r="CS59" s="150"/>
      <c r="CT59" s="150"/>
    </row>
    <row r="60" spans="1:98" s="11" customFormat="1" ht="12.75" customHeight="1">
      <c r="A60" s="310"/>
      <c r="B60" s="308" t="str">
        <f>Parameters!Q59</f>
        <v>K65</v>
      </c>
      <c r="C60" s="309"/>
      <c r="D60" s="495" t="str">
        <f>Parameters!S59</f>
        <v>Insurance, reinsurance and pension funding, except compulsory social security</v>
      </c>
      <c r="E60" s="496"/>
      <c r="F60" s="224"/>
      <c r="G60" s="379"/>
      <c r="H60" s="225"/>
      <c r="I60" s="379"/>
      <c r="J60" s="225"/>
      <c r="K60" s="379"/>
      <c r="L60" s="225"/>
      <c r="M60" s="379"/>
      <c r="N60" s="225"/>
      <c r="O60" s="379"/>
      <c r="P60" s="225"/>
      <c r="Q60" s="379"/>
      <c r="R60" s="225"/>
      <c r="S60" s="379"/>
      <c r="T60" s="225"/>
      <c r="U60" s="379"/>
      <c r="V60" s="225"/>
      <c r="W60" s="379"/>
      <c r="X60" s="225"/>
      <c r="Y60" s="379"/>
      <c r="Z60" s="225"/>
      <c r="AA60" s="379"/>
      <c r="AB60" s="225"/>
      <c r="AC60" s="379"/>
      <c r="AD60" s="225"/>
      <c r="AE60" s="379"/>
      <c r="AF60" s="165">
        <v>0</v>
      </c>
      <c r="AG60" s="379"/>
      <c r="AH60" s="165">
        <v>0</v>
      </c>
      <c r="AI60" s="379"/>
      <c r="AJ60" s="165">
        <v>0</v>
      </c>
      <c r="AK60" s="379"/>
      <c r="AL60" s="165">
        <v>0</v>
      </c>
      <c r="AM60" s="379"/>
      <c r="AN60" s="165">
        <v>0</v>
      </c>
      <c r="AO60" s="379"/>
      <c r="AP60" s="165">
        <v>0</v>
      </c>
      <c r="AQ60" s="379"/>
      <c r="AR60" s="165">
        <v>0</v>
      </c>
      <c r="AS60" s="379"/>
      <c r="AT60" s="165">
        <v>0</v>
      </c>
      <c r="AU60" s="379"/>
      <c r="AV60" s="165">
        <v>0</v>
      </c>
      <c r="AW60" s="379"/>
      <c r="AX60" s="165">
        <v>0</v>
      </c>
      <c r="AY60" s="379"/>
      <c r="AZ60" s="165">
        <v>0</v>
      </c>
      <c r="BA60" s="379"/>
      <c r="BB60" s="165">
        <v>0</v>
      </c>
      <c r="BC60" s="379"/>
      <c r="BD60" s="165">
        <v>0</v>
      </c>
      <c r="BE60" s="379"/>
      <c r="BF60" s="165">
        <v>0</v>
      </c>
      <c r="BG60" s="379"/>
      <c r="BH60" s="225"/>
      <c r="BI60" s="184"/>
      <c r="CJ60" s="150"/>
      <c r="CK60" s="150"/>
      <c r="CL60" s="150"/>
      <c r="CM60" s="151" t="s">
        <v>963</v>
      </c>
      <c r="CN60" s="150" t="s">
        <v>1130</v>
      </c>
      <c r="CO60" s="150"/>
      <c r="CP60" s="150"/>
      <c r="CQ60" s="150"/>
      <c r="CR60" s="150"/>
      <c r="CS60" s="150"/>
      <c r="CT60" s="150"/>
    </row>
    <row r="61" spans="1:98" s="11" customFormat="1" ht="12.75" customHeight="1">
      <c r="A61" s="310"/>
      <c r="B61" s="308" t="str">
        <f>Parameters!Q60</f>
        <v>K66</v>
      </c>
      <c r="C61" s="309"/>
      <c r="D61" s="495" t="str">
        <f>Parameters!S60</f>
        <v>Activities auxiliary to financial services and insurance activities</v>
      </c>
      <c r="E61" s="510"/>
      <c r="F61" s="224"/>
      <c r="G61" s="379"/>
      <c r="H61" s="225"/>
      <c r="I61" s="379"/>
      <c r="J61" s="225"/>
      <c r="K61" s="379"/>
      <c r="L61" s="225"/>
      <c r="M61" s="379"/>
      <c r="N61" s="225"/>
      <c r="O61" s="379"/>
      <c r="P61" s="225"/>
      <c r="Q61" s="379"/>
      <c r="R61" s="225"/>
      <c r="S61" s="379"/>
      <c r="T61" s="225"/>
      <c r="U61" s="379"/>
      <c r="V61" s="225"/>
      <c r="W61" s="379"/>
      <c r="X61" s="225"/>
      <c r="Y61" s="379"/>
      <c r="Z61" s="225"/>
      <c r="AA61" s="379"/>
      <c r="AB61" s="225"/>
      <c r="AC61" s="379"/>
      <c r="AD61" s="225"/>
      <c r="AE61" s="379"/>
      <c r="AF61" s="165">
        <v>0</v>
      </c>
      <c r="AG61" s="379"/>
      <c r="AH61" s="165">
        <v>0</v>
      </c>
      <c r="AI61" s="379"/>
      <c r="AJ61" s="165">
        <v>0</v>
      </c>
      <c r="AK61" s="379"/>
      <c r="AL61" s="165">
        <v>0</v>
      </c>
      <c r="AM61" s="379"/>
      <c r="AN61" s="165">
        <v>0</v>
      </c>
      <c r="AO61" s="379"/>
      <c r="AP61" s="165">
        <v>0</v>
      </c>
      <c r="AQ61" s="379"/>
      <c r="AR61" s="165">
        <v>0</v>
      </c>
      <c r="AS61" s="379"/>
      <c r="AT61" s="165">
        <v>1.4298E-3</v>
      </c>
      <c r="AU61" s="379"/>
      <c r="AV61" s="165">
        <v>0</v>
      </c>
      <c r="AW61" s="379"/>
      <c r="AX61" s="165">
        <v>0</v>
      </c>
      <c r="AY61" s="379"/>
      <c r="AZ61" s="165">
        <v>0</v>
      </c>
      <c r="BA61" s="379"/>
      <c r="BB61" s="165">
        <v>0</v>
      </c>
      <c r="BC61" s="379"/>
      <c r="BD61" s="165">
        <v>0</v>
      </c>
      <c r="BE61" s="379"/>
      <c r="BF61" s="165">
        <v>0</v>
      </c>
      <c r="BG61" s="379"/>
      <c r="BH61" s="225"/>
      <c r="BI61" s="184"/>
      <c r="CJ61" s="150"/>
      <c r="CK61" s="150"/>
      <c r="CL61" s="150"/>
      <c r="CM61" s="151" t="s">
        <v>969</v>
      </c>
      <c r="CN61" s="150" t="s">
        <v>1130</v>
      </c>
      <c r="CO61" s="150"/>
      <c r="CP61" s="150"/>
      <c r="CQ61" s="150"/>
      <c r="CR61" s="150"/>
      <c r="CS61" s="150"/>
      <c r="CT61" s="150"/>
    </row>
    <row r="62" spans="1:98" s="11" customFormat="1" ht="12.75" customHeight="1">
      <c r="A62" s="25"/>
      <c r="B62" s="87" t="str">
        <f>Parameters!Q61</f>
        <v>L</v>
      </c>
      <c r="C62" s="88"/>
      <c r="D62" s="498" t="str">
        <f>Parameters!S61</f>
        <v>Real estate activities</v>
      </c>
      <c r="E62" s="507"/>
      <c r="F62" s="222"/>
      <c r="G62" s="379"/>
      <c r="H62" s="223"/>
      <c r="I62" s="379"/>
      <c r="J62" s="223"/>
      <c r="K62" s="379"/>
      <c r="L62" s="223"/>
      <c r="M62" s="379"/>
      <c r="N62" s="223"/>
      <c r="O62" s="379"/>
      <c r="P62" s="223"/>
      <c r="Q62" s="379"/>
      <c r="R62" s="223"/>
      <c r="S62" s="379"/>
      <c r="T62" s="223"/>
      <c r="U62" s="379"/>
      <c r="V62" s="223"/>
      <c r="W62" s="379"/>
      <c r="X62" s="223"/>
      <c r="Y62" s="379"/>
      <c r="Z62" s="223"/>
      <c r="AA62" s="379"/>
      <c r="AB62" s="223"/>
      <c r="AC62" s="379"/>
      <c r="AD62" s="223"/>
      <c r="AE62" s="379"/>
      <c r="AF62" s="164">
        <v>1.9213363000000001</v>
      </c>
      <c r="AG62" s="379"/>
      <c r="AH62" s="164">
        <v>2.1461858999999999</v>
      </c>
      <c r="AI62" s="379"/>
      <c r="AJ62" s="164">
        <v>2.7118445000000002</v>
      </c>
      <c r="AK62" s="379"/>
      <c r="AL62" s="164">
        <v>2.6736493000000001</v>
      </c>
      <c r="AM62" s="379"/>
      <c r="AN62" s="164">
        <v>2.8710271000000001</v>
      </c>
      <c r="AO62" s="379"/>
      <c r="AP62" s="164">
        <v>3.3866480999999999</v>
      </c>
      <c r="AQ62" s="379"/>
      <c r="AR62" s="164">
        <v>2.3313005000000002</v>
      </c>
      <c r="AS62" s="379"/>
      <c r="AT62" s="164">
        <v>2.8945354000000001</v>
      </c>
      <c r="AU62" s="379"/>
      <c r="AV62" s="164">
        <v>5.9452059000000004</v>
      </c>
      <c r="AW62" s="379"/>
      <c r="AX62" s="164">
        <v>9.2665860999999996</v>
      </c>
      <c r="AY62" s="379"/>
      <c r="AZ62" s="164">
        <v>6.9585362999999996</v>
      </c>
      <c r="BA62" s="379"/>
      <c r="BB62" s="164">
        <v>8.1893130999999997</v>
      </c>
      <c r="BC62" s="379"/>
      <c r="BD62" s="164">
        <v>6.2286897000000003</v>
      </c>
      <c r="BE62" s="379"/>
      <c r="BF62" s="164">
        <v>6.1326036999999998</v>
      </c>
      <c r="BG62" s="379"/>
      <c r="BH62" s="223"/>
      <c r="BI62" s="184"/>
      <c r="CJ62" s="150"/>
      <c r="CK62" s="150"/>
      <c r="CL62" s="150"/>
      <c r="CM62" s="151" t="s">
        <v>974</v>
      </c>
      <c r="CN62" s="150" t="s">
        <v>1130</v>
      </c>
      <c r="CO62" s="150"/>
      <c r="CP62" s="150"/>
      <c r="CQ62" s="150"/>
      <c r="CR62" s="150"/>
      <c r="CS62" s="150"/>
      <c r="CT62" s="150"/>
    </row>
    <row r="63" spans="1:98" s="11" customFormat="1" ht="12.75" customHeight="1">
      <c r="A63" s="310"/>
      <c r="B63" s="308" t="str">
        <f>Parameters!Q62</f>
        <v>L68A</v>
      </c>
      <c r="C63" s="309"/>
      <c r="D63" s="508" t="str">
        <f>Parameters!S62</f>
        <v>Imputed rents of owner-occupied dwellings</v>
      </c>
      <c r="E63" s="509"/>
      <c r="F63" s="229"/>
      <c r="G63" s="379"/>
      <c r="H63" s="230"/>
      <c r="I63" s="379"/>
      <c r="J63" s="230"/>
      <c r="K63" s="379"/>
      <c r="L63" s="230"/>
      <c r="M63" s="379"/>
      <c r="N63" s="230"/>
      <c r="O63" s="379"/>
      <c r="P63" s="230"/>
      <c r="Q63" s="379"/>
      <c r="R63" s="230"/>
      <c r="S63" s="379"/>
      <c r="T63" s="230"/>
      <c r="U63" s="379"/>
      <c r="V63" s="230"/>
      <c r="W63" s="379"/>
      <c r="X63" s="230"/>
      <c r="Y63" s="379"/>
      <c r="Z63" s="230"/>
      <c r="AA63" s="379"/>
      <c r="AB63" s="230"/>
      <c r="AC63" s="379"/>
      <c r="AD63" s="230"/>
      <c r="AE63" s="379"/>
      <c r="AF63" s="168">
        <v>1.9213363000000001</v>
      </c>
      <c r="AG63" s="379"/>
      <c r="AH63" s="168">
        <v>2.1461858999999999</v>
      </c>
      <c r="AI63" s="379"/>
      <c r="AJ63" s="168">
        <v>2.7118445000000002</v>
      </c>
      <c r="AK63" s="379"/>
      <c r="AL63" s="168">
        <v>2.6736493000000001</v>
      </c>
      <c r="AM63" s="379"/>
      <c r="AN63" s="168">
        <v>2.8710271000000001</v>
      </c>
      <c r="AO63" s="379"/>
      <c r="AP63" s="168">
        <v>3.3866480999999999</v>
      </c>
      <c r="AQ63" s="379"/>
      <c r="AR63" s="168">
        <v>2.3313005000000002</v>
      </c>
      <c r="AS63" s="379"/>
      <c r="AT63" s="168">
        <v>2.8945354000000001</v>
      </c>
      <c r="AU63" s="379"/>
      <c r="AV63" s="168">
        <v>5.9452059000000004</v>
      </c>
      <c r="AW63" s="379"/>
      <c r="AX63" s="168">
        <v>9.2665860999999996</v>
      </c>
      <c r="AY63" s="379"/>
      <c r="AZ63" s="168">
        <v>6.9585362999999996</v>
      </c>
      <c r="BA63" s="379"/>
      <c r="BB63" s="168">
        <v>8.1893130999999997</v>
      </c>
      <c r="BC63" s="379"/>
      <c r="BD63" s="168">
        <v>6.2286897000000003</v>
      </c>
      <c r="BE63" s="379"/>
      <c r="BF63" s="168">
        <v>6.1326036999999998</v>
      </c>
      <c r="BG63" s="379"/>
      <c r="BH63" s="230"/>
      <c r="BI63" s="184"/>
      <c r="CJ63" s="150"/>
      <c r="CK63" s="150"/>
      <c r="CL63" s="150"/>
      <c r="CM63" s="151" t="s">
        <v>981</v>
      </c>
      <c r="CN63" s="150" t="s">
        <v>1130</v>
      </c>
      <c r="CO63" s="150"/>
      <c r="CP63" s="150"/>
      <c r="CQ63" s="150"/>
      <c r="CR63" s="150"/>
      <c r="CS63" s="150"/>
      <c r="CT63" s="150"/>
    </row>
    <row r="64" spans="1:98" s="11" customFormat="1" ht="12.75" customHeight="1">
      <c r="A64" s="25"/>
      <c r="B64" s="87" t="str">
        <f>Parameters!Q63</f>
        <v>M</v>
      </c>
      <c r="C64" s="88"/>
      <c r="D64" s="498" t="str">
        <f>Parameters!S63</f>
        <v>Professional, scientific and technical activities</v>
      </c>
      <c r="E64" s="499"/>
      <c r="F64" s="222"/>
      <c r="G64" s="379"/>
      <c r="H64" s="223"/>
      <c r="I64" s="379"/>
      <c r="J64" s="223"/>
      <c r="K64" s="379"/>
      <c r="L64" s="223"/>
      <c r="M64" s="379"/>
      <c r="N64" s="223"/>
      <c r="O64" s="379"/>
      <c r="P64" s="223"/>
      <c r="Q64" s="379"/>
      <c r="R64" s="223"/>
      <c r="S64" s="379"/>
      <c r="T64" s="223"/>
      <c r="U64" s="379"/>
      <c r="V64" s="223"/>
      <c r="W64" s="379"/>
      <c r="X64" s="223"/>
      <c r="Y64" s="379"/>
      <c r="Z64" s="223"/>
      <c r="AA64" s="379"/>
      <c r="AB64" s="223"/>
      <c r="AC64" s="379"/>
      <c r="AD64" s="223"/>
      <c r="AE64" s="379"/>
      <c r="AF64" s="164">
        <v>2.9739620000000002</v>
      </c>
      <c r="AG64" s="379"/>
      <c r="AH64" s="164">
        <v>3.3256142999999998</v>
      </c>
      <c r="AI64" s="379"/>
      <c r="AJ64" s="164">
        <v>4.7287337000000003</v>
      </c>
      <c r="AK64" s="379"/>
      <c r="AL64" s="164">
        <v>7.1942360000000001</v>
      </c>
      <c r="AM64" s="379"/>
      <c r="AN64" s="164">
        <v>9.9933531000000002</v>
      </c>
      <c r="AO64" s="379"/>
      <c r="AP64" s="164">
        <v>11.1237066</v>
      </c>
      <c r="AQ64" s="379"/>
      <c r="AR64" s="164">
        <v>5.8818928000000001</v>
      </c>
      <c r="AS64" s="379"/>
      <c r="AT64" s="164">
        <v>6.8671448000000002</v>
      </c>
      <c r="AU64" s="379"/>
      <c r="AV64" s="164">
        <v>15.7756174</v>
      </c>
      <c r="AW64" s="379"/>
      <c r="AX64" s="164">
        <v>18.138619599999998</v>
      </c>
      <c r="AY64" s="379"/>
      <c r="AZ64" s="164">
        <v>13.599669499999999</v>
      </c>
      <c r="BA64" s="379"/>
      <c r="BB64" s="164">
        <v>12.8156579</v>
      </c>
      <c r="BC64" s="379"/>
      <c r="BD64" s="164">
        <v>10.0965902</v>
      </c>
      <c r="BE64" s="379"/>
      <c r="BF64" s="164">
        <v>9.2338488000000005</v>
      </c>
      <c r="BG64" s="379"/>
      <c r="BH64" s="223"/>
      <c r="BI64" s="184"/>
      <c r="CJ64" s="150"/>
      <c r="CK64" s="150"/>
      <c r="CL64" s="150"/>
      <c r="CM64" s="151" t="s">
        <v>988</v>
      </c>
      <c r="CN64" s="150" t="s">
        <v>1130</v>
      </c>
      <c r="CO64" s="150"/>
      <c r="CP64" s="150"/>
      <c r="CQ64" s="150"/>
      <c r="CR64" s="150"/>
      <c r="CS64" s="150"/>
      <c r="CT64" s="150"/>
    </row>
    <row r="65" spans="1:98" s="11" customFormat="1" ht="26.25" customHeight="1">
      <c r="A65" s="26"/>
      <c r="B65" s="89" t="str">
        <f>Parameters!Q64</f>
        <v>M69-M71</v>
      </c>
      <c r="C65" s="90"/>
      <c r="D65" s="504" t="str">
        <f>Parameters!S64</f>
        <v>Legal and accounting activities; activities of head offices; management consultancy activities; architectural and engineering activities; technical testing and analysis</v>
      </c>
      <c r="E65" s="506"/>
      <c r="F65" s="252"/>
      <c r="G65" s="380"/>
      <c r="H65" s="253"/>
      <c r="I65" s="380"/>
      <c r="J65" s="253"/>
      <c r="K65" s="380"/>
      <c r="L65" s="253"/>
      <c r="M65" s="380"/>
      <c r="N65" s="253"/>
      <c r="O65" s="380"/>
      <c r="P65" s="253"/>
      <c r="Q65" s="380"/>
      <c r="R65" s="253"/>
      <c r="S65" s="380"/>
      <c r="T65" s="253"/>
      <c r="U65" s="380"/>
      <c r="V65" s="253"/>
      <c r="W65" s="380"/>
      <c r="X65" s="253"/>
      <c r="Y65" s="380"/>
      <c r="Z65" s="253"/>
      <c r="AA65" s="380"/>
      <c r="AB65" s="253"/>
      <c r="AC65" s="380"/>
      <c r="AD65" s="253"/>
      <c r="AE65" s="380"/>
      <c r="AF65" s="253">
        <v>0</v>
      </c>
      <c r="AG65" s="380"/>
      <c r="AH65" s="253">
        <v>0</v>
      </c>
      <c r="AI65" s="380"/>
      <c r="AJ65" s="253">
        <v>0</v>
      </c>
      <c r="AK65" s="380"/>
      <c r="AL65" s="253">
        <v>0</v>
      </c>
      <c r="AM65" s="380"/>
      <c r="AN65" s="253">
        <v>0</v>
      </c>
      <c r="AO65" s="380"/>
      <c r="AP65" s="253">
        <v>0</v>
      </c>
      <c r="AQ65" s="380"/>
      <c r="AR65" s="253">
        <v>0</v>
      </c>
      <c r="AS65" s="380"/>
      <c r="AT65" s="253">
        <v>0</v>
      </c>
      <c r="AU65" s="380"/>
      <c r="AV65" s="253">
        <v>0</v>
      </c>
      <c r="AW65" s="380"/>
      <c r="AX65" s="253">
        <v>0</v>
      </c>
      <c r="AY65" s="380"/>
      <c r="AZ65" s="253">
        <v>0</v>
      </c>
      <c r="BA65" s="380"/>
      <c r="BB65" s="253">
        <v>0</v>
      </c>
      <c r="BC65" s="380"/>
      <c r="BD65" s="253">
        <v>0</v>
      </c>
      <c r="BE65" s="380"/>
      <c r="BF65" s="253">
        <v>0</v>
      </c>
      <c r="BG65" s="380"/>
      <c r="BH65" s="253"/>
      <c r="BI65" s="254"/>
      <c r="CJ65" s="150"/>
      <c r="CK65" s="150"/>
      <c r="CL65" s="150"/>
      <c r="CM65" s="151"/>
      <c r="CN65" s="150"/>
      <c r="CO65" s="150"/>
      <c r="CP65" s="150"/>
      <c r="CQ65" s="150"/>
      <c r="CR65" s="150"/>
      <c r="CS65" s="150"/>
      <c r="CT65" s="150"/>
    </row>
    <row r="66" spans="1:98" s="10" customFormat="1">
      <c r="A66" s="310"/>
      <c r="B66" s="308" t="str">
        <f>Parameters!Q65</f>
        <v>M69_M70</v>
      </c>
      <c r="C66" s="309"/>
      <c r="D66" s="495" t="str">
        <f>Parameters!S65</f>
        <v>Legal and accounting activities; activities of head offices; management consultancy activities</v>
      </c>
      <c r="E66" s="496"/>
      <c r="F66" s="224"/>
      <c r="G66" s="379"/>
      <c r="H66" s="225"/>
      <c r="I66" s="379"/>
      <c r="J66" s="225"/>
      <c r="K66" s="379"/>
      <c r="L66" s="225"/>
      <c r="M66" s="379"/>
      <c r="N66" s="225"/>
      <c r="O66" s="379"/>
      <c r="P66" s="225"/>
      <c r="Q66" s="379"/>
      <c r="R66" s="225"/>
      <c r="S66" s="379"/>
      <c r="T66" s="225"/>
      <c r="U66" s="379"/>
      <c r="V66" s="225"/>
      <c r="W66" s="379"/>
      <c r="X66" s="225"/>
      <c r="Y66" s="379"/>
      <c r="Z66" s="225"/>
      <c r="AA66" s="379"/>
      <c r="AB66" s="225"/>
      <c r="AC66" s="379"/>
      <c r="AD66" s="225"/>
      <c r="AE66" s="379"/>
      <c r="AF66" s="165">
        <v>0.99862870000000004</v>
      </c>
      <c r="AG66" s="379"/>
      <c r="AH66" s="165">
        <v>1.1167206999999999</v>
      </c>
      <c r="AI66" s="379"/>
      <c r="AJ66" s="165">
        <v>1.3841775000000001</v>
      </c>
      <c r="AK66" s="379"/>
      <c r="AL66" s="165">
        <v>1.3732205</v>
      </c>
      <c r="AM66" s="379"/>
      <c r="AN66" s="165">
        <v>1.464628</v>
      </c>
      <c r="AO66" s="379"/>
      <c r="AP66" s="165">
        <v>1.0150337</v>
      </c>
      <c r="AQ66" s="379"/>
      <c r="AR66" s="165">
        <v>0.86897990000000003</v>
      </c>
      <c r="AS66" s="379"/>
      <c r="AT66" s="165">
        <v>1.0107685</v>
      </c>
      <c r="AU66" s="379"/>
      <c r="AV66" s="165">
        <v>1.8813168</v>
      </c>
      <c r="AW66" s="379"/>
      <c r="AX66" s="165">
        <v>2.9553498999999999</v>
      </c>
      <c r="AY66" s="379"/>
      <c r="AZ66" s="165">
        <v>2.0784867999999999</v>
      </c>
      <c r="BA66" s="379"/>
      <c r="BB66" s="165">
        <v>2.4275943999999998</v>
      </c>
      <c r="BC66" s="379"/>
      <c r="BD66" s="165">
        <v>1.851127</v>
      </c>
      <c r="BE66" s="379"/>
      <c r="BF66" s="165">
        <v>1.6572279000000001</v>
      </c>
      <c r="BG66" s="379"/>
      <c r="BH66" s="225"/>
      <c r="BI66" s="184"/>
      <c r="CJ66" s="150"/>
      <c r="CK66" s="150"/>
      <c r="CL66" s="150"/>
      <c r="CM66" s="151" t="s">
        <v>1141</v>
      </c>
      <c r="CN66" s="150" t="s">
        <v>1130</v>
      </c>
      <c r="CO66" s="150"/>
      <c r="CP66" s="150"/>
      <c r="CQ66" s="150"/>
      <c r="CR66" s="150"/>
      <c r="CS66" s="150"/>
      <c r="CT66" s="150"/>
    </row>
    <row r="67" spans="1:98" s="10" customFormat="1" ht="12.75" customHeight="1">
      <c r="A67" s="310"/>
      <c r="B67" s="308" t="str">
        <f>Parameters!Q66</f>
        <v>M71</v>
      </c>
      <c r="C67" s="309"/>
      <c r="D67" s="495" t="str">
        <f>Parameters!S66</f>
        <v>Architectural and engineering activities; technical testing and analysis</v>
      </c>
      <c r="E67" s="496"/>
      <c r="F67" s="224"/>
      <c r="G67" s="379"/>
      <c r="H67" s="225"/>
      <c r="I67" s="379"/>
      <c r="J67" s="225"/>
      <c r="K67" s="379"/>
      <c r="L67" s="225"/>
      <c r="M67" s="379"/>
      <c r="N67" s="225"/>
      <c r="O67" s="379"/>
      <c r="P67" s="225"/>
      <c r="Q67" s="379"/>
      <c r="R67" s="225"/>
      <c r="S67" s="379"/>
      <c r="T67" s="225"/>
      <c r="U67" s="379"/>
      <c r="V67" s="225"/>
      <c r="W67" s="379"/>
      <c r="X67" s="225"/>
      <c r="Y67" s="379"/>
      <c r="Z67" s="225"/>
      <c r="AA67" s="379"/>
      <c r="AB67" s="225"/>
      <c r="AC67" s="379"/>
      <c r="AD67" s="225"/>
      <c r="AE67" s="379"/>
      <c r="AF67" s="165">
        <v>1.2092803999999999</v>
      </c>
      <c r="AG67" s="379"/>
      <c r="AH67" s="165">
        <v>1.3522882000000001</v>
      </c>
      <c r="AI67" s="379"/>
      <c r="AJ67" s="165">
        <v>2.3024453</v>
      </c>
      <c r="AK67" s="379"/>
      <c r="AL67" s="165">
        <v>4.8229948</v>
      </c>
      <c r="AM67" s="379"/>
      <c r="AN67" s="165">
        <v>7.3204507999999997</v>
      </c>
      <c r="AO67" s="379"/>
      <c r="AP67" s="165">
        <v>8.9415922000000005</v>
      </c>
      <c r="AQ67" s="379"/>
      <c r="AR67" s="165">
        <v>4.0195011999999997</v>
      </c>
      <c r="AS67" s="379"/>
      <c r="AT67" s="165">
        <v>4.6645076000000003</v>
      </c>
      <c r="AU67" s="379"/>
      <c r="AV67" s="165">
        <v>11.334130500000001</v>
      </c>
      <c r="AW67" s="379"/>
      <c r="AX67" s="165">
        <v>10.6182546</v>
      </c>
      <c r="AY67" s="379"/>
      <c r="AZ67" s="165">
        <v>8.3271189999999997</v>
      </c>
      <c r="BA67" s="379"/>
      <c r="BB67" s="165">
        <v>6.3774373000000004</v>
      </c>
      <c r="BC67" s="379"/>
      <c r="BD67" s="165">
        <v>5.1696673000000004</v>
      </c>
      <c r="BE67" s="379"/>
      <c r="BF67" s="165">
        <v>4.9349692999999997</v>
      </c>
      <c r="BG67" s="379"/>
      <c r="BH67" s="225"/>
      <c r="BI67" s="184"/>
      <c r="CJ67" s="150"/>
      <c r="CK67" s="150"/>
      <c r="CL67" s="150"/>
      <c r="CM67" s="151" t="s">
        <v>1007</v>
      </c>
      <c r="CN67" s="150" t="s">
        <v>1130</v>
      </c>
      <c r="CO67" s="150"/>
      <c r="CP67" s="150"/>
      <c r="CQ67" s="150"/>
      <c r="CR67" s="150"/>
      <c r="CS67" s="150"/>
      <c r="CT67" s="150"/>
    </row>
    <row r="68" spans="1:98" s="10" customFormat="1" ht="12.75" customHeight="1">
      <c r="A68" s="26"/>
      <c r="B68" s="89" t="str">
        <f>Parameters!Q67</f>
        <v>M72</v>
      </c>
      <c r="C68" s="90"/>
      <c r="D68" s="504" t="str">
        <f>Parameters!S67</f>
        <v>Scientific research and development</v>
      </c>
      <c r="E68" s="505"/>
      <c r="F68" s="226"/>
      <c r="G68" s="379"/>
      <c r="H68" s="227"/>
      <c r="I68" s="379"/>
      <c r="J68" s="227"/>
      <c r="K68" s="379"/>
      <c r="L68" s="227"/>
      <c r="M68" s="379"/>
      <c r="N68" s="227"/>
      <c r="O68" s="379"/>
      <c r="P68" s="227"/>
      <c r="Q68" s="379"/>
      <c r="R68" s="227"/>
      <c r="S68" s="379"/>
      <c r="T68" s="227"/>
      <c r="U68" s="379"/>
      <c r="V68" s="227"/>
      <c r="W68" s="379"/>
      <c r="X68" s="227"/>
      <c r="Y68" s="379"/>
      <c r="Z68" s="227"/>
      <c r="AA68" s="379"/>
      <c r="AB68" s="227"/>
      <c r="AC68" s="379"/>
      <c r="AD68" s="227"/>
      <c r="AE68" s="379"/>
      <c r="AF68" s="166">
        <v>3.4446299999999999E-2</v>
      </c>
      <c r="AG68" s="379"/>
      <c r="AH68" s="166">
        <v>3.8520800000000001E-2</v>
      </c>
      <c r="AI68" s="379"/>
      <c r="AJ68" s="166">
        <v>2.1340700000000001E-2</v>
      </c>
      <c r="AK68" s="379"/>
      <c r="AL68" s="166">
        <v>3.7879000000000003E-2</v>
      </c>
      <c r="AM68" s="379"/>
      <c r="AN68" s="166">
        <v>8.8215500000000002E-2</v>
      </c>
      <c r="AO68" s="379"/>
      <c r="AP68" s="166">
        <v>7.7912300000000004E-2</v>
      </c>
      <c r="AQ68" s="379"/>
      <c r="AR68" s="166">
        <v>7.5701400000000002E-2</v>
      </c>
      <c r="AS68" s="379"/>
      <c r="AT68" s="166">
        <v>7.6307E-2</v>
      </c>
      <c r="AU68" s="379"/>
      <c r="AV68" s="166">
        <v>0.26602680000000001</v>
      </c>
      <c r="AW68" s="379"/>
      <c r="AX68" s="166">
        <v>0.65497870000000002</v>
      </c>
      <c r="AY68" s="379"/>
      <c r="AZ68" s="166">
        <v>0.4582775</v>
      </c>
      <c r="BA68" s="379"/>
      <c r="BB68" s="166">
        <v>0.3103938</v>
      </c>
      <c r="BC68" s="379"/>
      <c r="BD68" s="166">
        <v>0.32108530000000002</v>
      </c>
      <c r="BE68" s="379"/>
      <c r="BF68" s="166">
        <v>0.27746090000000001</v>
      </c>
      <c r="BG68" s="379"/>
      <c r="BH68" s="227"/>
      <c r="BI68" s="184"/>
      <c r="CJ68" s="150"/>
      <c r="CK68" s="150"/>
      <c r="CL68" s="150"/>
      <c r="CM68" s="151" t="s">
        <v>1011</v>
      </c>
      <c r="CN68" s="150" t="s">
        <v>1130</v>
      </c>
      <c r="CO68" s="150"/>
      <c r="CP68" s="150"/>
      <c r="CQ68" s="150"/>
      <c r="CR68" s="150"/>
      <c r="CS68" s="150"/>
      <c r="CT68" s="150"/>
    </row>
    <row r="69" spans="1:98" s="10" customFormat="1" ht="24" customHeight="1">
      <c r="A69" s="26"/>
      <c r="B69" s="89" t="str">
        <f>Parameters!Q68</f>
        <v>M73-M75</v>
      </c>
      <c r="C69" s="90"/>
      <c r="D69" s="504" t="str">
        <f>Parameters!S68</f>
        <v>Advertising and market research; other professional, scientific and technical activities; veterinary activities</v>
      </c>
      <c r="E69" s="506"/>
      <c r="F69" s="252"/>
      <c r="G69" s="380"/>
      <c r="H69" s="253"/>
      <c r="I69" s="380"/>
      <c r="J69" s="253"/>
      <c r="K69" s="380"/>
      <c r="L69" s="253"/>
      <c r="M69" s="380"/>
      <c r="N69" s="253"/>
      <c r="O69" s="380"/>
      <c r="P69" s="253"/>
      <c r="Q69" s="380"/>
      <c r="R69" s="253"/>
      <c r="S69" s="380"/>
      <c r="T69" s="253"/>
      <c r="U69" s="380"/>
      <c r="V69" s="253"/>
      <c r="W69" s="380"/>
      <c r="X69" s="253"/>
      <c r="Y69" s="380"/>
      <c r="Z69" s="253"/>
      <c r="AA69" s="380"/>
      <c r="AB69" s="253"/>
      <c r="AC69" s="380"/>
      <c r="AD69" s="253"/>
      <c r="AE69" s="380"/>
      <c r="AF69" s="253">
        <v>0</v>
      </c>
      <c r="AG69" s="380"/>
      <c r="AH69" s="253">
        <v>0</v>
      </c>
      <c r="AI69" s="380"/>
      <c r="AJ69" s="253">
        <v>0</v>
      </c>
      <c r="AK69" s="380"/>
      <c r="AL69" s="253">
        <v>0</v>
      </c>
      <c r="AM69" s="380"/>
      <c r="AN69" s="253">
        <v>0</v>
      </c>
      <c r="AO69" s="380"/>
      <c r="AP69" s="253">
        <v>0</v>
      </c>
      <c r="AQ69" s="380"/>
      <c r="AR69" s="253">
        <v>0</v>
      </c>
      <c r="AS69" s="380"/>
      <c r="AT69" s="253">
        <v>0</v>
      </c>
      <c r="AU69" s="380"/>
      <c r="AV69" s="253">
        <v>0</v>
      </c>
      <c r="AW69" s="380"/>
      <c r="AX69" s="253">
        <v>0</v>
      </c>
      <c r="AY69" s="380"/>
      <c r="AZ69" s="253">
        <v>0</v>
      </c>
      <c r="BA69" s="380"/>
      <c r="BB69" s="253">
        <v>0</v>
      </c>
      <c r="BC69" s="380"/>
      <c r="BD69" s="253">
        <v>0</v>
      </c>
      <c r="BE69" s="380"/>
      <c r="BF69" s="253">
        <v>0</v>
      </c>
      <c r="BG69" s="380"/>
      <c r="BH69" s="253"/>
      <c r="BI69" s="254"/>
      <c r="CJ69" s="150"/>
      <c r="CK69" s="150"/>
      <c r="CL69" s="150"/>
      <c r="CM69" s="151"/>
      <c r="CN69" s="150"/>
      <c r="CO69" s="150"/>
      <c r="CP69" s="150"/>
      <c r="CQ69" s="150"/>
      <c r="CR69" s="150"/>
      <c r="CS69" s="150"/>
      <c r="CT69" s="150"/>
    </row>
    <row r="70" spans="1:98" s="10" customFormat="1" ht="12.75" customHeight="1">
      <c r="A70" s="310"/>
      <c r="B70" s="308" t="str">
        <f>Parameters!Q69</f>
        <v>M73</v>
      </c>
      <c r="C70" s="309"/>
      <c r="D70" s="495" t="str">
        <f>Parameters!S69</f>
        <v>Advertising and market research</v>
      </c>
      <c r="E70" s="496"/>
      <c r="F70" s="224"/>
      <c r="G70" s="379"/>
      <c r="H70" s="225"/>
      <c r="I70" s="379"/>
      <c r="J70" s="225"/>
      <c r="K70" s="379"/>
      <c r="L70" s="225"/>
      <c r="M70" s="379"/>
      <c r="N70" s="225"/>
      <c r="O70" s="379"/>
      <c r="P70" s="225"/>
      <c r="Q70" s="379"/>
      <c r="R70" s="225"/>
      <c r="S70" s="379"/>
      <c r="T70" s="225"/>
      <c r="U70" s="379"/>
      <c r="V70" s="225"/>
      <c r="W70" s="379"/>
      <c r="X70" s="225"/>
      <c r="Y70" s="379"/>
      <c r="Z70" s="225"/>
      <c r="AA70" s="379"/>
      <c r="AB70" s="225"/>
      <c r="AC70" s="379"/>
      <c r="AD70" s="225"/>
      <c r="AE70" s="379"/>
      <c r="AF70" s="165">
        <v>0.25941239999999999</v>
      </c>
      <c r="AG70" s="379"/>
      <c r="AH70" s="165">
        <v>0.2900508</v>
      </c>
      <c r="AI70" s="379"/>
      <c r="AJ70" s="165">
        <v>0.38174259999999999</v>
      </c>
      <c r="AK70" s="379"/>
      <c r="AL70" s="165">
        <v>0.32347589999999998</v>
      </c>
      <c r="AM70" s="379"/>
      <c r="AN70" s="165">
        <v>0.3975147</v>
      </c>
      <c r="AO70" s="379"/>
      <c r="AP70" s="165">
        <v>0.40702139999999998</v>
      </c>
      <c r="AQ70" s="379"/>
      <c r="AR70" s="165">
        <v>0.29164909999999999</v>
      </c>
      <c r="AS70" s="379"/>
      <c r="AT70" s="165">
        <v>0.34507120000000002</v>
      </c>
      <c r="AU70" s="379"/>
      <c r="AV70" s="165">
        <v>0.71062289999999995</v>
      </c>
      <c r="AW70" s="379"/>
      <c r="AX70" s="165">
        <v>1.2063322000000001</v>
      </c>
      <c r="AY70" s="379"/>
      <c r="AZ70" s="165">
        <v>0.84405010000000003</v>
      </c>
      <c r="BA70" s="379"/>
      <c r="BB70" s="165">
        <v>1.1204054000000001</v>
      </c>
      <c r="BC70" s="379"/>
      <c r="BD70" s="165">
        <v>0.805593</v>
      </c>
      <c r="BE70" s="379"/>
      <c r="BF70" s="165">
        <v>0.70891530000000003</v>
      </c>
      <c r="BG70" s="379"/>
      <c r="BH70" s="225"/>
      <c r="BI70" s="184"/>
      <c r="CJ70" s="150"/>
      <c r="CK70" s="150"/>
      <c r="CL70" s="150"/>
      <c r="CM70" s="151" t="s">
        <v>1022</v>
      </c>
      <c r="CN70" s="150" t="s">
        <v>1130</v>
      </c>
      <c r="CO70" s="150"/>
      <c r="CP70" s="150"/>
      <c r="CQ70" s="150"/>
      <c r="CR70" s="150"/>
      <c r="CS70" s="150"/>
      <c r="CT70" s="150"/>
    </row>
    <row r="71" spans="1:98" s="11" customFormat="1" ht="12.75" customHeight="1">
      <c r="A71" s="310"/>
      <c r="B71" s="308" t="str">
        <f>Parameters!Q70</f>
        <v>M74_M75</v>
      </c>
      <c r="C71" s="309"/>
      <c r="D71" s="495" t="str">
        <f>Parameters!S70</f>
        <v>Other professional, scientific and technical activities; veterinary activities</v>
      </c>
      <c r="E71" s="496"/>
      <c r="F71" s="224"/>
      <c r="G71" s="379"/>
      <c r="H71" s="225"/>
      <c r="I71" s="379"/>
      <c r="J71" s="225"/>
      <c r="K71" s="379"/>
      <c r="L71" s="225"/>
      <c r="M71" s="379"/>
      <c r="N71" s="225"/>
      <c r="O71" s="379"/>
      <c r="P71" s="225"/>
      <c r="Q71" s="379"/>
      <c r="R71" s="225"/>
      <c r="S71" s="379"/>
      <c r="T71" s="225"/>
      <c r="U71" s="379"/>
      <c r="V71" s="225"/>
      <c r="W71" s="379"/>
      <c r="X71" s="225"/>
      <c r="Y71" s="379"/>
      <c r="Z71" s="225"/>
      <c r="AA71" s="379"/>
      <c r="AB71" s="225"/>
      <c r="AC71" s="379"/>
      <c r="AD71" s="225"/>
      <c r="AE71" s="379"/>
      <c r="AF71" s="165">
        <v>0.47219420000000001</v>
      </c>
      <c r="AG71" s="379"/>
      <c r="AH71" s="165">
        <v>0.5280338</v>
      </c>
      <c r="AI71" s="379"/>
      <c r="AJ71" s="165">
        <v>0.63902769999999998</v>
      </c>
      <c r="AK71" s="379"/>
      <c r="AL71" s="165">
        <v>0.63666590000000001</v>
      </c>
      <c r="AM71" s="379"/>
      <c r="AN71" s="165">
        <v>0.72254419999999997</v>
      </c>
      <c r="AO71" s="379"/>
      <c r="AP71" s="165">
        <v>0.68214710000000001</v>
      </c>
      <c r="AQ71" s="379"/>
      <c r="AR71" s="165">
        <v>0.62606119999999998</v>
      </c>
      <c r="AS71" s="379"/>
      <c r="AT71" s="165">
        <v>0.77049040000000002</v>
      </c>
      <c r="AU71" s="379"/>
      <c r="AV71" s="165">
        <v>1.5835204000000001</v>
      </c>
      <c r="AW71" s="379"/>
      <c r="AX71" s="165">
        <v>2.7037041999999998</v>
      </c>
      <c r="AY71" s="379"/>
      <c r="AZ71" s="165">
        <v>1.8917360000000001</v>
      </c>
      <c r="BA71" s="379"/>
      <c r="BB71" s="165">
        <v>2.5798271000000002</v>
      </c>
      <c r="BC71" s="379"/>
      <c r="BD71" s="165">
        <v>1.9491175999999999</v>
      </c>
      <c r="BE71" s="379"/>
      <c r="BF71" s="165">
        <v>1.6552754999999999</v>
      </c>
      <c r="BG71" s="379"/>
      <c r="BH71" s="225"/>
      <c r="BI71" s="184"/>
      <c r="CJ71" s="150"/>
      <c r="CK71" s="150"/>
      <c r="CL71" s="150"/>
      <c r="CM71" s="151" t="s">
        <v>1142</v>
      </c>
      <c r="CN71" s="150" t="s">
        <v>1130</v>
      </c>
      <c r="CO71" s="150"/>
      <c r="CP71" s="150"/>
      <c r="CQ71" s="150"/>
      <c r="CR71" s="150"/>
      <c r="CS71" s="150"/>
      <c r="CT71" s="150"/>
    </row>
    <row r="72" spans="1:98" s="11" customFormat="1" ht="12.75" customHeight="1">
      <c r="A72" s="25"/>
      <c r="B72" s="87" t="str">
        <f>Parameters!Q71</f>
        <v>N</v>
      </c>
      <c r="C72" s="88"/>
      <c r="D72" s="498" t="str">
        <f>Parameters!S71</f>
        <v>Administrative and support service activities</v>
      </c>
      <c r="E72" s="499"/>
      <c r="F72" s="222"/>
      <c r="G72" s="379"/>
      <c r="H72" s="223"/>
      <c r="I72" s="379"/>
      <c r="J72" s="223"/>
      <c r="K72" s="379"/>
      <c r="L72" s="223"/>
      <c r="M72" s="379"/>
      <c r="N72" s="223"/>
      <c r="O72" s="379"/>
      <c r="P72" s="223"/>
      <c r="Q72" s="379"/>
      <c r="R72" s="223"/>
      <c r="S72" s="379"/>
      <c r="T72" s="223"/>
      <c r="U72" s="379"/>
      <c r="V72" s="223"/>
      <c r="W72" s="379"/>
      <c r="X72" s="223"/>
      <c r="Y72" s="379"/>
      <c r="Z72" s="223"/>
      <c r="AA72" s="379"/>
      <c r="AB72" s="223"/>
      <c r="AC72" s="379"/>
      <c r="AD72" s="223"/>
      <c r="AE72" s="379"/>
      <c r="AF72" s="164">
        <v>4.4256273000000004</v>
      </c>
      <c r="AG72" s="379"/>
      <c r="AH72" s="164">
        <v>4.9489223000000004</v>
      </c>
      <c r="AI72" s="379"/>
      <c r="AJ72" s="164">
        <v>5.2232738999999997</v>
      </c>
      <c r="AK72" s="379"/>
      <c r="AL72" s="164">
        <v>6.5695300000000003</v>
      </c>
      <c r="AM72" s="379"/>
      <c r="AN72" s="164">
        <v>6.9019969000000003</v>
      </c>
      <c r="AO72" s="379"/>
      <c r="AP72" s="164">
        <v>6.5277241999999998</v>
      </c>
      <c r="AQ72" s="379"/>
      <c r="AR72" s="164">
        <v>6.2713595</v>
      </c>
      <c r="AS72" s="379"/>
      <c r="AT72" s="164">
        <v>6.9639457</v>
      </c>
      <c r="AU72" s="379"/>
      <c r="AV72" s="164">
        <v>16.311107499999999</v>
      </c>
      <c r="AW72" s="379"/>
      <c r="AX72" s="164">
        <v>34.044156899999997</v>
      </c>
      <c r="AY72" s="379"/>
      <c r="AZ72" s="164">
        <v>24.062663700000002</v>
      </c>
      <c r="BA72" s="379"/>
      <c r="BB72" s="164">
        <v>26.417120700000002</v>
      </c>
      <c r="BC72" s="379"/>
      <c r="BD72" s="164">
        <v>20.005918000000001</v>
      </c>
      <c r="BE72" s="379"/>
      <c r="BF72" s="164">
        <v>18.4945713</v>
      </c>
      <c r="BG72" s="379"/>
      <c r="BH72" s="223"/>
      <c r="BI72" s="184"/>
      <c r="CJ72" s="150"/>
      <c r="CK72" s="150"/>
      <c r="CL72" s="150"/>
      <c r="CM72" s="151" t="s">
        <v>1031</v>
      </c>
      <c r="CN72" s="150" t="s">
        <v>1130</v>
      </c>
      <c r="CO72" s="150"/>
      <c r="CP72" s="150"/>
      <c r="CQ72" s="150"/>
      <c r="CR72" s="150"/>
      <c r="CS72" s="150"/>
      <c r="CT72" s="150"/>
    </row>
    <row r="73" spans="1:98" s="11" customFormat="1" ht="12.75" customHeight="1">
      <c r="A73" s="310"/>
      <c r="B73" s="308" t="str">
        <f>Parameters!Q72</f>
        <v>N77</v>
      </c>
      <c r="C73" s="309"/>
      <c r="D73" s="495" t="str">
        <f>Parameters!S72</f>
        <v>Rental and leasing activities</v>
      </c>
      <c r="E73" s="496"/>
      <c r="F73" s="224"/>
      <c r="G73" s="379"/>
      <c r="H73" s="225"/>
      <c r="I73" s="379"/>
      <c r="J73" s="225"/>
      <c r="K73" s="379"/>
      <c r="L73" s="225"/>
      <c r="M73" s="379"/>
      <c r="N73" s="225"/>
      <c r="O73" s="379"/>
      <c r="P73" s="225"/>
      <c r="Q73" s="379"/>
      <c r="R73" s="225"/>
      <c r="S73" s="379"/>
      <c r="T73" s="225"/>
      <c r="U73" s="379"/>
      <c r="V73" s="225"/>
      <c r="W73" s="379"/>
      <c r="X73" s="225"/>
      <c r="Y73" s="379"/>
      <c r="Z73" s="225"/>
      <c r="AA73" s="379"/>
      <c r="AB73" s="225"/>
      <c r="AC73" s="379"/>
      <c r="AD73" s="225"/>
      <c r="AE73" s="379"/>
      <c r="AF73" s="165">
        <v>0.68374219999999997</v>
      </c>
      <c r="AG73" s="379"/>
      <c r="AH73" s="165">
        <v>0.76460159999999999</v>
      </c>
      <c r="AI73" s="379"/>
      <c r="AJ73" s="165">
        <v>0.83266649999999998</v>
      </c>
      <c r="AK73" s="379"/>
      <c r="AL73" s="165">
        <v>1.044562</v>
      </c>
      <c r="AM73" s="379"/>
      <c r="AN73" s="165">
        <v>1.0062042</v>
      </c>
      <c r="AO73" s="379"/>
      <c r="AP73" s="165">
        <v>1.0662187000000001</v>
      </c>
      <c r="AQ73" s="379"/>
      <c r="AR73" s="165">
        <v>0.89141190000000003</v>
      </c>
      <c r="AS73" s="379"/>
      <c r="AT73" s="165">
        <v>0.89967299999999994</v>
      </c>
      <c r="AU73" s="379"/>
      <c r="AV73" s="165">
        <v>2.1265177</v>
      </c>
      <c r="AW73" s="379"/>
      <c r="AX73" s="165">
        <v>3.6271279000000001</v>
      </c>
      <c r="AY73" s="379"/>
      <c r="AZ73" s="165">
        <v>2.5624609999999999</v>
      </c>
      <c r="BA73" s="379"/>
      <c r="BB73" s="165">
        <v>4.2549346999999997</v>
      </c>
      <c r="BC73" s="379"/>
      <c r="BD73" s="165">
        <v>3.0344110999999998</v>
      </c>
      <c r="BE73" s="379"/>
      <c r="BF73" s="165">
        <v>3.2676569999999998</v>
      </c>
      <c r="BG73" s="379"/>
      <c r="BH73" s="225"/>
      <c r="BI73" s="184"/>
      <c r="CJ73" s="150"/>
      <c r="CK73" s="150"/>
      <c r="CL73" s="150"/>
      <c r="CM73" s="151" t="s">
        <v>1035</v>
      </c>
      <c r="CN73" s="150" t="s">
        <v>1130</v>
      </c>
      <c r="CO73" s="150"/>
      <c r="CP73" s="150"/>
      <c r="CQ73" s="150"/>
      <c r="CR73" s="150"/>
      <c r="CS73" s="150"/>
      <c r="CT73" s="150"/>
    </row>
    <row r="74" spans="1:98" s="11" customFormat="1" ht="12.75" customHeight="1">
      <c r="A74" s="310"/>
      <c r="B74" s="308" t="str">
        <f>Parameters!Q73</f>
        <v>N78</v>
      </c>
      <c r="C74" s="309"/>
      <c r="D74" s="495" t="str">
        <f>Parameters!S73</f>
        <v>Employment activities</v>
      </c>
      <c r="E74" s="496"/>
      <c r="F74" s="224"/>
      <c r="G74" s="379"/>
      <c r="H74" s="225"/>
      <c r="I74" s="379"/>
      <c r="J74" s="225"/>
      <c r="K74" s="379"/>
      <c r="L74" s="225"/>
      <c r="M74" s="379"/>
      <c r="N74" s="225"/>
      <c r="O74" s="379"/>
      <c r="P74" s="225"/>
      <c r="Q74" s="379"/>
      <c r="R74" s="225"/>
      <c r="S74" s="379"/>
      <c r="T74" s="225"/>
      <c r="U74" s="379"/>
      <c r="V74" s="225"/>
      <c r="W74" s="379"/>
      <c r="X74" s="225"/>
      <c r="Y74" s="379"/>
      <c r="Z74" s="225"/>
      <c r="AA74" s="379"/>
      <c r="AB74" s="225"/>
      <c r="AC74" s="379"/>
      <c r="AD74" s="225"/>
      <c r="AE74" s="379"/>
      <c r="AF74" s="165">
        <v>0.25318449999999998</v>
      </c>
      <c r="AG74" s="379"/>
      <c r="AH74" s="165">
        <v>0.2831263</v>
      </c>
      <c r="AI74" s="379"/>
      <c r="AJ74" s="165">
        <v>0.32127250000000002</v>
      </c>
      <c r="AK74" s="379"/>
      <c r="AL74" s="165">
        <v>0.32456879999999999</v>
      </c>
      <c r="AM74" s="379"/>
      <c r="AN74" s="165">
        <v>0.42796390000000001</v>
      </c>
      <c r="AO74" s="379"/>
      <c r="AP74" s="165">
        <v>0.46624389999999999</v>
      </c>
      <c r="AQ74" s="379"/>
      <c r="AR74" s="165">
        <v>0.48812</v>
      </c>
      <c r="AS74" s="379"/>
      <c r="AT74" s="165">
        <v>0.56802799999999998</v>
      </c>
      <c r="AU74" s="379"/>
      <c r="AV74" s="165">
        <v>1.3344952999999999</v>
      </c>
      <c r="AW74" s="379"/>
      <c r="AX74" s="165">
        <v>8.3338654999999999</v>
      </c>
      <c r="AY74" s="379"/>
      <c r="AZ74" s="165">
        <v>5.8310643000000004</v>
      </c>
      <c r="BA74" s="379"/>
      <c r="BB74" s="165">
        <v>1.9959245000000001</v>
      </c>
      <c r="BC74" s="379"/>
      <c r="BD74" s="165">
        <v>1.6979006999999999</v>
      </c>
      <c r="BE74" s="379"/>
      <c r="BF74" s="165">
        <v>1.3329408</v>
      </c>
      <c r="BG74" s="379"/>
      <c r="BH74" s="225"/>
      <c r="BI74" s="184"/>
      <c r="CJ74" s="150"/>
      <c r="CK74" s="150"/>
      <c r="CL74" s="150"/>
      <c r="CM74" s="151" t="s">
        <v>1039</v>
      </c>
      <c r="CN74" s="150" t="s">
        <v>1130</v>
      </c>
      <c r="CO74" s="150"/>
      <c r="CP74" s="150"/>
      <c r="CQ74" s="150"/>
      <c r="CR74" s="150"/>
      <c r="CS74" s="150"/>
      <c r="CT74" s="150"/>
    </row>
    <row r="75" spans="1:98" s="11" customFormat="1" ht="12.75" customHeight="1">
      <c r="A75" s="310"/>
      <c r="B75" s="308" t="str">
        <f>Parameters!Q74</f>
        <v>N79</v>
      </c>
      <c r="C75" s="309"/>
      <c r="D75" s="495" t="str">
        <f>Parameters!S74</f>
        <v>Travel agency, tour operator reservation service and related activities</v>
      </c>
      <c r="E75" s="496"/>
      <c r="F75" s="224"/>
      <c r="G75" s="379"/>
      <c r="H75" s="225"/>
      <c r="I75" s="379"/>
      <c r="J75" s="225"/>
      <c r="K75" s="379"/>
      <c r="L75" s="225"/>
      <c r="M75" s="379"/>
      <c r="N75" s="225"/>
      <c r="O75" s="379"/>
      <c r="P75" s="225"/>
      <c r="Q75" s="379"/>
      <c r="R75" s="225"/>
      <c r="S75" s="379"/>
      <c r="T75" s="225"/>
      <c r="U75" s="379"/>
      <c r="V75" s="225"/>
      <c r="W75" s="379"/>
      <c r="X75" s="225"/>
      <c r="Y75" s="379"/>
      <c r="Z75" s="225"/>
      <c r="AA75" s="379"/>
      <c r="AB75" s="225"/>
      <c r="AC75" s="379"/>
      <c r="AD75" s="225"/>
      <c r="AE75" s="379"/>
      <c r="AF75" s="165">
        <v>0.18713969999999999</v>
      </c>
      <c r="AG75" s="379"/>
      <c r="AH75" s="165">
        <v>0.20924429999999999</v>
      </c>
      <c r="AI75" s="379"/>
      <c r="AJ75" s="165">
        <v>0.33305309999999999</v>
      </c>
      <c r="AK75" s="379"/>
      <c r="AL75" s="165">
        <v>0.2066413</v>
      </c>
      <c r="AM75" s="379"/>
      <c r="AN75" s="165">
        <v>0.2562894</v>
      </c>
      <c r="AO75" s="379"/>
      <c r="AP75" s="165">
        <v>0.21910540000000001</v>
      </c>
      <c r="AQ75" s="379"/>
      <c r="AR75" s="165">
        <v>0.2940334</v>
      </c>
      <c r="AS75" s="379"/>
      <c r="AT75" s="165">
        <v>0.43341669999999999</v>
      </c>
      <c r="AU75" s="379"/>
      <c r="AV75" s="165">
        <v>1.1941170000000001</v>
      </c>
      <c r="AW75" s="379"/>
      <c r="AX75" s="165">
        <v>1.4965942000000001</v>
      </c>
      <c r="AY75" s="379"/>
      <c r="AZ75" s="165">
        <v>1.0471416</v>
      </c>
      <c r="BA75" s="379"/>
      <c r="BB75" s="165">
        <v>1.4275983000000001</v>
      </c>
      <c r="BC75" s="379"/>
      <c r="BD75" s="165">
        <v>1.0476308999999999</v>
      </c>
      <c r="BE75" s="379"/>
      <c r="BF75" s="165">
        <v>0.7074144</v>
      </c>
      <c r="BG75" s="379"/>
      <c r="BH75" s="225"/>
      <c r="BI75" s="184"/>
      <c r="CJ75" s="150"/>
      <c r="CK75" s="150"/>
      <c r="CL75" s="150"/>
      <c r="CM75" s="151" t="s">
        <v>1043</v>
      </c>
      <c r="CN75" s="150" t="s">
        <v>1130</v>
      </c>
      <c r="CO75" s="150"/>
      <c r="CP75" s="150"/>
      <c r="CQ75" s="150"/>
      <c r="CR75" s="150"/>
      <c r="CS75" s="150"/>
      <c r="CT75" s="150"/>
    </row>
    <row r="76" spans="1:98" s="11" customFormat="1">
      <c r="A76" s="310"/>
      <c r="B76" s="308" t="str">
        <f>Parameters!Q75</f>
        <v>N80-N82</v>
      </c>
      <c r="C76" s="309"/>
      <c r="D76" s="495" t="str">
        <f>Parameters!S75</f>
        <v>Security and investigation, service and landscape, office administrative and support activities</v>
      </c>
      <c r="E76" s="497"/>
      <c r="F76" s="224"/>
      <c r="G76" s="379"/>
      <c r="H76" s="225"/>
      <c r="I76" s="379"/>
      <c r="J76" s="225"/>
      <c r="K76" s="379"/>
      <c r="L76" s="225"/>
      <c r="M76" s="379"/>
      <c r="N76" s="225"/>
      <c r="O76" s="379"/>
      <c r="P76" s="225"/>
      <c r="Q76" s="379"/>
      <c r="R76" s="225"/>
      <c r="S76" s="379"/>
      <c r="T76" s="225"/>
      <c r="U76" s="379"/>
      <c r="V76" s="225"/>
      <c r="W76" s="379"/>
      <c r="X76" s="225"/>
      <c r="Y76" s="379"/>
      <c r="Z76" s="225"/>
      <c r="AA76" s="379"/>
      <c r="AB76" s="225"/>
      <c r="AC76" s="379"/>
      <c r="AD76" s="225"/>
      <c r="AE76" s="379"/>
      <c r="AF76" s="165">
        <v>3.301561</v>
      </c>
      <c r="AG76" s="379"/>
      <c r="AH76" s="165">
        <v>3.6919501000000001</v>
      </c>
      <c r="AI76" s="379"/>
      <c r="AJ76" s="165">
        <v>3.7362818999999998</v>
      </c>
      <c r="AK76" s="379"/>
      <c r="AL76" s="165">
        <v>4.9937579000000003</v>
      </c>
      <c r="AM76" s="379"/>
      <c r="AN76" s="165">
        <v>5.2115394000000004</v>
      </c>
      <c r="AO76" s="379"/>
      <c r="AP76" s="165">
        <v>4.7761562</v>
      </c>
      <c r="AQ76" s="379"/>
      <c r="AR76" s="165">
        <v>4.5977940999999998</v>
      </c>
      <c r="AS76" s="379"/>
      <c r="AT76" s="165">
        <v>5.0628279999999997</v>
      </c>
      <c r="AU76" s="379"/>
      <c r="AV76" s="165">
        <v>11.655977500000001</v>
      </c>
      <c r="AW76" s="379"/>
      <c r="AX76" s="165">
        <v>20.586569300000001</v>
      </c>
      <c r="AY76" s="379"/>
      <c r="AZ76" s="165">
        <v>14.6219968</v>
      </c>
      <c r="BA76" s="379"/>
      <c r="BB76" s="165">
        <v>18.738663200000001</v>
      </c>
      <c r="BC76" s="379"/>
      <c r="BD76" s="165">
        <v>14.2259753</v>
      </c>
      <c r="BE76" s="379"/>
      <c r="BF76" s="165">
        <v>13.1865591</v>
      </c>
      <c r="BG76" s="379"/>
      <c r="BH76" s="225"/>
      <c r="BI76" s="184"/>
      <c r="CJ76" s="150"/>
      <c r="CK76" s="150"/>
      <c r="CL76" s="150"/>
      <c r="CM76" s="151" t="s">
        <v>1143</v>
      </c>
      <c r="CN76" s="150" t="s">
        <v>1130</v>
      </c>
      <c r="CO76" s="150"/>
      <c r="CP76" s="150"/>
      <c r="CQ76" s="150"/>
      <c r="CR76" s="150"/>
      <c r="CS76" s="150"/>
      <c r="CT76" s="150"/>
    </row>
    <row r="77" spans="1:98" s="11" customFormat="1" ht="12.75" customHeight="1">
      <c r="A77" s="25"/>
      <c r="B77" s="87" t="str">
        <f>Parameters!Q76</f>
        <v>O</v>
      </c>
      <c r="C77" s="88"/>
      <c r="D77" s="498" t="str">
        <f>Parameters!S76</f>
        <v>Public administration and defence; compulsory social security</v>
      </c>
      <c r="E77" s="499"/>
      <c r="F77" s="222"/>
      <c r="G77" s="379"/>
      <c r="H77" s="223"/>
      <c r="I77" s="379"/>
      <c r="J77" s="223"/>
      <c r="K77" s="379"/>
      <c r="L77" s="223"/>
      <c r="M77" s="379"/>
      <c r="N77" s="223"/>
      <c r="O77" s="379"/>
      <c r="P77" s="223"/>
      <c r="Q77" s="379"/>
      <c r="R77" s="223"/>
      <c r="S77" s="379"/>
      <c r="T77" s="223"/>
      <c r="U77" s="379"/>
      <c r="V77" s="223"/>
      <c r="W77" s="379"/>
      <c r="X77" s="223"/>
      <c r="Y77" s="379"/>
      <c r="Z77" s="223"/>
      <c r="AA77" s="379"/>
      <c r="AB77" s="223"/>
      <c r="AC77" s="379"/>
      <c r="AD77" s="223"/>
      <c r="AE77" s="379"/>
      <c r="AF77" s="164">
        <v>19.635976500000002</v>
      </c>
      <c r="AG77" s="379"/>
      <c r="AH77" s="164">
        <v>25.484483399999998</v>
      </c>
      <c r="AI77" s="379"/>
      <c r="AJ77" s="164">
        <v>33.230299100000003</v>
      </c>
      <c r="AK77" s="379"/>
      <c r="AL77" s="164">
        <v>64.247036800000004</v>
      </c>
      <c r="AM77" s="379"/>
      <c r="AN77" s="164">
        <v>62.254074299999999</v>
      </c>
      <c r="AO77" s="379"/>
      <c r="AP77" s="164">
        <v>53.552316699999999</v>
      </c>
      <c r="AQ77" s="379"/>
      <c r="AR77" s="164">
        <v>49.971832599999999</v>
      </c>
      <c r="AS77" s="379"/>
      <c r="AT77" s="164">
        <v>41.653928000000001</v>
      </c>
      <c r="AU77" s="379"/>
      <c r="AV77" s="164">
        <v>44.332649799999999</v>
      </c>
      <c r="AW77" s="379"/>
      <c r="AX77" s="164">
        <v>48.802492000000001</v>
      </c>
      <c r="AY77" s="379"/>
      <c r="AZ77" s="164">
        <v>65.544898700000005</v>
      </c>
      <c r="BA77" s="379"/>
      <c r="BB77" s="164">
        <v>62.032764499999999</v>
      </c>
      <c r="BC77" s="379"/>
      <c r="BD77" s="164">
        <v>58.927226400000002</v>
      </c>
      <c r="BE77" s="379"/>
      <c r="BF77" s="164">
        <v>41.154772700000002</v>
      </c>
      <c r="BG77" s="379"/>
      <c r="BH77" s="223"/>
      <c r="BI77" s="184"/>
      <c r="CJ77" s="150"/>
      <c r="CK77" s="150"/>
      <c r="CL77" s="150"/>
      <c r="CM77" s="151" t="s">
        <v>1051</v>
      </c>
      <c r="CN77" s="150" t="s">
        <v>1130</v>
      </c>
      <c r="CO77" s="150"/>
      <c r="CP77" s="150"/>
      <c r="CQ77" s="150"/>
      <c r="CR77" s="150"/>
      <c r="CS77" s="150"/>
      <c r="CT77" s="150"/>
    </row>
    <row r="78" spans="1:98" s="11" customFormat="1" ht="12.75" customHeight="1">
      <c r="A78" s="25"/>
      <c r="B78" s="87" t="str">
        <f>Parameters!Q77</f>
        <v>P</v>
      </c>
      <c r="C78" s="88"/>
      <c r="D78" s="498" t="str">
        <f>Parameters!S77</f>
        <v>Education</v>
      </c>
      <c r="E78" s="499"/>
      <c r="F78" s="222"/>
      <c r="G78" s="379"/>
      <c r="H78" s="223"/>
      <c r="I78" s="379"/>
      <c r="J78" s="223"/>
      <c r="K78" s="379"/>
      <c r="L78" s="223"/>
      <c r="M78" s="379"/>
      <c r="N78" s="223"/>
      <c r="O78" s="379"/>
      <c r="P78" s="223"/>
      <c r="Q78" s="379"/>
      <c r="R78" s="223"/>
      <c r="S78" s="379"/>
      <c r="T78" s="223"/>
      <c r="U78" s="379"/>
      <c r="V78" s="223"/>
      <c r="W78" s="379"/>
      <c r="X78" s="223"/>
      <c r="Y78" s="379"/>
      <c r="Z78" s="223"/>
      <c r="AA78" s="379"/>
      <c r="AB78" s="223"/>
      <c r="AC78" s="379"/>
      <c r="AD78" s="223"/>
      <c r="AE78" s="379"/>
      <c r="AF78" s="164">
        <v>17.162735099999999</v>
      </c>
      <c r="AG78" s="379"/>
      <c r="AH78" s="164">
        <v>16.765901700000001</v>
      </c>
      <c r="AI78" s="379"/>
      <c r="AJ78" s="164">
        <v>22.1424451</v>
      </c>
      <c r="AK78" s="379"/>
      <c r="AL78" s="164">
        <v>25.6646359</v>
      </c>
      <c r="AM78" s="379"/>
      <c r="AN78" s="164">
        <v>29.264614600000002</v>
      </c>
      <c r="AO78" s="379"/>
      <c r="AP78" s="164">
        <v>28.631870599999999</v>
      </c>
      <c r="AQ78" s="379"/>
      <c r="AR78" s="164">
        <v>23.0728157</v>
      </c>
      <c r="AS78" s="379"/>
      <c r="AT78" s="164">
        <v>19.9686144</v>
      </c>
      <c r="AU78" s="379"/>
      <c r="AV78" s="164">
        <v>19.099872900000001</v>
      </c>
      <c r="AW78" s="379"/>
      <c r="AX78" s="164">
        <v>19.885800499999998</v>
      </c>
      <c r="AY78" s="379"/>
      <c r="AZ78" s="164">
        <v>23.2821335</v>
      </c>
      <c r="BA78" s="379"/>
      <c r="BB78" s="164">
        <v>34.843356499999999</v>
      </c>
      <c r="BC78" s="379"/>
      <c r="BD78" s="164">
        <v>34.4286812</v>
      </c>
      <c r="BE78" s="379"/>
      <c r="BF78" s="164">
        <v>26.741073499999999</v>
      </c>
      <c r="BG78" s="379"/>
      <c r="BH78" s="223"/>
      <c r="BI78" s="184"/>
      <c r="CJ78" s="150"/>
      <c r="CK78" s="150"/>
      <c r="CL78" s="150"/>
      <c r="CM78" s="151" t="s">
        <v>271</v>
      </c>
      <c r="CN78" s="150" t="s">
        <v>1130</v>
      </c>
      <c r="CO78" s="150"/>
      <c r="CP78" s="150"/>
      <c r="CQ78" s="150"/>
      <c r="CR78" s="150"/>
      <c r="CS78" s="150"/>
      <c r="CT78" s="150"/>
    </row>
    <row r="79" spans="1:98" s="11" customFormat="1" ht="12.75" customHeight="1">
      <c r="A79" s="25"/>
      <c r="B79" s="87" t="str">
        <f>Parameters!Q78</f>
        <v>Q</v>
      </c>
      <c r="C79" s="88"/>
      <c r="D79" s="498" t="str">
        <f>Parameters!S78</f>
        <v>Human health and social work activities</v>
      </c>
      <c r="E79" s="499"/>
      <c r="F79" s="222"/>
      <c r="G79" s="379"/>
      <c r="H79" s="223"/>
      <c r="I79" s="379"/>
      <c r="J79" s="223"/>
      <c r="K79" s="379"/>
      <c r="L79" s="223"/>
      <c r="M79" s="379"/>
      <c r="N79" s="223"/>
      <c r="O79" s="379"/>
      <c r="P79" s="223"/>
      <c r="Q79" s="379"/>
      <c r="R79" s="223"/>
      <c r="S79" s="379"/>
      <c r="T79" s="223"/>
      <c r="U79" s="379"/>
      <c r="V79" s="223"/>
      <c r="W79" s="379"/>
      <c r="X79" s="223"/>
      <c r="Y79" s="379"/>
      <c r="Z79" s="223"/>
      <c r="AA79" s="379"/>
      <c r="AB79" s="223"/>
      <c r="AC79" s="379"/>
      <c r="AD79" s="223"/>
      <c r="AE79" s="379"/>
      <c r="AF79" s="164">
        <v>4.4392427000000003</v>
      </c>
      <c r="AG79" s="379"/>
      <c r="AH79" s="164">
        <v>5.7329129999999999</v>
      </c>
      <c r="AI79" s="379"/>
      <c r="AJ79" s="164">
        <v>7.3723257000000002</v>
      </c>
      <c r="AK79" s="379"/>
      <c r="AL79" s="164">
        <v>8.9801882000000006</v>
      </c>
      <c r="AM79" s="379"/>
      <c r="AN79" s="164">
        <v>9.2118570999999996</v>
      </c>
      <c r="AO79" s="379"/>
      <c r="AP79" s="164">
        <v>10.880225299999999</v>
      </c>
      <c r="AQ79" s="379"/>
      <c r="AR79" s="164">
        <v>8.8202368</v>
      </c>
      <c r="AS79" s="379"/>
      <c r="AT79" s="164">
        <v>7.7157422999999996</v>
      </c>
      <c r="AU79" s="379"/>
      <c r="AV79" s="164">
        <v>7.4968301000000004</v>
      </c>
      <c r="AW79" s="379"/>
      <c r="AX79" s="164">
        <v>12.017500699999999</v>
      </c>
      <c r="AY79" s="379"/>
      <c r="AZ79" s="164">
        <v>8.6277982000000009</v>
      </c>
      <c r="BA79" s="379"/>
      <c r="BB79" s="164">
        <v>12.654519799999999</v>
      </c>
      <c r="BC79" s="379"/>
      <c r="BD79" s="164">
        <v>12.2198449</v>
      </c>
      <c r="BE79" s="379"/>
      <c r="BF79" s="164">
        <v>12.974810400000001</v>
      </c>
      <c r="BG79" s="379"/>
      <c r="BH79" s="223"/>
      <c r="BI79" s="184"/>
      <c r="CJ79" s="150"/>
      <c r="CK79" s="150"/>
      <c r="CL79" s="150"/>
      <c r="CM79" s="151" t="s">
        <v>1059</v>
      </c>
      <c r="CN79" s="150" t="s">
        <v>1130</v>
      </c>
      <c r="CO79" s="150"/>
      <c r="CP79" s="150"/>
      <c r="CQ79" s="150"/>
      <c r="CR79" s="150"/>
      <c r="CS79" s="150"/>
      <c r="CT79" s="150"/>
    </row>
    <row r="80" spans="1:98" s="11" customFormat="1" ht="12.75" customHeight="1">
      <c r="A80" s="310"/>
      <c r="B80" s="308" t="str">
        <f>Parameters!Q79</f>
        <v>Q86</v>
      </c>
      <c r="C80" s="309"/>
      <c r="D80" s="495" t="str">
        <f>Parameters!S79</f>
        <v>Human health activities</v>
      </c>
      <c r="E80" s="497"/>
      <c r="F80" s="224"/>
      <c r="G80" s="379"/>
      <c r="H80" s="225"/>
      <c r="I80" s="379"/>
      <c r="J80" s="225"/>
      <c r="K80" s="379"/>
      <c r="L80" s="225"/>
      <c r="M80" s="379"/>
      <c r="N80" s="225"/>
      <c r="O80" s="379"/>
      <c r="P80" s="225"/>
      <c r="Q80" s="379"/>
      <c r="R80" s="225"/>
      <c r="S80" s="379"/>
      <c r="T80" s="225"/>
      <c r="U80" s="379"/>
      <c r="V80" s="225"/>
      <c r="W80" s="379"/>
      <c r="X80" s="225"/>
      <c r="Y80" s="379"/>
      <c r="Z80" s="225"/>
      <c r="AA80" s="379"/>
      <c r="AB80" s="225"/>
      <c r="AC80" s="379"/>
      <c r="AD80" s="225"/>
      <c r="AE80" s="379"/>
      <c r="AF80" s="165">
        <v>4.0107420999999999</v>
      </c>
      <c r="AG80" s="379"/>
      <c r="AH80" s="165">
        <v>5.2583270999999998</v>
      </c>
      <c r="AI80" s="379"/>
      <c r="AJ80" s="165">
        <v>6.9491141000000001</v>
      </c>
      <c r="AK80" s="379"/>
      <c r="AL80" s="165">
        <v>8.3026912999999993</v>
      </c>
      <c r="AM80" s="379"/>
      <c r="AN80" s="165">
        <v>8.4233060999999996</v>
      </c>
      <c r="AO80" s="379"/>
      <c r="AP80" s="165">
        <v>10.0975012</v>
      </c>
      <c r="AQ80" s="379"/>
      <c r="AR80" s="165">
        <v>8.1322866999999999</v>
      </c>
      <c r="AS80" s="379"/>
      <c r="AT80" s="165">
        <v>7.0359243999999999</v>
      </c>
      <c r="AU80" s="379"/>
      <c r="AV80" s="165">
        <v>6.6973991000000002</v>
      </c>
      <c r="AW80" s="379"/>
      <c r="AX80" s="165">
        <v>10.777125399999999</v>
      </c>
      <c r="AY80" s="379"/>
      <c r="AZ80" s="165">
        <v>8.2137826999999994</v>
      </c>
      <c r="BA80" s="379"/>
      <c r="BB80" s="165">
        <v>12.282454299999999</v>
      </c>
      <c r="BC80" s="379"/>
      <c r="BD80" s="165">
        <v>12.2054876</v>
      </c>
      <c r="BE80" s="379"/>
      <c r="BF80" s="165">
        <v>9.3299176999999993</v>
      </c>
      <c r="BG80" s="379"/>
      <c r="BH80" s="225"/>
      <c r="BI80" s="184"/>
      <c r="CJ80" s="150"/>
      <c r="CK80" s="150"/>
      <c r="CL80" s="150"/>
      <c r="CM80" s="151" t="s">
        <v>1063</v>
      </c>
      <c r="CN80" s="150" t="s">
        <v>1130</v>
      </c>
      <c r="CO80" s="150"/>
      <c r="CP80" s="150"/>
      <c r="CQ80" s="150"/>
      <c r="CR80" s="150"/>
      <c r="CS80" s="150"/>
      <c r="CT80" s="150"/>
    </row>
    <row r="81" spans="1:98" s="11" customFormat="1" ht="12.75" customHeight="1">
      <c r="A81" s="310"/>
      <c r="B81" s="308" t="str">
        <f>Parameters!Q80</f>
        <v>Q87_Q88</v>
      </c>
      <c r="C81" s="309"/>
      <c r="D81" s="495" t="str">
        <f>Parameters!S80</f>
        <v>Residential care activities and social work activities without accommodation</v>
      </c>
      <c r="E81" s="497"/>
      <c r="F81" s="224"/>
      <c r="G81" s="379"/>
      <c r="H81" s="225"/>
      <c r="I81" s="379"/>
      <c r="J81" s="225"/>
      <c r="K81" s="379"/>
      <c r="L81" s="225"/>
      <c r="M81" s="379"/>
      <c r="N81" s="225"/>
      <c r="O81" s="379"/>
      <c r="P81" s="225"/>
      <c r="Q81" s="379"/>
      <c r="R81" s="225"/>
      <c r="S81" s="379"/>
      <c r="T81" s="225"/>
      <c r="U81" s="379"/>
      <c r="V81" s="225"/>
      <c r="W81" s="379"/>
      <c r="X81" s="225"/>
      <c r="Y81" s="379"/>
      <c r="Z81" s="225"/>
      <c r="AA81" s="379"/>
      <c r="AB81" s="225"/>
      <c r="AC81" s="379"/>
      <c r="AD81" s="225"/>
      <c r="AE81" s="379"/>
      <c r="AF81" s="165">
        <v>0.42850060000000001</v>
      </c>
      <c r="AG81" s="379"/>
      <c r="AH81" s="165">
        <v>0.4745859</v>
      </c>
      <c r="AI81" s="379"/>
      <c r="AJ81" s="165">
        <v>0.42321150000000002</v>
      </c>
      <c r="AK81" s="379"/>
      <c r="AL81" s="165">
        <v>0.67749689999999996</v>
      </c>
      <c r="AM81" s="379"/>
      <c r="AN81" s="165">
        <v>0.788551</v>
      </c>
      <c r="AO81" s="379"/>
      <c r="AP81" s="165">
        <v>0.78272410000000003</v>
      </c>
      <c r="AQ81" s="379"/>
      <c r="AR81" s="165">
        <v>0.68795010000000001</v>
      </c>
      <c r="AS81" s="379"/>
      <c r="AT81" s="165">
        <v>0.67981789999999997</v>
      </c>
      <c r="AU81" s="379"/>
      <c r="AV81" s="165">
        <v>0.799431</v>
      </c>
      <c r="AW81" s="379"/>
      <c r="AX81" s="165">
        <v>1.2403753</v>
      </c>
      <c r="AY81" s="379"/>
      <c r="AZ81" s="165">
        <v>0.41401539999999998</v>
      </c>
      <c r="BA81" s="379"/>
      <c r="BB81" s="165">
        <v>0.37206549999999999</v>
      </c>
      <c r="BC81" s="379"/>
      <c r="BD81" s="165">
        <v>1.43573E-2</v>
      </c>
      <c r="BE81" s="379"/>
      <c r="BF81" s="165">
        <v>3.6448925999999999</v>
      </c>
      <c r="BG81" s="379"/>
      <c r="BH81" s="225"/>
      <c r="BI81" s="184"/>
      <c r="CJ81" s="157"/>
      <c r="CK81" s="150"/>
      <c r="CL81" s="157"/>
      <c r="CM81" s="151" t="s">
        <v>1144</v>
      </c>
      <c r="CN81" s="150" t="s">
        <v>1130</v>
      </c>
      <c r="CO81" s="157"/>
      <c r="CP81" s="157"/>
      <c r="CQ81" s="157"/>
      <c r="CR81" s="157"/>
      <c r="CS81" s="157"/>
      <c r="CT81" s="157"/>
    </row>
    <row r="82" spans="1:98" s="11" customFormat="1" ht="12.75" customHeight="1">
      <c r="A82" s="25"/>
      <c r="B82" s="87" t="str">
        <f>Parameters!Q81</f>
        <v>R</v>
      </c>
      <c r="C82" s="88"/>
      <c r="D82" s="498" t="str">
        <f>Parameters!S81</f>
        <v>Arts, entertainment and recreation</v>
      </c>
      <c r="E82" s="499"/>
      <c r="F82" s="222"/>
      <c r="G82" s="379"/>
      <c r="H82" s="223"/>
      <c r="I82" s="379"/>
      <c r="J82" s="223"/>
      <c r="K82" s="379"/>
      <c r="L82" s="223"/>
      <c r="M82" s="379"/>
      <c r="N82" s="223"/>
      <c r="O82" s="379"/>
      <c r="P82" s="223"/>
      <c r="Q82" s="379"/>
      <c r="R82" s="223"/>
      <c r="S82" s="379"/>
      <c r="T82" s="223"/>
      <c r="U82" s="379"/>
      <c r="V82" s="223"/>
      <c r="W82" s="379"/>
      <c r="X82" s="223"/>
      <c r="Y82" s="379"/>
      <c r="Z82" s="223"/>
      <c r="AA82" s="379"/>
      <c r="AB82" s="223"/>
      <c r="AC82" s="379"/>
      <c r="AD82" s="223"/>
      <c r="AE82" s="379"/>
      <c r="AF82" s="164">
        <v>2.0944999999999998E-2</v>
      </c>
      <c r="AG82" s="379"/>
      <c r="AH82" s="164">
        <v>2.33212E-2</v>
      </c>
      <c r="AI82" s="379"/>
      <c r="AJ82" s="164">
        <v>2.7784699999999999E-2</v>
      </c>
      <c r="AK82" s="379"/>
      <c r="AL82" s="164">
        <v>2.4509099999999999E-2</v>
      </c>
      <c r="AM82" s="379"/>
      <c r="AN82" s="164">
        <v>4.3034000000000003E-2</v>
      </c>
      <c r="AO82" s="379"/>
      <c r="AP82" s="164">
        <v>8.4600400000000006E-2</v>
      </c>
      <c r="AQ82" s="379"/>
      <c r="AR82" s="164">
        <v>5.3887299999999999E-2</v>
      </c>
      <c r="AS82" s="379"/>
      <c r="AT82" s="164">
        <v>4.8418000000000003E-2</v>
      </c>
      <c r="AU82" s="379"/>
      <c r="AV82" s="164">
        <v>0.1231839</v>
      </c>
      <c r="AW82" s="379"/>
      <c r="AX82" s="164">
        <v>2.8077513000000001</v>
      </c>
      <c r="AY82" s="379"/>
      <c r="AZ82" s="164">
        <v>0.29618480000000003</v>
      </c>
      <c r="BA82" s="379"/>
      <c r="BB82" s="164">
        <v>0.4849695</v>
      </c>
      <c r="BC82" s="379"/>
      <c r="BD82" s="164">
        <v>0.3179071</v>
      </c>
      <c r="BE82" s="379"/>
      <c r="BF82" s="164">
        <v>2.6787744</v>
      </c>
      <c r="BG82" s="379"/>
      <c r="BH82" s="223"/>
      <c r="BI82" s="184"/>
      <c r="CJ82" s="157"/>
      <c r="CK82" s="150"/>
      <c r="CL82" s="157"/>
      <c r="CM82" s="151" t="s">
        <v>1070</v>
      </c>
      <c r="CN82" s="150" t="s">
        <v>1130</v>
      </c>
      <c r="CO82" s="157"/>
      <c r="CP82" s="157"/>
      <c r="CQ82" s="157"/>
      <c r="CR82" s="157"/>
      <c r="CS82" s="157"/>
      <c r="CT82" s="157"/>
    </row>
    <row r="83" spans="1:98" s="11" customFormat="1" ht="25.5" customHeight="1">
      <c r="A83" s="310"/>
      <c r="B83" s="308" t="str">
        <f>Parameters!Q82</f>
        <v>R90-R92</v>
      </c>
      <c r="C83" s="309"/>
      <c r="D83" s="495" t="str">
        <f>Parameters!S82</f>
        <v>Creative, arts and entertainment activities; libraries, archives, museums and other cultural activities; gambling and betting activities</v>
      </c>
      <c r="E83" s="497"/>
      <c r="F83" s="224"/>
      <c r="G83" s="379"/>
      <c r="H83" s="225"/>
      <c r="I83" s="379"/>
      <c r="J83" s="225"/>
      <c r="K83" s="379"/>
      <c r="L83" s="225"/>
      <c r="M83" s="379"/>
      <c r="N83" s="225"/>
      <c r="O83" s="379"/>
      <c r="P83" s="225"/>
      <c r="Q83" s="379"/>
      <c r="R83" s="225"/>
      <c r="S83" s="379"/>
      <c r="T83" s="225"/>
      <c r="U83" s="379"/>
      <c r="V83" s="225"/>
      <c r="W83" s="379"/>
      <c r="X83" s="225"/>
      <c r="Y83" s="379"/>
      <c r="Z83" s="225"/>
      <c r="AA83" s="379"/>
      <c r="AB83" s="225"/>
      <c r="AC83" s="379"/>
      <c r="AD83" s="225"/>
      <c r="AE83" s="379"/>
      <c r="AF83" s="165">
        <v>8.7889999999999995E-4</v>
      </c>
      <c r="AG83" s="379"/>
      <c r="AH83" s="165">
        <v>9.8299999999999993E-4</v>
      </c>
      <c r="AI83" s="379"/>
      <c r="AJ83" s="165">
        <v>4.9280000000000005E-4</v>
      </c>
      <c r="AK83" s="379"/>
      <c r="AL83" s="165">
        <v>8.0619999999999997E-4</v>
      </c>
      <c r="AM83" s="379"/>
      <c r="AN83" s="165">
        <v>2.4593000000000002E-3</v>
      </c>
      <c r="AO83" s="379"/>
      <c r="AP83" s="165">
        <v>6.4230000000000005E-4</v>
      </c>
      <c r="AQ83" s="379"/>
      <c r="AR83" s="165">
        <v>1.8029999999999999E-4</v>
      </c>
      <c r="AS83" s="379"/>
      <c r="AT83" s="165">
        <v>1.505E-4</v>
      </c>
      <c r="AU83" s="379"/>
      <c r="AV83" s="165">
        <v>1.0859000000000001E-3</v>
      </c>
      <c r="AW83" s="379"/>
      <c r="AX83" s="165">
        <v>2.6482749000000001</v>
      </c>
      <c r="AY83" s="379"/>
      <c r="AZ83" s="165">
        <v>4.4780000000000002E-3</v>
      </c>
      <c r="BA83" s="379"/>
      <c r="BB83" s="165">
        <v>7.1575399999999997E-2</v>
      </c>
      <c r="BC83" s="379"/>
      <c r="BD83" s="165">
        <v>0.11236640000000001</v>
      </c>
      <c r="BE83" s="379"/>
      <c r="BF83" s="165">
        <v>0.84383410000000003</v>
      </c>
      <c r="BG83" s="379"/>
      <c r="BH83" s="225"/>
      <c r="BI83" s="184"/>
      <c r="CJ83" s="157"/>
      <c r="CK83" s="150"/>
      <c r="CL83" s="157"/>
      <c r="CM83" s="151" t="s">
        <v>1145</v>
      </c>
      <c r="CN83" s="150" t="s">
        <v>1130</v>
      </c>
      <c r="CO83" s="157"/>
      <c r="CP83" s="157"/>
      <c r="CQ83" s="157"/>
      <c r="CR83" s="157"/>
      <c r="CS83" s="157"/>
      <c r="CT83" s="157"/>
    </row>
    <row r="84" spans="1:98" s="11" customFormat="1" ht="12.75" customHeight="1">
      <c r="A84" s="310"/>
      <c r="B84" s="308" t="str">
        <f>Parameters!Q83</f>
        <v>R93</v>
      </c>
      <c r="C84" s="309"/>
      <c r="D84" s="495" t="str">
        <f>Parameters!S83</f>
        <v>Sports activities and amusement and recreation activities</v>
      </c>
      <c r="E84" s="497"/>
      <c r="F84" s="224"/>
      <c r="G84" s="379"/>
      <c r="H84" s="225"/>
      <c r="I84" s="379"/>
      <c r="J84" s="225"/>
      <c r="K84" s="379"/>
      <c r="L84" s="225"/>
      <c r="M84" s="379"/>
      <c r="N84" s="225"/>
      <c r="O84" s="379"/>
      <c r="P84" s="225"/>
      <c r="Q84" s="379"/>
      <c r="R84" s="225"/>
      <c r="S84" s="379"/>
      <c r="T84" s="225"/>
      <c r="U84" s="379"/>
      <c r="V84" s="225"/>
      <c r="W84" s="379"/>
      <c r="X84" s="225"/>
      <c r="Y84" s="379"/>
      <c r="Z84" s="225"/>
      <c r="AA84" s="379"/>
      <c r="AB84" s="225"/>
      <c r="AC84" s="379"/>
      <c r="AD84" s="225"/>
      <c r="AE84" s="379"/>
      <c r="AF84" s="165">
        <v>2.00661E-2</v>
      </c>
      <c r="AG84" s="379"/>
      <c r="AH84" s="165">
        <v>2.2338199999999999E-2</v>
      </c>
      <c r="AI84" s="379"/>
      <c r="AJ84" s="165">
        <v>2.7292E-2</v>
      </c>
      <c r="AK84" s="379"/>
      <c r="AL84" s="165">
        <v>2.3702899999999999E-2</v>
      </c>
      <c r="AM84" s="379"/>
      <c r="AN84" s="165">
        <v>4.0574600000000002E-2</v>
      </c>
      <c r="AO84" s="379"/>
      <c r="AP84" s="165">
        <v>8.3958099999999994E-2</v>
      </c>
      <c r="AQ84" s="379"/>
      <c r="AR84" s="165">
        <v>5.3706999999999998E-2</v>
      </c>
      <c r="AS84" s="379"/>
      <c r="AT84" s="165">
        <v>4.8267499999999998E-2</v>
      </c>
      <c r="AU84" s="379"/>
      <c r="AV84" s="165">
        <v>0.1220981</v>
      </c>
      <c r="AW84" s="379"/>
      <c r="AX84" s="165">
        <v>0.15947629999999999</v>
      </c>
      <c r="AY84" s="379"/>
      <c r="AZ84" s="165">
        <v>0.29170679999999999</v>
      </c>
      <c r="BA84" s="379"/>
      <c r="BB84" s="165">
        <v>0.41339409999999999</v>
      </c>
      <c r="BC84" s="379"/>
      <c r="BD84" s="165">
        <v>0.20554069999999999</v>
      </c>
      <c r="BE84" s="379"/>
      <c r="BF84" s="165">
        <v>1.8349401999999999</v>
      </c>
      <c r="BG84" s="379"/>
      <c r="BH84" s="225"/>
      <c r="BI84" s="184"/>
      <c r="CJ84" s="157"/>
      <c r="CK84" s="150"/>
      <c r="CL84" s="157"/>
      <c r="CM84" s="151" t="s">
        <v>1074</v>
      </c>
      <c r="CN84" s="150" t="s">
        <v>1130</v>
      </c>
      <c r="CO84" s="157"/>
      <c r="CP84" s="157"/>
      <c r="CQ84" s="157"/>
      <c r="CR84" s="157"/>
      <c r="CS84" s="157"/>
      <c r="CT84" s="157"/>
    </row>
    <row r="85" spans="1:98" s="11" customFormat="1" ht="12.75" customHeight="1">
      <c r="A85" s="25"/>
      <c r="B85" s="87" t="str">
        <f>Parameters!Q84</f>
        <v>S</v>
      </c>
      <c r="C85" s="88"/>
      <c r="D85" s="498" t="str">
        <f>Parameters!S84</f>
        <v>Other service activities</v>
      </c>
      <c r="E85" s="499"/>
      <c r="F85" s="222"/>
      <c r="G85" s="379"/>
      <c r="H85" s="223"/>
      <c r="I85" s="379"/>
      <c r="J85" s="223"/>
      <c r="K85" s="379"/>
      <c r="L85" s="223"/>
      <c r="M85" s="379"/>
      <c r="N85" s="223"/>
      <c r="O85" s="379"/>
      <c r="P85" s="223"/>
      <c r="Q85" s="379"/>
      <c r="R85" s="223"/>
      <c r="S85" s="379"/>
      <c r="T85" s="223"/>
      <c r="U85" s="379"/>
      <c r="V85" s="223"/>
      <c r="W85" s="379"/>
      <c r="X85" s="223"/>
      <c r="Y85" s="379"/>
      <c r="Z85" s="223"/>
      <c r="AA85" s="379"/>
      <c r="AB85" s="223"/>
      <c r="AC85" s="379"/>
      <c r="AD85" s="223"/>
      <c r="AE85" s="379"/>
      <c r="AF85" s="164">
        <v>0.5619497</v>
      </c>
      <c r="AG85" s="379"/>
      <c r="AH85" s="164">
        <v>0.62839449999999997</v>
      </c>
      <c r="AI85" s="379"/>
      <c r="AJ85" s="164">
        <v>0.73852269999999998</v>
      </c>
      <c r="AK85" s="379"/>
      <c r="AL85" s="164">
        <v>0.77445509999999995</v>
      </c>
      <c r="AM85" s="379"/>
      <c r="AN85" s="164">
        <v>0.864375</v>
      </c>
      <c r="AO85" s="379"/>
      <c r="AP85" s="164">
        <v>0.78742299999999998</v>
      </c>
      <c r="AQ85" s="379"/>
      <c r="AR85" s="164">
        <v>0.74911550000000005</v>
      </c>
      <c r="AS85" s="379"/>
      <c r="AT85" s="164">
        <v>0.93224099999999999</v>
      </c>
      <c r="AU85" s="379"/>
      <c r="AV85" s="164">
        <v>2.2047721</v>
      </c>
      <c r="AW85" s="379"/>
      <c r="AX85" s="164">
        <v>3.6015495999999998</v>
      </c>
      <c r="AY85" s="379"/>
      <c r="AZ85" s="164">
        <v>2.5199432000000002</v>
      </c>
      <c r="BA85" s="379"/>
      <c r="BB85" s="164">
        <v>3.1208428000000001</v>
      </c>
      <c r="BC85" s="379"/>
      <c r="BD85" s="164">
        <v>2.816084</v>
      </c>
      <c r="BE85" s="379"/>
      <c r="BF85" s="164">
        <v>2.2586745000000001</v>
      </c>
      <c r="BG85" s="379"/>
      <c r="BH85" s="223"/>
      <c r="BI85" s="184"/>
      <c r="CJ85" s="157"/>
      <c r="CK85" s="150"/>
      <c r="CL85" s="157"/>
      <c r="CM85" s="151" t="s">
        <v>1076</v>
      </c>
      <c r="CN85" s="150" t="s">
        <v>1130</v>
      </c>
      <c r="CO85" s="157"/>
      <c r="CP85" s="157"/>
      <c r="CQ85" s="157"/>
      <c r="CR85" s="157"/>
      <c r="CS85" s="157"/>
      <c r="CT85" s="157"/>
    </row>
    <row r="86" spans="1:98" s="10" customFormat="1" ht="12.75" customHeight="1">
      <c r="A86" s="310"/>
      <c r="B86" s="308" t="str">
        <f>Parameters!Q85</f>
        <v>S94</v>
      </c>
      <c r="C86" s="309"/>
      <c r="D86" s="495" t="str">
        <f>Parameters!S85</f>
        <v>Activities of membership organisations</v>
      </c>
      <c r="E86" s="496"/>
      <c r="F86" s="224"/>
      <c r="G86" s="379"/>
      <c r="H86" s="225"/>
      <c r="I86" s="379"/>
      <c r="J86" s="225"/>
      <c r="K86" s="379"/>
      <c r="L86" s="225"/>
      <c r="M86" s="379"/>
      <c r="N86" s="225"/>
      <c r="O86" s="379"/>
      <c r="P86" s="225"/>
      <c r="Q86" s="379"/>
      <c r="R86" s="225"/>
      <c r="S86" s="379"/>
      <c r="T86" s="225"/>
      <c r="U86" s="379"/>
      <c r="V86" s="225"/>
      <c r="W86" s="379"/>
      <c r="X86" s="225"/>
      <c r="Y86" s="379"/>
      <c r="Z86" s="225"/>
      <c r="AA86" s="379"/>
      <c r="AB86" s="225"/>
      <c r="AC86" s="379"/>
      <c r="AD86" s="225"/>
      <c r="AE86" s="379"/>
      <c r="AF86" s="165">
        <v>1.4384000000000001E-3</v>
      </c>
      <c r="AG86" s="379"/>
      <c r="AH86" s="165">
        <v>1.604E-3</v>
      </c>
      <c r="AI86" s="379"/>
      <c r="AJ86" s="165">
        <v>2.6848000000000002E-3</v>
      </c>
      <c r="AK86" s="379"/>
      <c r="AL86" s="165">
        <v>2.2512000000000001E-3</v>
      </c>
      <c r="AM86" s="379"/>
      <c r="AN86" s="165">
        <v>1.338E-3</v>
      </c>
      <c r="AO86" s="379"/>
      <c r="AP86" s="165">
        <v>9.9300000000000001E-5</v>
      </c>
      <c r="AQ86" s="379"/>
      <c r="AR86" s="165">
        <v>7.3510000000000003E-4</v>
      </c>
      <c r="AS86" s="379"/>
      <c r="AT86" s="165">
        <v>5.7189999999999997E-4</v>
      </c>
      <c r="AU86" s="379"/>
      <c r="AV86" s="165">
        <v>0</v>
      </c>
      <c r="AW86" s="379"/>
      <c r="AX86" s="165">
        <v>0</v>
      </c>
      <c r="AY86" s="379"/>
      <c r="AZ86" s="165">
        <v>0</v>
      </c>
      <c r="BA86" s="379"/>
      <c r="BB86" s="165">
        <v>2.5699E-3</v>
      </c>
      <c r="BC86" s="379"/>
      <c r="BD86" s="165">
        <v>0</v>
      </c>
      <c r="BE86" s="379"/>
      <c r="BF86" s="165">
        <v>0</v>
      </c>
      <c r="BG86" s="379"/>
      <c r="BH86" s="225"/>
      <c r="BI86" s="184"/>
      <c r="CJ86" s="157"/>
      <c r="CK86" s="150"/>
      <c r="CL86" s="157"/>
      <c r="CM86" s="151" t="s">
        <v>1078</v>
      </c>
      <c r="CN86" s="150" t="s">
        <v>1130</v>
      </c>
      <c r="CO86" s="157"/>
      <c r="CP86" s="157"/>
      <c r="CQ86" s="157"/>
      <c r="CR86" s="157"/>
      <c r="CS86" s="157"/>
      <c r="CT86" s="157"/>
    </row>
    <row r="87" spans="1:98" s="10" customFormat="1" ht="12.75" customHeight="1">
      <c r="A87" s="310"/>
      <c r="B87" s="308" t="str">
        <f>Parameters!Q86</f>
        <v>S95</v>
      </c>
      <c r="C87" s="309"/>
      <c r="D87" s="495" t="str">
        <f>Parameters!S86</f>
        <v>Repair of computers and personal and household goods</v>
      </c>
      <c r="E87" s="497"/>
      <c r="F87" s="224"/>
      <c r="G87" s="379"/>
      <c r="H87" s="225"/>
      <c r="I87" s="379"/>
      <c r="J87" s="225"/>
      <c r="K87" s="379"/>
      <c r="L87" s="225"/>
      <c r="M87" s="379"/>
      <c r="N87" s="225"/>
      <c r="O87" s="379"/>
      <c r="P87" s="225"/>
      <c r="Q87" s="379"/>
      <c r="R87" s="225"/>
      <c r="S87" s="379"/>
      <c r="T87" s="225"/>
      <c r="U87" s="379"/>
      <c r="V87" s="225"/>
      <c r="W87" s="379"/>
      <c r="X87" s="225"/>
      <c r="Y87" s="379"/>
      <c r="Z87" s="225"/>
      <c r="AA87" s="379"/>
      <c r="AB87" s="225"/>
      <c r="AC87" s="379"/>
      <c r="AD87" s="225"/>
      <c r="AE87" s="379"/>
      <c r="AF87" s="165">
        <v>0.1345056</v>
      </c>
      <c r="AG87" s="379"/>
      <c r="AH87" s="165">
        <v>0.1504115</v>
      </c>
      <c r="AI87" s="379"/>
      <c r="AJ87" s="165">
        <v>0.18746160000000001</v>
      </c>
      <c r="AK87" s="379"/>
      <c r="AL87" s="165">
        <v>0.17213439999999999</v>
      </c>
      <c r="AM87" s="379"/>
      <c r="AN87" s="165">
        <v>0.21038860000000001</v>
      </c>
      <c r="AO87" s="379"/>
      <c r="AP87" s="165">
        <v>0.19979530000000001</v>
      </c>
      <c r="AQ87" s="379"/>
      <c r="AR87" s="165">
        <v>0.18518270000000001</v>
      </c>
      <c r="AS87" s="379"/>
      <c r="AT87" s="165">
        <v>0.22033430000000001</v>
      </c>
      <c r="AU87" s="379"/>
      <c r="AV87" s="165">
        <v>0.64340949999999997</v>
      </c>
      <c r="AW87" s="379"/>
      <c r="AX87" s="165">
        <v>1.0078605</v>
      </c>
      <c r="AY87" s="379"/>
      <c r="AZ87" s="165">
        <v>0.70518289999999995</v>
      </c>
      <c r="BA87" s="379"/>
      <c r="BB87" s="165">
        <v>0.96063909999999997</v>
      </c>
      <c r="BC87" s="379"/>
      <c r="BD87" s="165">
        <v>1.0889903999999999</v>
      </c>
      <c r="BE87" s="379"/>
      <c r="BF87" s="165">
        <v>0.63372620000000002</v>
      </c>
      <c r="BG87" s="379"/>
      <c r="BH87" s="225"/>
      <c r="BI87" s="184"/>
      <c r="CJ87" s="157"/>
      <c r="CK87" s="150"/>
      <c r="CL87" s="157"/>
      <c r="CM87" s="151" t="s">
        <v>1080</v>
      </c>
      <c r="CN87" s="150" t="s">
        <v>1130</v>
      </c>
      <c r="CO87" s="157"/>
      <c r="CP87" s="157"/>
      <c r="CQ87" s="157"/>
      <c r="CR87" s="157"/>
      <c r="CS87" s="157"/>
      <c r="CT87" s="157"/>
    </row>
    <row r="88" spans="1:98" s="10" customFormat="1" ht="12.75" customHeight="1">
      <c r="A88" s="310"/>
      <c r="B88" s="308" t="str">
        <f>Parameters!Q87</f>
        <v>S96</v>
      </c>
      <c r="C88" s="309"/>
      <c r="D88" s="495" t="str">
        <f>Parameters!S87</f>
        <v>Other personal service activities</v>
      </c>
      <c r="E88" s="497"/>
      <c r="F88" s="224"/>
      <c r="G88" s="379"/>
      <c r="H88" s="225"/>
      <c r="I88" s="379"/>
      <c r="J88" s="225"/>
      <c r="K88" s="379"/>
      <c r="L88" s="225"/>
      <c r="M88" s="379"/>
      <c r="N88" s="225"/>
      <c r="O88" s="379"/>
      <c r="P88" s="225"/>
      <c r="Q88" s="379"/>
      <c r="R88" s="225"/>
      <c r="S88" s="379"/>
      <c r="T88" s="225"/>
      <c r="U88" s="379"/>
      <c r="V88" s="225"/>
      <c r="W88" s="379"/>
      <c r="X88" s="225"/>
      <c r="Y88" s="379"/>
      <c r="Z88" s="225"/>
      <c r="AA88" s="379"/>
      <c r="AB88" s="225"/>
      <c r="AC88" s="379"/>
      <c r="AD88" s="225"/>
      <c r="AE88" s="379"/>
      <c r="AF88" s="165">
        <v>0.42600569999999999</v>
      </c>
      <c r="AG88" s="379"/>
      <c r="AH88" s="165">
        <v>0.476379</v>
      </c>
      <c r="AI88" s="379"/>
      <c r="AJ88" s="165">
        <v>0.54837630000000004</v>
      </c>
      <c r="AK88" s="379"/>
      <c r="AL88" s="165">
        <v>0.60006959999999998</v>
      </c>
      <c r="AM88" s="379"/>
      <c r="AN88" s="165">
        <v>0.65264840000000002</v>
      </c>
      <c r="AO88" s="379"/>
      <c r="AP88" s="165">
        <v>0.58752839999999995</v>
      </c>
      <c r="AQ88" s="379"/>
      <c r="AR88" s="165">
        <v>0.56319779999999997</v>
      </c>
      <c r="AS88" s="379"/>
      <c r="AT88" s="165">
        <v>0.71133480000000004</v>
      </c>
      <c r="AU88" s="379"/>
      <c r="AV88" s="165">
        <v>1.5613627000000001</v>
      </c>
      <c r="AW88" s="379"/>
      <c r="AX88" s="165">
        <v>2.5936891000000002</v>
      </c>
      <c r="AY88" s="379"/>
      <c r="AZ88" s="165">
        <v>1.8147603000000001</v>
      </c>
      <c r="BA88" s="379"/>
      <c r="BB88" s="165">
        <v>2.1576339</v>
      </c>
      <c r="BC88" s="379"/>
      <c r="BD88" s="165">
        <v>1.7270935999999999</v>
      </c>
      <c r="BE88" s="379"/>
      <c r="BF88" s="165">
        <v>1.6249483</v>
      </c>
      <c r="BG88" s="379"/>
      <c r="BH88" s="225"/>
      <c r="BI88" s="184"/>
      <c r="CJ88" s="157"/>
      <c r="CK88" s="150"/>
      <c r="CL88" s="157"/>
      <c r="CM88" s="151" t="s">
        <v>1082</v>
      </c>
      <c r="CN88" s="150" t="s">
        <v>1130</v>
      </c>
      <c r="CO88" s="157"/>
      <c r="CP88" s="157"/>
      <c r="CQ88" s="157"/>
      <c r="CR88" s="157"/>
      <c r="CS88" s="157"/>
      <c r="CT88" s="157"/>
    </row>
    <row r="89" spans="1:98" s="10" customFormat="1" ht="30.75" customHeight="1">
      <c r="A89" s="25"/>
      <c r="B89" s="87" t="str">
        <f>Parameters!Q88</f>
        <v>T</v>
      </c>
      <c r="C89" s="88"/>
      <c r="D89" s="498" t="str">
        <f>Parameters!S88</f>
        <v>Activities of households as employers; undifferentiated goods- and services-producing activities of households for own use</v>
      </c>
      <c r="E89" s="499"/>
      <c r="F89" s="222"/>
      <c r="G89" s="379"/>
      <c r="H89" s="223"/>
      <c r="I89" s="379"/>
      <c r="J89" s="223"/>
      <c r="K89" s="379"/>
      <c r="L89" s="223"/>
      <c r="M89" s="379"/>
      <c r="N89" s="223"/>
      <c r="O89" s="379"/>
      <c r="P89" s="223"/>
      <c r="Q89" s="379"/>
      <c r="R89" s="223"/>
      <c r="S89" s="379"/>
      <c r="T89" s="223"/>
      <c r="U89" s="379"/>
      <c r="V89" s="223"/>
      <c r="W89" s="379"/>
      <c r="X89" s="223"/>
      <c r="Y89" s="379"/>
      <c r="Z89" s="223"/>
      <c r="AA89" s="379"/>
      <c r="AB89" s="223"/>
      <c r="AC89" s="379"/>
      <c r="AD89" s="223"/>
      <c r="AE89" s="379"/>
      <c r="AF89" s="164">
        <v>0</v>
      </c>
      <c r="AG89" s="379"/>
      <c r="AH89" s="164">
        <v>0</v>
      </c>
      <c r="AI89" s="379"/>
      <c r="AJ89" s="164">
        <v>0</v>
      </c>
      <c r="AK89" s="379"/>
      <c r="AL89" s="164">
        <v>0</v>
      </c>
      <c r="AM89" s="379"/>
      <c r="AN89" s="164">
        <v>0</v>
      </c>
      <c r="AO89" s="379"/>
      <c r="AP89" s="164">
        <v>0</v>
      </c>
      <c r="AQ89" s="379"/>
      <c r="AR89" s="164">
        <v>0</v>
      </c>
      <c r="AS89" s="379"/>
      <c r="AT89" s="164">
        <v>0</v>
      </c>
      <c r="AU89" s="379"/>
      <c r="AV89" s="164">
        <v>0</v>
      </c>
      <c r="AW89" s="379"/>
      <c r="AX89" s="164">
        <v>0</v>
      </c>
      <c r="AY89" s="379"/>
      <c r="AZ89" s="164">
        <v>0</v>
      </c>
      <c r="BA89" s="379"/>
      <c r="BB89" s="164">
        <v>0</v>
      </c>
      <c r="BC89" s="379"/>
      <c r="BD89" s="164">
        <v>0</v>
      </c>
      <c r="BE89" s="379"/>
      <c r="BF89" s="164">
        <v>0</v>
      </c>
      <c r="BG89" s="379"/>
      <c r="BH89" s="223"/>
      <c r="BI89" s="184"/>
      <c r="CJ89" s="157"/>
      <c r="CK89" s="150"/>
      <c r="CL89" s="157"/>
      <c r="CM89" s="151" t="s">
        <v>647</v>
      </c>
      <c r="CN89" s="150" t="s">
        <v>1130</v>
      </c>
      <c r="CO89" s="157"/>
      <c r="CP89" s="157"/>
      <c r="CQ89" s="157"/>
      <c r="CR89" s="157"/>
      <c r="CS89" s="157"/>
      <c r="CT89" s="157"/>
    </row>
    <row r="90" spans="1:98" s="10" customFormat="1" ht="17.25" customHeight="1" thickBot="1">
      <c r="A90" s="25"/>
      <c r="B90" s="98" t="str">
        <f>Parameters!Q89</f>
        <v>U</v>
      </c>
      <c r="C90" s="14"/>
      <c r="D90" s="500" t="str">
        <f>Parameters!S89</f>
        <v>Activities of extraterritorial organisations and bodies</v>
      </c>
      <c r="E90" s="501"/>
      <c r="F90" s="222"/>
      <c r="G90" s="379"/>
      <c r="H90" s="223"/>
      <c r="I90" s="379"/>
      <c r="J90" s="223"/>
      <c r="K90" s="379"/>
      <c r="L90" s="223"/>
      <c r="M90" s="379"/>
      <c r="N90" s="223"/>
      <c r="O90" s="379"/>
      <c r="P90" s="223"/>
      <c r="Q90" s="379"/>
      <c r="R90" s="223"/>
      <c r="S90" s="379"/>
      <c r="T90" s="223"/>
      <c r="U90" s="379"/>
      <c r="V90" s="223"/>
      <c r="W90" s="379"/>
      <c r="X90" s="223"/>
      <c r="Y90" s="379"/>
      <c r="Z90" s="223"/>
      <c r="AA90" s="379"/>
      <c r="AB90" s="223"/>
      <c r="AC90" s="379"/>
      <c r="AD90" s="223"/>
      <c r="AE90" s="379"/>
      <c r="AF90" s="164">
        <v>0</v>
      </c>
      <c r="AG90" s="379" t="s">
        <v>422</v>
      </c>
      <c r="AH90" s="164">
        <v>0</v>
      </c>
      <c r="AI90" s="379" t="s">
        <v>422</v>
      </c>
      <c r="AJ90" s="164">
        <v>0</v>
      </c>
      <c r="AK90" s="379" t="s">
        <v>422</v>
      </c>
      <c r="AL90" s="164">
        <v>0</v>
      </c>
      <c r="AM90" s="379" t="s">
        <v>422</v>
      </c>
      <c r="AN90" s="164">
        <v>0</v>
      </c>
      <c r="AO90" s="379" t="s">
        <v>422</v>
      </c>
      <c r="AP90" s="164">
        <v>0</v>
      </c>
      <c r="AQ90" s="379" t="s">
        <v>422</v>
      </c>
      <c r="AR90" s="164">
        <v>0</v>
      </c>
      <c r="AS90" s="379" t="s">
        <v>422</v>
      </c>
      <c r="AT90" s="164">
        <v>0</v>
      </c>
      <c r="AU90" s="379" t="s">
        <v>422</v>
      </c>
      <c r="AV90" s="164">
        <v>0</v>
      </c>
      <c r="AW90" s="379" t="s">
        <v>422</v>
      </c>
      <c r="AX90" s="164">
        <v>0</v>
      </c>
      <c r="AY90" s="379" t="s">
        <v>422</v>
      </c>
      <c r="AZ90" s="164">
        <v>0</v>
      </c>
      <c r="BA90" s="379" t="s">
        <v>422</v>
      </c>
      <c r="BB90" s="164">
        <v>0</v>
      </c>
      <c r="BC90" s="379" t="s">
        <v>422</v>
      </c>
      <c r="BD90" s="164">
        <v>0</v>
      </c>
      <c r="BE90" s="379" t="s">
        <v>422</v>
      </c>
      <c r="BF90" s="164">
        <v>0</v>
      </c>
      <c r="BG90" s="379" t="s">
        <v>422</v>
      </c>
      <c r="BH90" s="223"/>
      <c r="BI90" s="184"/>
      <c r="CJ90" s="157"/>
      <c r="CK90" s="150"/>
      <c r="CL90" s="157"/>
      <c r="CM90" s="151" t="s">
        <v>1085</v>
      </c>
      <c r="CN90" s="150" t="s">
        <v>1130</v>
      </c>
      <c r="CO90" s="157"/>
      <c r="CP90" s="157"/>
      <c r="CQ90" s="157"/>
      <c r="CR90" s="157"/>
      <c r="CS90" s="157"/>
      <c r="CT90" s="157"/>
    </row>
    <row r="91" spans="1:98" ht="45" customHeight="1">
      <c r="A91" s="66"/>
      <c r="B91" s="492" t="s">
        <v>571</v>
      </c>
      <c r="C91" s="502"/>
      <c r="D91" s="502"/>
      <c r="E91" s="503"/>
      <c r="F91" s="232"/>
      <c r="G91" s="181"/>
      <c r="H91" s="234"/>
      <c r="I91" s="181"/>
      <c r="J91" s="234"/>
      <c r="K91" s="181"/>
      <c r="L91" s="234"/>
      <c r="M91" s="181"/>
      <c r="N91" s="234"/>
      <c r="O91" s="181"/>
      <c r="P91" s="234"/>
      <c r="Q91" s="181"/>
      <c r="R91" s="234"/>
      <c r="S91" s="181"/>
      <c r="T91" s="234"/>
      <c r="U91" s="181"/>
      <c r="V91" s="234"/>
      <c r="W91" s="181"/>
      <c r="X91" s="234"/>
      <c r="Y91" s="181"/>
      <c r="Z91" s="234"/>
      <c r="AA91" s="181"/>
      <c r="AB91" s="234"/>
      <c r="AC91" s="181"/>
      <c r="AD91" s="234"/>
      <c r="AE91" s="181"/>
      <c r="AF91" s="171">
        <v>2387.5446787000001</v>
      </c>
      <c r="AG91" s="181"/>
      <c r="AH91" s="171">
        <v>2454.7959452</v>
      </c>
      <c r="AI91" s="181"/>
      <c r="AJ91" s="171">
        <v>2778.8133332000002</v>
      </c>
      <c r="AK91" s="181"/>
      <c r="AL91" s="171">
        <v>2472.0073003000002</v>
      </c>
      <c r="AM91" s="181"/>
      <c r="AN91" s="171">
        <v>2585.0088387999999</v>
      </c>
      <c r="AO91" s="181"/>
      <c r="AP91" s="171">
        <v>2092.6078146999998</v>
      </c>
      <c r="AQ91" s="181"/>
      <c r="AR91" s="171">
        <v>1828.1770564999999</v>
      </c>
      <c r="AS91" s="181"/>
      <c r="AT91" s="171">
        <v>1957.4467268999999</v>
      </c>
      <c r="AU91" s="181"/>
      <c r="AV91" s="171">
        <v>2130.3648905999999</v>
      </c>
      <c r="AW91" s="181"/>
      <c r="AX91" s="171">
        <v>2458.8663439000002</v>
      </c>
      <c r="AY91" s="181"/>
      <c r="AZ91" s="171">
        <v>2258.6064280999999</v>
      </c>
      <c r="BA91" s="181"/>
      <c r="BB91" s="171">
        <v>2217.5773909999998</v>
      </c>
      <c r="BC91" s="181"/>
      <c r="BD91" s="171">
        <v>2289.8823843999999</v>
      </c>
      <c r="BE91" s="181"/>
      <c r="BF91" s="171">
        <v>2505.1195628999999</v>
      </c>
      <c r="BG91" s="181"/>
      <c r="BH91" s="234"/>
      <c r="BI91" s="183"/>
      <c r="CJ91" s="157"/>
      <c r="CK91" s="150"/>
      <c r="CL91" s="157"/>
      <c r="CM91" s="151" t="s">
        <v>1088</v>
      </c>
      <c r="CN91" s="150" t="s">
        <v>1130</v>
      </c>
      <c r="CO91" s="157"/>
      <c r="CP91" s="157"/>
      <c r="CQ91" s="157"/>
      <c r="CR91" s="157"/>
      <c r="CS91" s="157"/>
      <c r="CT91" s="157"/>
    </row>
    <row r="92" spans="1:98">
      <c r="A92" s="66"/>
      <c r="B92" s="3"/>
      <c r="C92" s="99"/>
      <c r="D92" s="488" t="s">
        <v>572</v>
      </c>
      <c r="E92" s="489"/>
      <c r="F92" s="235"/>
      <c r="G92" s="379"/>
      <c r="H92" s="237"/>
      <c r="I92" s="379"/>
      <c r="J92" s="237"/>
      <c r="K92" s="379"/>
      <c r="L92" s="237"/>
      <c r="M92" s="379"/>
      <c r="N92" s="237"/>
      <c r="O92" s="379"/>
      <c r="P92" s="237"/>
      <c r="Q92" s="379"/>
      <c r="R92" s="237"/>
      <c r="S92" s="379"/>
      <c r="T92" s="237"/>
      <c r="U92" s="379"/>
      <c r="V92" s="237"/>
      <c r="W92" s="379"/>
      <c r="X92" s="237"/>
      <c r="Y92" s="379"/>
      <c r="Z92" s="237"/>
      <c r="AA92" s="379"/>
      <c r="AB92" s="237"/>
      <c r="AC92" s="379"/>
      <c r="AD92" s="237"/>
      <c r="AE92" s="379"/>
      <c r="AF92" s="173">
        <v>67.998122699999996</v>
      </c>
      <c r="AG92" s="379"/>
      <c r="AH92" s="173">
        <v>90.248859499999995</v>
      </c>
      <c r="AI92" s="379"/>
      <c r="AJ92" s="173">
        <v>121.16213550000001</v>
      </c>
      <c r="AK92" s="379"/>
      <c r="AL92" s="173">
        <v>128.63176150000001</v>
      </c>
      <c r="AM92" s="379"/>
      <c r="AN92" s="173">
        <v>153.5160482</v>
      </c>
      <c r="AO92" s="379"/>
      <c r="AP92" s="173">
        <v>154.58659689999999</v>
      </c>
      <c r="AQ92" s="379"/>
      <c r="AR92" s="173">
        <v>154.05937220000001</v>
      </c>
      <c r="AS92" s="379"/>
      <c r="AT92" s="173">
        <v>172.34135900000001</v>
      </c>
      <c r="AU92" s="379"/>
      <c r="AV92" s="173">
        <v>403.96393330000001</v>
      </c>
      <c r="AW92" s="379"/>
      <c r="AX92" s="173">
        <v>616.06323239999995</v>
      </c>
      <c r="AY92" s="379"/>
      <c r="AZ92" s="173">
        <v>455.46599980000002</v>
      </c>
      <c r="BA92" s="379"/>
      <c r="BB92" s="173">
        <v>564.02490750000004</v>
      </c>
      <c r="BC92" s="379"/>
      <c r="BD92" s="173">
        <v>488.83780849999999</v>
      </c>
      <c r="BE92" s="379"/>
      <c r="BF92" s="173">
        <v>493.8070563</v>
      </c>
      <c r="BG92" s="379"/>
      <c r="BH92" s="237"/>
      <c r="BI92" s="184"/>
      <c r="CJ92" s="157"/>
      <c r="CK92" s="150"/>
      <c r="CL92" s="157"/>
      <c r="CM92" s="151" t="s">
        <v>1146</v>
      </c>
      <c r="CN92" s="150" t="s">
        <v>1130</v>
      </c>
      <c r="CO92" s="157"/>
      <c r="CP92" s="157"/>
      <c r="CQ92" s="157"/>
      <c r="CR92" s="157"/>
      <c r="CS92" s="157"/>
      <c r="CT92" s="157"/>
    </row>
    <row r="93" spans="1:98">
      <c r="A93" s="314"/>
      <c r="B93" s="3"/>
      <c r="C93" s="99"/>
      <c r="D93" s="488" t="s">
        <v>573</v>
      </c>
      <c r="E93" s="489"/>
      <c r="F93" s="235"/>
      <c r="G93" s="379"/>
      <c r="H93" s="237"/>
      <c r="I93" s="379"/>
      <c r="J93" s="237"/>
      <c r="K93" s="379"/>
      <c r="L93" s="237"/>
      <c r="M93" s="379"/>
      <c r="N93" s="237"/>
      <c r="O93" s="379"/>
      <c r="P93" s="237"/>
      <c r="Q93" s="379"/>
      <c r="R93" s="237"/>
      <c r="S93" s="379"/>
      <c r="T93" s="237"/>
      <c r="U93" s="379"/>
      <c r="V93" s="237"/>
      <c r="W93" s="379"/>
      <c r="X93" s="237"/>
      <c r="Y93" s="379"/>
      <c r="Z93" s="237"/>
      <c r="AA93" s="379"/>
      <c r="AB93" s="237"/>
      <c r="AC93" s="379"/>
      <c r="AD93" s="237"/>
      <c r="AE93" s="379"/>
      <c r="AF93" s="173">
        <v>2319.4130709999999</v>
      </c>
      <c r="AG93" s="379"/>
      <c r="AH93" s="173">
        <v>2364.4128363999998</v>
      </c>
      <c r="AI93" s="379"/>
      <c r="AJ93" s="173">
        <v>2656.7183968999998</v>
      </c>
      <c r="AK93" s="379"/>
      <c r="AL93" s="173">
        <v>2341.6648730000002</v>
      </c>
      <c r="AM93" s="379"/>
      <c r="AN93" s="173">
        <v>2429.3841668999999</v>
      </c>
      <c r="AO93" s="379"/>
      <c r="AP93" s="173">
        <v>1935.3454237000001</v>
      </c>
      <c r="AQ93" s="379"/>
      <c r="AR93" s="173">
        <v>1671.5408147999999</v>
      </c>
      <c r="AS93" s="379"/>
      <c r="AT93" s="173">
        <v>1782.2290515</v>
      </c>
      <c r="AU93" s="379"/>
      <c r="AV93" s="173">
        <v>1716.8093269999999</v>
      </c>
      <c r="AW93" s="379"/>
      <c r="AX93" s="173">
        <v>1832.9853424999999</v>
      </c>
      <c r="AY93" s="379"/>
      <c r="AZ93" s="173">
        <v>1791.7617654000001</v>
      </c>
      <c r="BA93" s="379"/>
      <c r="BB93" s="173">
        <v>1637.5408737</v>
      </c>
      <c r="BC93" s="379"/>
      <c r="BD93" s="173">
        <v>1785.1734246999999</v>
      </c>
      <c r="BE93" s="379"/>
      <c r="BF93" s="173">
        <v>1985.1213475</v>
      </c>
      <c r="BG93" s="379"/>
      <c r="BH93" s="237"/>
      <c r="BI93" s="184"/>
      <c r="CJ93" s="157"/>
      <c r="CK93" s="150"/>
      <c r="CL93" s="157"/>
      <c r="CM93" s="151" t="s">
        <v>1094</v>
      </c>
      <c r="CN93" s="150" t="s">
        <v>1130</v>
      </c>
      <c r="CO93" s="157"/>
      <c r="CP93" s="157"/>
      <c r="CQ93" s="157"/>
      <c r="CR93" s="157"/>
      <c r="CS93" s="157"/>
      <c r="CT93" s="157"/>
    </row>
    <row r="94" spans="1:98" ht="15" customHeight="1" thickBot="1">
      <c r="A94" s="314"/>
      <c r="B94" s="4"/>
      <c r="C94" s="2"/>
      <c r="D94" s="490" t="s">
        <v>574</v>
      </c>
      <c r="E94" s="491"/>
      <c r="F94" s="238"/>
      <c r="G94" s="182"/>
      <c r="H94" s="240"/>
      <c r="I94" s="182"/>
      <c r="J94" s="240"/>
      <c r="K94" s="182"/>
      <c r="L94" s="240"/>
      <c r="M94" s="182"/>
      <c r="N94" s="240"/>
      <c r="O94" s="182"/>
      <c r="P94" s="240"/>
      <c r="Q94" s="182"/>
      <c r="R94" s="240"/>
      <c r="S94" s="182"/>
      <c r="T94" s="240"/>
      <c r="U94" s="182"/>
      <c r="V94" s="240"/>
      <c r="W94" s="182"/>
      <c r="X94" s="240"/>
      <c r="Y94" s="182"/>
      <c r="Z94" s="240"/>
      <c r="AA94" s="182"/>
      <c r="AB94" s="240"/>
      <c r="AC94" s="182"/>
      <c r="AD94" s="240"/>
      <c r="AE94" s="182"/>
      <c r="AF94" s="175">
        <v>0.13348499999999999</v>
      </c>
      <c r="AG94" s="182"/>
      <c r="AH94" s="175">
        <v>0.13424929999999999</v>
      </c>
      <c r="AI94" s="182"/>
      <c r="AJ94" s="175">
        <v>0.93280079999999999</v>
      </c>
      <c r="AK94" s="182"/>
      <c r="AL94" s="175">
        <v>1.7106657999999999</v>
      </c>
      <c r="AM94" s="182"/>
      <c r="AN94" s="175">
        <v>2.1086236999999999</v>
      </c>
      <c r="AO94" s="182"/>
      <c r="AP94" s="175">
        <v>2.6757939999999998</v>
      </c>
      <c r="AQ94" s="182"/>
      <c r="AR94" s="175">
        <v>2.5768694999999999</v>
      </c>
      <c r="AS94" s="182"/>
      <c r="AT94" s="175">
        <v>2.8763163999999999</v>
      </c>
      <c r="AU94" s="182"/>
      <c r="AV94" s="175">
        <v>9.5916303000000003</v>
      </c>
      <c r="AW94" s="182"/>
      <c r="AX94" s="175">
        <v>9.8177689000000008</v>
      </c>
      <c r="AY94" s="182"/>
      <c r="AZ94" s="175">
        <v>11.3786629</v>
      </c>
      <c r="BA94" s="182"/>
      <c r="BB94" s="175">
        <v>16.011609700000001</v>
      </c>
      <c r="BC94" s="182"/>
      <c r="BD94" s="175">
        <v>15.871151100000001</v>
      </c>
      <c r="BE94" s="182"/>
      <c r="BF94" s="175">
        <v>26.1911591</v>
      </c>
      <c r="BG94" s="182"/>
      <c r="BH94" s="240"/>
      <c r="BI94" s="185"/>
      <c r="CJ94" s="157"/>
      <c r="CK94" s="150"/>
      <c r="CL94" s="157"/>
      <c r="CM94" s="151" t="s">
        <v>1097</v>
      </c>
      <c r="CN94" s="150" t="s">
        <v>1130</v>
      </c>
      <c r="CO94" s="157"/>
      <c r="CP94" s="157"/>
      <c r="CQ94" s="157"/>
      <c r="CR94" s="157"/>
      <c r="CS94" s="157"/>
      <c r="CT94" s="157"/>
    </row>
    <row r="95" spans="1:98" ht="55.5" customHeight="1">
      <c r="A95" s="314"/>
      <c r="B95" s="556" t="s">
        <v>1171</v>
      </c>
      <c r="C95" s="557"/>
      <c r="D95" s="557"/>
      <c r="E95" s="558"/>
      <c r="F95" s="235"/>
      <c r="G95" s="379"/>
      <c r="H95" s="237"/>
      <c r="I95" s="379"/>
      <c r="J95" s="237"/>
      <c r="K95" s="379"/>
      <c r="L95" s="237"/>
      <c r="M95" s="379"/>
      <c r="N95" s="237"/>
      <c r="O95" s="379"/>
      <c r="P95" s="237"/>
      <c r="Q95" s="379"/>
      <c r="R95" s="237"/>
      <c r="S95" s="379"/>
      <c r="T95" s="237"/>
      <c r="U95" s="379"/>
      <c r="V95" s="237"/>
      <c r="W95" s="379"/>
      <c r="X95" s="237"/>
      <c r="Y95" s="379"/>
      <c r="Z95" s="237"/>
      <c r="AA95" s="379"/>
      <c r="AB95" s="237"/>
      <c r="AC95" s="379"/>
      <c r="AD95" s="237"/>
      <c r="AE95" s="379"/>
      <c r="AF95" s="173">
        <v>5875.6299838000004</v>
      </c>
      <c r="AG95" s="379"/>
      <c r="AH95" s="173">
        <v>5292.3212174</v>
      </c>
      <c r="AI95" s="379"/>
      <c r="AJ95" s="173">
        <v>6702.8345614999998</v>
      </c>
      <c r="AK95" s="379"/>
      <c r="AL95" s="173">
        <v>6281.5586531999998</v>
      </c>
      <c r="AM95" s="379"/>
      <c r="AN95" s="173">
        <v>5695.1312735000001</v>
      </c>
      <c r="AO95" s="379"/>
      <c r="AP95" s="173">
        <v>5006.0847999999996</v>
      </c>
      <c r="AQ95" s="379"/>
      <c r="AR95" s="173">
        <v>3700.4007299999998</v>
      </c>
      <c r="AS95" s="379"/>
      <c r="AT95" s="173">
        <v>4052.9041400000001</v>
      </c>
      <c r="AU95" s="379"/>
      <c r="AV95" s="173">
        <v>4488.1881747999996</v>
      </c>
      <c r="AW95" s="379"/>
      <c r="AX95" s="173">
        <v>5314.1393260000004</v>
      </c>
      <c r="AY95" s="379"/>
      <c r="AZ95" s="173">
        <v>5018.4919176000003</v>
      </c>
      <c r="BA95" s="379"/>
      <c r="BB95" s="173">
        <v>5319.6450157999998</v>
      </c>
      <c r="BC95" s="379"/>
      <c r="BD95" s="173">
        <v>5158.3984684999996</v>
      </c>
      <c r="BE95" s="379"/>
      <c r="BF95" s="173">
        <v>5537.7973807999997</v>
      </c>
      <c r="BG95" s="379"/>
      <c r="BH95" s="237"/>
      <c r="BI95" s="184"/>
      <c r="CJ95" s="157"/>
      <c r="CK95" s="150"/>
      <c r="CL95" s="157"/>
      <c r="CM95" s="151" t="s">
        <v>1148</v>
      </c>
      <c r="CN95" s="150" t="s">
        <v>1130</v>
      </c>
      <c r="CO95" s="157"/>
      <c r="CP95" s="157"/>
      <c r="CQ95" s="157"/>
      <c r="CR95" s="157"/>
      <c r="CS95" s="157"/>
      <c r="CT95" s="157"/>
    </row>
    <row r="96" spans="1:98" ht="17.25" customHeight="1">
      <c r="A96" s="317"/>
      <c r="B96" s="200">
        <v>2</v>
      </c>
      <c r="C96" s="101"/>
      <c r="D96" s="482" t="s">
        <v>576</v>
      </c>
      <c r="E96" s="483"/>
      <c r="F96" s="235"/>
      <c r="G96" s="379"/>
      <c r="H96" s="237"/>
      <c r="I96" s="379"/>
      <c r="J96" s="237"/>
      <c r="K96" s="379"/>
      <c r="L96" s="237"/>
      <c r="M96" s="379"/>
      <c r="N96" s="237"/>
      <c r="O96" s="379"/>
      <c r="P96" s="237"/>
      <c r="Q96" s="379"/>
      <c r="R96" s="237"/>
      <c r="S96" s="379"/>
      <c r="T96" s="237"/>
      <c r="U96" s="379"/>
      <c r="V96" s="237"/>
      <c r="W96" s="379"/>
      <c r="X96" s="237"/>
      <c r="Y96" s="379"/>
      <c r="Z96" s="237"/>
      <c r="AA96" s="379"/>
      <c r="AB96" s="237"/>
      <c r="AC96" s="379"/>
      <c r="AD96" s="237"/>
      <c r="AE96" s="379"/>
      <c r="AF96" s="173">
        <v>0</v>
      </c>
      <c r="AG96" s="379"/>
      <c r="AH96" s="173">
        <v>0</v>
      </c>
      <c r="AI96" s="379"/>
      <c r="AJ96" s="173">
        <v>0</v>
      </c>
      <c r="AK96" s="379"/>
      <c r="AL96" s="173">
        <v>0</v>
      </c>
      <c r="AM96" s="379"/>
      <c r="AN96" s="173">
        <v>0</v>
      </c>
      <c r="AO96" s="379"/>
      <c r="AP96" s="173">
        <v>0</v>
      </c>
      <c r="AQ96" s="379"/>
      <c r="AR96" s="173">
        <v>0</v>
      </c>
      <c r="AS96" s="379"/>
      <c r="AT96" s="173">
        <v>0</v>
      </c>
      <c r="AU96" s="379"/>
      <c r="AV96" s="173">
        <v>0</v>
      </c>
      <c r="AW96" s="379"/>
      <c r="AX96" s="173">
        <v>0</v>
      </c>
      <c r="AY96" s="379"/>
      <c r="AZ96" s="173">
        <v>0</v>
      </c>
      <c r="BA96" s="379"/>
      <c r="BB96" s="173">
        <v>0</v>
      </c>
      <c r="BC96" s="379"/>
      <c r="BD96" s="173">
        <v>0</v>
      </c>
      <c r="BE96" s="379"/>
      <c r="BF96" s="173">
        <v>0</v>
      </c>
      <c r="BG96" s="379"/>
      <c r="BH96" s="237"/>
      <c r="BI96" s="184"/>
      <c r="CJ96" s="157"/>
      <c r="CK96" s="150"/>
      <c r="CL96" s="157"/>
      <c r="CM96" s="151" t="s">
        <v>1148</v>
      </c>
      <c r="CN96" s="157" t="s">
        <v>1149</v>
      </c>
      <c r="CO96" s="157"/>
      <c r="CP96" s="157"/>
      <c r="CQ96" s="157"/>
      <c r="CR96" s="157"/>
      <c r="CS96" s="157"/>
      <c r="CT96" s="157"/>
    </row>
    <row r="97" spans="1:98" ht="12.75" customHeight="1">
      <c r="A97" s="317"/>
      <c r="B97" s="201">
        <v>2.1</v>
      </c>
      <c r="C97" s="102"/>
      <c r="D97" s="480" t="s">
        <v>577</v>
      </c>
      <c r="E97" s="481"/>
      <c r="F97" s="224"/>
      <c r="G97" s="379"/>
      <c r="H97" s="225"/>
      <c r="I97" s="379"/>
      <c r="J97" s="225"/>
      <c r="K97" s="379"/>
      <c r="L97" s="225"/>
      <c r="M97" s="379"/>
      <c r="N97" s="225"/>
      <c r="O97" s="379"/>
      <c r="P97" s="225"/>
      <c r="Q97" s="379"/>
      <c r="R97" s="225"/>
      <c r="S97" s="379"/>
      <c r="T97" s="225"/>
      <c r="U97" s="379"/>
      <c r="V97" s="225"/>
      <c r="W97" s="379"/>
      <c r="X97" s="225"/>
      <c r="Y97" s="379"/>
      <c r="Z97" s="225"/>
      <c r="AA97" s="379"/>
      <c r="AB97" s="225"/>
      <c r="AC97" s="379"/>
      <c r="AD97" s="225"/>
      <c r="AE97" s="379"/>
      <c r="AF97" s="165">
        <v>0</v>
      </c>
      <c r="AG97" s="379"/>
      <c r="AH97" s="165">
        <v>0</v>
      </c>
      <c r="AI97" s="379"/>
      <c r="AJ97" s="165">
        <v>0</v>
      </c>
      <c r="AK97" s="379"/>
      <c r="AL97" s="165">
        <v>0</v>
      </c>
      <c r="AM97" s="379"/>
      <c r="AN97" s="165">
        <v>0</v>
      </c>
      <c r="AO97" s="379"/>
      <c r="AP97" s="165">
        <v>0</v>
      </c>
      <c r="AQ97" s="379"/>
      <c r="AR97" s="165">
        <v>0</v>
      </c>
      <c r="AS97" s="379"/>
      <c r="AT97" s="165">
        <v>0</v>
      </c>
      <c r="AU97" s="379"/>
      <c r="AV97" s="165">
        <v>0</v>
      </c>
      <c r="AW97" s="379"/>
      <c r="AX97" s="165">
        <v>0</v>
      </c>
      <c r="AY97" s="379"/>
      <c r="AZ97" s="165">
        <v>0</v>
      </c>
      <c r="BA97" s="379"/>
      <c r="BB97" s="165">
        <v>0</v>
      </c>
      <c r="BC97" s="379"/>
      <c r="BD97" s="165">
        <v>0</v>
      </c>
      <c r="BE97" s="379"/>
      <c r="BF97" s="165">
        <v>0</v>
      </c>
      <c r="BG97" s="379"/>
      <c r="BH97" s="225"/>
      <c r="BI97" s="184"/>
      <c r="CJ97" s="157"/>
      <c r="CK97" s="150"/>
      <c r="CL97" s="157"/>
      <c r="CM97" s="151" t="s">
        <v>1148</v>
      </c>
      <c r="CN97" s="157" t="s">
        <v>1150</v>
      </c>
      <c r="CO97" s="157"/>
      <c r="CP97" s="157"/>
      <c r="CQ97" s="157"/>
      <c r="CR97" s="157"/>
      <c r="CS97" s="157"/>
      <c r="CT97" s="157"/>
    </row>
    <row r="98" spans="1:98" ht="12.75" customHeight="1">
      <c r="A98" s="317"/>
      <c r="B98" s="201">
        <v>2.2000000000000002</v>
      </c>
      <c r="C98" s="102"/>
      <c r="D98" s="480" t="s">
        <v>578</v>
      </c>
      <c r="E98" s="481"/>
      <c r="F98" s="224"/>
      <c r="G98" s="379"/>
      <c r="H98" s="225"/>
      <c r="I98" s="379"/>
      <c r="J98" s="225"/>
      <c r="K98" s="379"/>
      <c r="L98" s="225"/>
      <c r="M98" s="379"/>
      <c r="N98" s="225"/>
      <c r="O98" s="379"/>
      <c r="P98" s="225"/>
      <c r="Q98" s="379"/>
      <c r="R98" s="225"/>
      <c r="S98" s="379"/>
      <c r="T98" s="225"/>
      <c r="U98" s="379"/>
      <c r="V98" s="225"/>
      <c r="W98" s="379"/>
      <c r="X98" s="225"/>
      <c r="Y98" s="379"/>
      <c r="Z98" s="225"/>
      <c r="AA98" s="379"/>
      <c r="AB98" s="225"/>
      <c r="AC98" s="379"/>
      <c r="AD98" s="225"/>
      <c r="AE98" s="379"/>
      <c r="AF98" s="165">
        <v>0</v>
      </c>
      <c r="AG98" s="379"/>
      <c r="AH98" s="165">
        <v>0</v>
      </c>
      <c r="AI98" s="379"/>
      <c r="AJ98" s="165">
        <v>0</v>
      </c>
      <c r="AK98" s="379"/>
      <c r="AL98" s="165">
        <v>0</v>
      </c>
      <c r="AM98" s="379"/>
      <c r="AN98" s="165">
        <v>0</v>
      </c>
      <c r="AO98" s="379"/>
      <c r="AP98" s="165">
        <v>0</v>
      </c>
      <c r="AQ98" s="379"/>
      <c r="AR98" s="165">
        <v>0</v>
      </c>
      <c r="AS98" s="379"/>
      <c r="AT98" s="165">
        <v>0</v>
      </c>
      <c r="AU98" s="379"/>
      <c r="AV98" s="165">
        <v>0</v>
      </c>
      <c r="AW98" s="379"/>
      <c r="AX98" s="165">
        <v>0</v>
      </c>
      <c r="AY98" s="379"/>
      <c r="AZ98" s="165">
        <v>0</v>
      </c>
      <c r="BA98" s="379"/>
      <c r="BB98" s="165">
        <v>0</v>
      </c>
      <c r="BC98" s="379"/>
      <c r="BD98" s="165">
        <v>0</v>
      </c>
      <c r="BE98" s="379"/>
      <c r="BF98" s="165">
        <v>0</v>
      </c>
      <c r="BG98" s="379"/>
      <c r="BH98" s="225"/>
      <c r="BI98" s="184"/>
      <c r="CJ98" s="157"/>
      <c r="CK98" s="150"/>
      <c r="CL98" s="157"/>
      <c r="CM98" s="151" t="s">
        <v>1148</v>
      </c>
      <c r="CN98" s="157" t="s">
        <v>1151</v>
      </c>
      <c r="CO98" s="157"/>
      <c r="CP98" s="157"/>
      <c r="CQ98" s="157"/>
      <c r="CR98" s="157"/>
      <c r="CS98" s="157"/>
      <c r="CT98" s="157"/>
    </row>
    <row r="99" spans="1:98" ht="12.75" customHeight="1">
      <c r="A99" s="317"/>
      <c r="B99" s="201">
        <v>2.2999999999999998</v>
      </c>
      <c r="C99" s="102"/>
      <c r="D99" s="480" t="s">
        <v>579</v>
      </c>
      <c r="E99" s="481"/>
      <c r="F99" s="224"/>
      <c r="G99" s="379"/>
      <c r="H99" s="225"/>
      <c r="I99" s="379"/>
      <c r="J99" s="225"/>
      <c r="K99" s="379"/>
      <c r="L99" s="225"/>
      <c r="M99" s="379"/>
      <c r="N99" s="225"/>
      <c r="O99" s="379"/>
      <c r="P99" s="225"/>
      <c r="Q99" s="379"/>
      <c r="R99" s="225"/>
      <c r="S99" s="379"/>
      <c r="T99" s="225"/>
      <c r="U99" s="379"/>
      <c r="V99" s="225"/>
      <c r="W99" s="379"/>
      <c r="X99" s="225"/>
      <c r="Y99" s="379"/>
      <c r="Z99" s="225"/>
      <c r="AA99" s="379"/>
      <c r="AB99" s="225"/>
      <c r="AC99" s="379"/>
      <c r="AD99" s="225"/>
      <c r="AE99" s="379"/>
      <c r="AF99" s="165">
        <v>0</v>
      </c>
      <c r="AG99" s="379"/>
      <c r="AH99" s="165">
        <v>0</v>
      </c>
      <c r="AI99" s="379"/>
      <c r="AJ99" s="165">
        <v>0</v>
      </c>
      <c r="AK99" s="379"/>
      <c r="AL99" s="165">
        <v>0</v>
      </c>
      <c r="AM99" s="379"/>
      <c r="AN99" s="165">
        <v>0</v>
      </c>
      <c r="AO99" s="379"/>
      <c r="AP99" s="165">
        <v>0</v>
      </c>
      <c r="AQ99" s="379"/>
      <c r="AR99" s="165">
        <v>0</v>
      </c>
      <c r="AS99" s="379"/>
      <c r="AT99" s="165">
        <v>0</v>
      </c>
      <c r="AU99" s="379"/>
      <c r="AV99" s="165">
        <v>0</v>
      </c>
      <c r="AW99" s="379"/>
      <c r="AX99" s="165">
        <v>0</v>
      </c>
      <c r="AY99" s="379"/>
      <c r="AZ99" s="165">
        <v>0</v>
      </c>
      <c r="BA99" s="379"/>
      <c r="BB99" s="165">
        <v>0</v>
      </c>
      <c r="BC99" s="379"/>
      <c r="BD99" s="165">
        <v>0</v>
      </c>
      <c r="BE99" s="379"/>
      <c r="BF99" s="165">
        <v>0</v>
      </c>
      <c r="BG99" s="379"/>
      <c r="BH99" s="225"/>
      <c r="BI99" s="184"/>
      <c r="CJ99" s="157"/>
      <c r="CK99" s="150"/>
      <c r="CL99" s="157"/>
      <c r="CM99" s="151" t="s">
        <v>1148</v>
      </c>
      <c r="CN99" s="157" t="s">
        <v>1152</v>
      </c>
      <c r="CO99" s="157"/>
      <c r="CP99" s="157"/>
      <c r="CQ99" s="157"/>
      <c r="CR99" s="157"/>
      <c r="CS99" s="157"/>
      <c r="CT99" s="157"/>
    </row>
    <row r="100" spans="1:98" ht="12.75" customHeight="1">
      <c r="A100" s="317"/>
      <c r="B100" s="201">
        <v>2.4</v>
      </c>
      <c r="C100" s="102"/>
      <c r="D100" s="480" t="s">
        <v>580</v>
      </c>
      <c r="E100" s="481"/>
      <c r="F100" s="224"/>
      <c r="G100" s="379"/>
      <c r="H100" s="225"/>
      <c r="I100" s="379"/>
      <c r="J100" s="225"/>
      <c r="K100" s="379"/>
      <c r="L100" s="225"/>
      <c r="M100" s="379"/>
      <c r="N100" s="225"/>
      <c r="O100" s="379"/>
      <c r="P100" s="225"/>
      <c r="Q100" s="379"/>
      <c r="R100" s="225"/>
      <c r="S100" s="379"/>
      <c r="T100" s="225"/>
      <c r="U100" s="379"/>
      <c r="V100" s="225"/>
      <c r="W100" s="379"/>
      <c r="X100" s="225"/>
      <c r="Y100" s="379"/>
      <c r="Z100" s="225"/>
      <c r="AA100" s="379"/>
      <c r="AB100" s="225"/>
      <c r="AC100" s="379"/>
      <c r="AD100" s="225"/>
      <c r="AE100" s="379"/>
      <c r="AF100" s="165">
        <v>0</v>
      </c>
      <c r="AG100" s="379"/>
      <c r="AH100" s="165">
        <v>0</v>
      </c>
      <c r="AI100" s="379"/>
      <c r="AJ100" s="165">
        <v>0</v>
      </c>
      <c r="AK100" s="379"/>
      <c r="AL100" s="165">
        <v>0</v>
      </c>
      <c r="AM100" s="379"/>
      <c r="AN100" s="165">
        <v>0</v>
      </c>
      <c r="AO100" s="379"/>
      <c r="AP100" s="165">
        <v>0</v>
      </c>
      <c r="AQ100" s="379"/>
      <c r="AR100" s="165">
        <v>0</v>
      </c>
      <c r="AS100" s="379"/>
      <c r="AT100" s="165">
        <v>0</v>
      </c>
      <c r="AU100" s="379"/>
      <c r="AV100" s="165">
        <v>0</v>
      </c>
      <c r="AW100" s="379"/>
      <c r="AX100" s="165">
        <v>0</v>
      </c>
      <c r="AY100" s="379"/>
      <c r="AZ100" s="165">
        <v>0</v>
      </c>
      <c r="BA100" s="379"/>
      <c r="BB100" s="165">
        <v>0</v>
      </c>
      <c r="BC100" s="379"/>
      <c r="BD100" s="165">
        <v>0</v>
      </c>
      <c r="BE100" s="379"/>
      <c r="BF100" s="165">
        <v>0</v>
      </c>
      <c r="BG100" s="379"/>
      <c r="BH100" s="225"/>
      <c r="BI100" s="184"/>
      <c r="CJ100" s="157"/>
      <c r="CK100" s="150"/>
      <c r="CL100" s="157"/>
      <c r="CM100" s="151" t="s">
        <v>1148</v>
      </c>
      <c r="CN100" s="157" t="s">
        <v>1153</v>
      </c>
      <c r="CO100" s="157"/>
      <c r="CP100" s="157"/>
      <c r="CQ100" s="157"/>
      <c r="CR100" s="157"/>
      <c r="CS100" s="157"/>
      <c r="CT100" s="157"/>
    </row>
    <row r="101" spans="1:98" ht="19.5" customHeight="1">
      <c r="A101" s="317"/>
      <c r="B101" s="200">
        <v>3</v>
      </c>
      <c r="C101" s="101"/>
      <c r="D101" s="482" t="s">
        <v>581</v>
      </c>
      <c r="E101" s="483"/>
      <c r="F101" s="235"/>
      <c r="G101" s="379"/>
      <c r="H101" s="237"/>
      <c r="I101" s="379"/>
      <c r="J101" s="237"/>
      <c r="K101" s="379"/>
      <c r="L101" s="237"/>
      <c r="M101" s="379"/>
      <c r="N101" s="237"/>
      <c r="O101" s="379"/>
      <c r="P101" s="237"/>
      <c r="Q101" s="379"/>
      <c r="R101" s="237"/>
      <c r="S101" s="379"/>
      <c r="T101" s="237"/>
      <c r="U101" s="379"/>
      <c r="V101" s="237"/>
      <c r="W101" s="379"/>
      <c r="X101" s="237"/>
      <c r="Y101" s="379"/>
      <c r="Z101" s="237"/>
      <c r="AA101" s="379"/>
      <c r="AB101" s="237"/>
      <c r="AC101" s="379"/>
      <c r="AD101" s="237"/>
      <c r="AE101" s="379"/>
      <c r="AF101" s="173">
        <v>0</v>
      </c>
      <c r="AG101" s="379"/>
      <c r="AH101" s="173">
        <v>0</v>
      </c>
      <c r="AI101" s="379"/>
      <c r="AJ101" s="173">
        <v>0</v>
      </c>
      <c r="AK101" s="379"/>
      <c r="AL101" s="173">
        <v>0</v>
      </c>
      <c r="AM101" s="379"/>
      <c r="AN101" s="173">
        <v>0</v>
      </c>
      <c r="AO101" s="379"/>
      <c r="AP101" s="173">
        <v>0</v>
      </c>
      <c r="AQ101" s="379"/>
      <c r="AR101" s="173">
        <v>0</v>
      </c>
      <c r="AS101" s="379"/>
      <c r="AT101" s="173">
        <v>0</v>
      </c>
      <c r="AU101" s="379"/>
      <c r="AV101" s="173">
        <v>0</v>
      </c>
      <c r="AW101" s="379"/>
      <c r="AX101" s="173">
        <v>0</v>
      </c>
      <c r="AY101" s="379"/>
      <c r="AZ101" s="173">
        <v>0</v>
      </c>
      <c r="BA101" s="379"/>
      <c r="BB101" s="173">
        <v>0</v>
      </c>
      <c r="BC101" s="379"/>
      <c r="BD101" s="173">
        <v>0</v>
      </c>
      <c r="BE101" s="379"/>
      <c r="BF101" s="173">
        <v>0</v>
      </c>
      <c r="BG101" s="379"/>
      <c r="BH101" s="237"/>
      <c r="BI101" s="184"/>
      <c r="CJ101" s="157"/>
      <c r="CK101" s="150"/>
      <c r="CL101" s="157"/>
      <c r="CM101" s="151" t="s">
        <v>1148</v>
      </c>
      <c r="CN101" s="157" t="s">
        <v>1154</v>
      </c>
      <c r="CO101" s="157"/>
      <c r="CP101" s="157"/>
      <c r="CQ101" s="157"/>
      <c r="CR101" s="157"/>
      <c r="CS101" s="157"/>
      <c r="CT101" s="157"/>
    </row>
    <row r="102" spans="1:98" ht="12.75" customHeight="1">
      <c r="A102" s="317"/>
      <c r="B102" s="201">
        <v>3.1</v>
      </c>
      <c r="C102" s="102"/>
      <c r="D102" s="480" t="s">
        <v>582</v>
      </c>
      <c r="E102" s="481"/>
      <c r="F102" s="224"/>
      <c r="G102" s="379"/>
      <c r="H102" s="225"/>
      <c r="I102" s="379"/>
      <c r="J102" s="225"/>
      <c r="K102" s="379"/>
      <c r="L102" s="225"/>
      <c r="M102" s="379"/>
      <c r="N102" s="225"/>
      <c r="O102" s="379"/>
      <c r="P102" s="225"/>
      <c r="Q102" s="379"/>
      <c r="R102" s="225"/>
      <c r="S102" s="379"/>
      <c r="T102" s="225"/>
      <c r="U102" s="379"/>
      <c r="V102" s="225"/>
      <c r="W102" s="379"/>
      <c r="X102" s="225"/>
      <c r="Y102" s="379"/>
      <c r="Z102" s="225"/>
      <c r="AA102" s="379"/>
      <c r="AB102" s="225"/>
      <c r="AC102" s="379"/>
      <c r="AD102" s="225"/>
      <c r="AE102" s="379"/>
      <c r="AF102" s="165">
        <v>0</v>
      </c>
      <c r="AG102" s="379"/>
      <c r="AH102" s="165">
        <v>0</v>
      </c>
      <c r="AI102" s="379"/>
      <c r="AJ102" s="165">
        <v>0</v>
      </c>
      <c r="AK102" s="379"/>
      <c r="AL102" s="165">
        <v>0</v>
      </c>
      <c r="AM102" s="379"/>
      <c r="AN102" s="165">
        <v>0</v>
      </c>
      <c r="AO102" s="379"/>
      <c r="AP102" s="165">
        <v>0</v>
      </c>
      <c r="AQ102" s="379"/>
      <c r="AR102" s="165">
        <v>0</v>
      </c>
      <c r="AS102" s="379"/>
      <c r="AT102" s="165">
        <v>0</v>
      </c>
      <c r="AU102" s="379"/>
      <c r="AV102" s="165">
        <v>0</v>
      </c>
      <c r="AW102" s="379"/>
      <c r="AX102" s="165">
        <v>0</v>
      </c>
      <c r="AY102" s="379"/>
      <c r="AZ102" s="165">
        <v>0</v>
      </c>
      <c r="BA102" s="379"/>
      <c r="BB102" s="165">
        <v>0</v>
      </c>
      <c r="BC102" s="379"/>
      <c r="BD102" s="165">
        <v>0</v>
      </c>
      <c r="BE102" s="379"/>
      <c r="BF102" s="165">
        <v>0</v>
      </c>
      <c r="BG102" s="379"/>
      <c r="BH102" s="225"/>
      <c r="BI102" s="184"/>
      <c r="CJ102" s="157"/>
      <c r="CK102" s="150"/>
      <c r="CL102" s="157"/>
      <c r="CM102" s="151" t="s">
        <v>1148</v>
      </c>
      <c r="CN102" s="157" t="s">
        <v>1155</v>
      </c>
      <c r="CO102" s="157"/>
      <c r="CP102" s="157"/>
      <c r="CQ102" s="157"/>
      <c r="CR102" s="157"/>
      <c r="CS102" s="157"/>
      <c r="CT102" s="157"/>
    </row>
    <row r="103" spans="1:98" ht="12.75" customHeight="1">
      <c r="A103" s="317"/>
      <c r="B103" s="201">
        <v>3.2</v>
      </c>
      <c r="C103" s="102"/>
      <c r="D103" s="480" t="s">
        <v>583</v>
      </c>
      <c r="E103" s="481"/>
      <c r="F103" s="224"/>
      <c r="G103" s="379"/>
      <c r="H103" s="225"/>
      <c r="I103" s="379"/>
      <c r="J103" s="225"/>
      <c r="K103" s="379"/>
      <c r="L103" s="225"/>
      <c r="M103" s="379"/>
      <c r="N103" s="225"/>
      <c r="O103" s="379"/>
      <c r="P103" s="225"/>
      <c r="Q103" s="379"/>
      <c r="R103" s="225"/>
      <c r="S103" s="379"/>
      <c r="T103" s="225"/>
      <c r="U103" s="379"/>
      <c r="V103" s="225"/>
      <c r="W103" s="379"/>
      <c r="X103" s="225"/>
      <c r="Y103" s="379"/>
      <c r="Z103" s="225"/>
      <c r="AA103" s="379"/>
      <c r="AB103" s="225"/>
      <c r="AC103" s="379"/>
      <c r="AD103" s="225"/>
      <c r="AE103" s="379"/>
      <c r="AF103" s="165">
        <v>0</v>
      </c>
      <c r="AG103" s="379"/>
      <c r="AH103" s="165">
        <v>0</v>
      </c>
      <c r="AI103" s="379"/>
      <c r="AJ103" s="165">
        <v>0</v>
      </c>
      <c r="AK103" s="379"/>
      <c r="AL103" s="165">
        <v>0</v>
      </c>
      <c r="AM103" s="379"/>
      <c r="AN103" s="165">
        <v>0</v>
      </c>
      <c r="AO103" s="379"/>
      <c r="AP103" s="165">
        <v>0</v>
      </c>
      <c r="AQ103" s="379"/>
      <c r="AR103" s="165">
        <v>0</v>
      </c>
      <c r="AS103" s="379"/>
      <c r="AT103" s="165">
        <v>0</v>
      </c>
      <c r="AU103" s="379"/>
      <c r="AV103" s="165">
        <v>0</v>
      </c>
      <c r="AW103" s="379"/>
      <c r="AX103" s="165">
        <v>0</v>
      </c>
      <c r="AY103" s="379"/>
      <c r="AZ103" s="165">
        <v>0</v>
      </c>
      <c r="BA103" s="379"/>
      <c r="BB103" s="165">
        <v>0</v>
      </c>
      <c r="BC103" s="379"/>
      <c r="BD103" s="165">
        <v>0</v>
      </c>
      <c r="BE103" s="379"/>
      <c r="BF103" s="165">
        <v>0</v>
      </c>
      <c r="BG103" s="379"/>
      <c r="BH103" s="225"/>
      <c r="BI103" s="184"/>
      <c r="CJ103" s="157"/>
      <c r="CK103" s="150"/>
      <c r="CL103" s="157"/>
      <c r="CM103" s="151" t="s">
        <v>1148</v>
      </c>
      <c r="CN103" s="157" t="s">
        <v>1156</v>
      </c>
      <c r="CO103" s="157"/>
      <c r="CP103" s="157"/>
      <c r="CQ103" s="157"/>
      <c r="CR103" s="157"/>
      <c r="CS103" s="157"/>
      <c r="CT103" s="157"/>
    </row>
    <row r="104" spans="1:98" ht="12.75" customHeight="1">
      <c r="A104" s="317"/>
      <c r="B104" s="201">
        <v>3.3</v>
      </c>
      <c r="C104" s="102"/>
      <c r="D104" s="480" t="s">
        <v>584</v>
      </c>
      <c r="E104" s="481"/>
      <c r="F104" s="224"/>
      <c r="G104" s="379"/>
      <c r="H104" s="225"/>
      <c r="I104" s="379"/>
      <c r="J104" s="225"/>
      <c r="K104" s="379"/>
      <c r="L104" s="225"/>
      <c r="M104" s="379"/>
      <c r="N104" s="225"/>
      <c r="O104" s="379"/>
      <c r="P104" s="225"/>
      <c r="Q104" s="379"/>
      <c r="R104" s="225"/>
      <c r="S104" s="379"/>
      <c r="T104" s="225"/>
      <c r="U104" s="379"/>
      <c r="V104" s="225"/>
      <c r="W104" s="379"/>
      <c r="X104" s="225"/>
      <c r="Y104" s="379"/>
      <c r="Z104" s="225"/>
      <c r="AA104" s="379"/>
      <c r="AB104" s="225"/>
      <c r="AC104" s="379"/>
      <c r="AD104" s="225"/>
      <c r="AE104" s="379"/>
      <c r="AF104" s="165">
        <v>0</v>
      </c>
      <c r="AG104" s="379"/>
      <c r="AH104" s="165">
        <v>0</v>
      </c>
      <c r="AI104" s="379"/>
      <c r="AJ104" s="165">
        <v>0</v>
      </c>
      <c r="AK104" s="379"/>
      <c r="AL104" s="165">
        <v>0</v>
      </c>
      <c r="AM104" s="379"/>
      <c r="AN104" s="165">
        <v>0</v>
      </c>
      <c r="AO104" s="379"/>
      <c r="AP104" s="165">
        <v>0</v>
      </c>
      <c r="AQ104" s="379"/>
      <c r="AR104" s="165">
        <v>0</v>
      </c>
      <c r="AS104" s="379"/>
      <c r="AT104" s="165">
        <v>0</v>
      </c>
      <c r="AU104" s="379"/>
      <c r="AV104" s="165">
        <v>0</v>
      </c>
      <c r="AW104" s="379"/>
      <c r="AX104" s="165">
        <v>0</v>
      </c>
      <c r="AY104" s="379"/>
      <c r="AZ104" s="165">
        <v>0</v>
      </c>
      <c r="BA104" s="379"/>
      <c r="BB104" s="165">
        <v>0</v>
      </c>
      <c r="BC104" s="379"/>
      <c r="BD104" s="165">
        <v>0</v>
      </c>
      <c r="BE104" s="379"/>
      <c r="BF104" s="165">
        <v>0</v>
      </c>
      <c r="BG104" s="379"/>
      <c r="BH104" s="225"/>
      <c r="BI104" s="184"/>
      <c r="CJ104" s="157"/>
      <c r="CK104" s="150"/>
      <c r="CL104" s="157"/>
      <c r="CM104" s="151" t="s">
        <v>1148</v>
      </c>
      <c r="CN104" s="157" t="s">
        <v>1157</v>
      </c>
      <c r="CO104" s="157"/>
      <c r="CP104" s="157"/>
      <c r="CQ104" s="157"/>
      <c r="CR104" s="157"/>
      <c r="CS104" s="157"/>
      <c r="CT104" s="157"/>
    </row>
    <row r="105" spans="1:98" ht="17.25" customHeight="1">
      <c r="A105" s="317"/>
      <c r="B105" s="200">
        <v>4</v>
      </c>
      <c r="C105" s="101"/>
      <c r="D105" s="482" t="s">
        <v>585</v>
      </c>
      <c r="E105" s="483"/>
      <c r="F105" s="235"/>
      <c r="G105" s="379"/>
      <c r="H105" s="237"/>
      <c r="I105" s="379"/>
      <c r="J105" s="237"/>
      <c r="K105" s="379"/>
      <c r="L105" s="237"/>
      <c r="M105" s="379"/>
      <c r="N105" s="237"/>
      <c r="O105" s="379"/>
      <c r="P105" s="237"/>
      <c r="Q105" s="379"/>
      <c r="R105" s="237"/>
      <c r="S105" s="379"/>
      <c r="T105" s="237"/>
      <c r="U105" s="379"/>
      <c r="V105" s="237"/>
      <c r="W105" s="379"/>
      <c r="X105" s="237"/>
      <c r="Y105" s="379"/>
      <c r="Z105" s="237"/>
      <c r="AA105" s="379"/>
      <c r="AB105" s="237"/>
      <c r="AC105" s="379"/>
      <c r="AD105" s="237"/>
      <c r="AE105" s="379"/>
      <c r="AF105" s="173">
        <v>-34.243042613264151</v>
      </c>
      <c r="AG105" s="379"/>
      <c r="AH105" s="173">
        <v>-35.248326344093584</v>
      </c>
      <c r="AI105" s="379"/>
      <c r="AJ105" s="173">
        <v>-27.717266428900075</v>
      </c>
      <c r="AK105" s="379"/>
      <c r="AL105" s="173">
        <v>-23.597144363199732</v>
      </c>
      <c r="AM105" s="379"/>
      <c r="AN105" s="173">
        <v>-19.642652809599895</v>
      </c>
      <c r="AO105" s="379"/>
      <c r="AP105" s="173">
        <v>-16.765475188100027</v>
      </c>
      <c r="AQ105" s="379"/>
      <c r="AR105" s="173">
        <v>-13.336824055699708</v>
      </c>
      <c r="AS105" s="379"/>
      <c r="AT105" s="173">
        <v>-30.290101195600073</v>
      </c>
      <c r="AU105" s="379"/>
      <c r="AV105" s="173">
        <v>-30.093199676499353</v>
      </c>
      <c r="AW105" s="379"/>
      <c r="AX105" s="173">
        <v>-30.019376247000764</v>
      </c>
      <c r="AY105" s="379"/>
      <c r="AZ105" s="173">
        <v>-33.577405721000105</v>
      </c>
      <c r="BA105" s="379"/>
      <c r="BB105" s="173">
        <v>-31.95519941980001</v>
      </c>
      <c r="BC105" s="379"/>
      <c r="BD105" s="173">
        <v>-36.371898405299362</v>
      </c>
      <c r="BE105" s="379"/>
      <c r="BF105" s="173">
        <v>-29.654573641600109</v>
      </c>
      <c r="BG105" s="379"/>
      <c r="BH105" s="237"/>
      <c r="BI105" s="184"/>
      <c r="CJ105" s="157"/>
      <c r="CK105" s="150"/>
      <c r="CL105" s="157"/>
      <c r="CM105" s="151" t="s">
        <v>1148</v>
      </c>
      <c r="CN105" s="157" t="s">
        <v>1158</v>
      </c>
      <c r="CO105" s="157"/>
      <c r="CP105" s="157"/>
      <c r="CQ105" s="157"/>
      <c r="CR105" s="157"/>
      <c r="CS105" s="157"/>
      <c r="CT105" s="157"/>
    </row>
    <row r="106" spans="1:98" ht="32.25" customHeight="1">
      <c r="A106" s="317"/>
      <c r="B106" s="200">
        <v>5</v>
      </c>
      <c r="C106" s="101"/>
      <c r="D106" s="484" t="s">
        <v>1172</v>
      </c>
      <c r="E106" s="485"/>
      <c r="F106" s="222"/>
      <c r="G106" s="379"/>
      <c r="H106" s="223"/>
      <c r="I106" s="379"/>
      <c r="J106" s="223"/>
      <c r="K106" s="379"/>
      <c r="L106" s="223"/>
      <c r="M106" s="379"/>
      <c r="N106" s="223"/>
      <c r="O106" s="379"/>
      <c r="P106" s="223"/>
      <c r="Q106" s="379"/>
      <c r="R106" s="223"/>
      <c r="S106" s="379"/>
      <c r="T106" s="223"/>
      <c r="U106" s="379"/>
      <c r="V106" s="223"/>
      <c r="W106" s="379"/>
      <c r="X106" s="223"/>
      <c r="Y106" s="379"/>
      <c r="Z106" s="223"/>
      <c r="AA106" s="379"/>
      <c r="AB106" s="223"/>
      <c r="AC106" s="379"/>
      <c r="AD106" s="223"/>
      <c r="AE106" s="379"/>
      <c r="AF106" s="164">
        <v>5841.3869411867363</v>
      </c>
      <c r="AG106" s="379"/>
      <c r="AH106" s="164">
        <v>5257.0728910559064</v>
      </c>
      <c r="AI106" s="379"/>
      <c r="AJ106" s="164">
        <v>6675.1172950710998</v>
      </c>
      <c r="AK106" s="379"/>
      <c r="AL106" s="164">
        <v>6257.9615088368</v>
      </c>
      <c r="AM106" s="379"/>
      <c r="AN106" s="164">
        <v>5675.4886206904002</v>
      </c>
      <c r="AO106" s="379"/>
      <c r="AP106" s="164">
        <v>4989.3193248118996</v>
      </c>
      <c r="AQ106" s="379"/>
      <c r="AR106" s="164">
        <v>3687.0639059443001</v>
      </c>
      <c r="AS106" s="379"/>
      <c r="AT106" s="164">
        <v>4022.6140388044</v>
      </c>
      <c r="AU106" s="379"/>
      <c r="AV106" s="164">
        <v>4458.0949751235003</v>
      </c>
      <c r="AW106" s="379"/>
      <c r="AX106" s="164">
        <v>5284.1199497529997</v>
      </c>
      <c r="AY106" s="379"/>
      <c r="AZ106" s="164">
        <v>4984.9145118790002</v>
      </c>
      <c r="BA106" s="379"/>
      <c r="BB106" s="164">
        <v>5287.6898163801998</v>
      </c>
      <c r="BC106" s="379"/>
      <c r="BD106" s="164">
        <v>5122.0265700947002</v>
      </c>
      <c r="BE106" s="379"/>
      <c r="BF106" s="164">
        <v>5508.1428071583996</v>
      </c>
      <c r="BG106" s="379"/>
      <c r="BH106" s="223"/>
      <c r="BI106" s="184"/>
      <c r="CJ106" s="157"/>
      <c r="CK106" s="150"/>
      <c r="CL106" s="157"/>
      <c r="CM106" s="151" t="s">
        <v>1148</v>
      </c>
      <c r="CN106" s="157" t="s">
        <v>1160</v>
      </c>
      <c r="CO106" s="157"/>
      <c r="CP106" s="157"/>
      <c r="CQ106" s="157"/>
      <c r="CR106" s="157"/>
      <c r="CS106" s="157"/>
      <c r="CT106" s="157"/>
    </row>
    <row r="107" spans="1:98" ht="21" customHeight="1" thickBot="1">
      <c r="A107" s="317"/>
      <c r="B107" s="64"/>
      <c r="C107" s="65"/>
      <c r="D107" s="486" t="s">
        <v>587</v>
      </c>
      <c r="E107" s="487"/>
      <c r="F107" s="241"/>
      <c r="G107" s="194"/>
      <c r="H107" s="243"/>
      <c r="I107" s="194"/>
      <c r="J107" s="243"/>
      <c r="K107" s="194"/>
      <c r="L107" s="243"/>
      <c r="M107" s="194"/>
      <c r="N107" s="243"/>
      <c r="O107" s="194"/>
      <c r="P107" s="243"/>
      <c r="Q107" s="194"/>
      <c r="R107" s="243"/>
      <c r="S107" s="194"/>
      <c r="T107" s="243"/>
      <c r="U107" s="194"/>
      <c r="V107" s="243"/>
      <c r="W107" s="194"/>
      <c r="X107" s="243"/>
      <c r="Y107" s="194"/>
      <c r="Z107" s="243"/>
      <c r="AA107" s="194"/>
      <c r="AB107" s="243"/>
      <c r="AC107" s="194"/>
      <c r="AD107" s="243"/>
      <c r="AE107" s="194"/>
      <c r="AF107" s="105">
        <v>2023</v>
      </c>
      <c r="AG107" s="194"/>
      <c r="AH107" s="105">
        <v>2023</v>
      </c>
      <c r="AI107" s="194"/>
      <c r="AJ107" s="105">
        <v>2023</v>
      </c>
      <c r="AK107" s="194"/>
      <c r="AL107" s="105">
        <v>2023</v>
      </c>
      <c r="AM107" s="194"/>
      <c r="AN107" s="105">
        <v>2023</v>
      </c>
      <c r="AO107" s="194"/>
      <c r="AP107" s="105">
        <v>2023</v>
      </c>
      <c r="AQ107" s="194"/>
      <c r="AR107" s="105">
        <v>2023</v>
      </c>
      <c r="AS107" s="194"/>
      <c r="AT107" s="105">
        <v>2023</v>
      </c>
      <c r="AU107" s="194"/>
      <c r="AV107" s="105">
        <v>2023</v>
      </c>
      <c r="AW107" s="194"/>
      <c r="AX107" s="105">
        <v>2023</v>
      </c>
      <c r="AY107" s="194"/>
      <c r="AZ107" s="105">
        <v>2023</v>
      </c>
      <c r="BA107" s="194"/>
      <c r="BB107" s="105">
        <v>2023</v>
      </c>
      <c r="BC107" s="194"/>
      <c r="BD107" s="105">
        <v>2023</v>
      </c>
      <c r="BE107" s="194"/>
      <c r="BF107" s="105">
        <v>2023</v>
      </c>
      <c r="BG107" s="194"/>
      <c r="BH107" s="243"/>
      <c r="BI107" s="195"/>
      <c r="CJ107" s="157"/>
      <c r="CK107" s="150"/>
      <c r="CL107" s="157"/>
      <c r="CM107" s="159"/>
      <c r="CN107" s="157"/>
      <c r="CO107" s="157"/>
      <c r="CP107" s="157"/>
      <c r="CQ107" s="157"/>
      <c r="CR107" s="157"/>
      <c r="CS107" s="157"/>
      <c r="CT107" s="157"/>
    </row>
    <row r="108" spans="1:98">
      <c r="F108" s="186"/>
      <c r="G108" s="187"/>
      <c r="H108" s="186"/>
      <c r="I108" s="187"/>
      <c r="J108" s="186"/>
      <c r="K108" s="187"/>
      <c r="L108" s="186"/>
      <c r="M108" s="187"/>
      <c r="N108" s="186"/>
      <c r="O108" s="187"/>
      <c r="P108" s="186"/>
      <c r="Q108" s="187"/>
      <c r="R108" s="186"/>
      <c r="S108" s="187"/>
      <c r="T108" s="186"/>
      <c r="U108" s="187"/>
      <c r="V108" s="186"/>
      <c r="W108" s="187"/>
      <c r="X108" s="186"/>
      <c r="Y108" s="187"/>
      <c r="Z108" s="186"/>
      <c r="AA108" s="187"/>
      <c r="AB108" s="186"/>
      <c r="AC108" s="187"/>
      <c r="AD108" s="186"/>
      <c r="AE108" s="187"/>
      <c r="AF108" s="186"/>
      <c r="AG108" s="187"/>
      <c r="AH108" s="186"/>
      <c r="AI108" s="187"/>
      <c r="AJ108" s="186"/>
      <c r="AK108" s="187"/>
      <c r="AL108" s="186"/>
      <c r="AM108" s="187"/>
      <c r="AN108" s="186"/>
      <c r="AO108" s="187"/>
      <c r="AP108" s="186"/>
      <c r="AQ108" s="187"/>
      <c r="AR108" s="186"/>
      <c r="AS108" s="187"/>
      <c r="AT108" s="186"/>
      <c r="AU108" s="187"/>
      <c r="AV108" s="186"/>
      <c r="AW108" s="187"/>
      <c r="AX108" s="186"/>
      <c r="AY108" s="187"/>
      <c r="AZ108" s="186"/>
      <c r="BA108" s="187"/>
      <c r="BB108" s="186"/>
      <c r="BC108" s="187"/>
      <c r="BD108" s="186"/>
      <c r="BE108" s="187"/>
      <c r="BF108" s="186"/>
      <c r="BG108" s="187"/>
      <c r="CJ108" s="160"/>
      <c r="CK108" s="155"/>
      <c r="CL108" s="160"/>
      <c r="CM108" s="161"/>
      <c r="CN108" s="160"/>
      <c r="CO108" s="160"/>
      <c r="CP108" s="160"/>
      <c r="CQ108" s="160"/>
      <c r="CR108" s="160"/>
      <c r="CS108" s="160"/>
      <c r="CT108" s="160"/>
    </row>
    <row r="109" spans="1:98">
      <c r="B109" s="202" t="s">
        <v>1161</v>
      </c>
      <c r="F109" s="186"/>
      <c r="G109" s="187"/>
      <c r="H109" s="186"/>
      <c r="I109" s="187"/>
      <c r="J109" s="186"/>
      <c r="K109" s="187"/>
      <c r="L109" s="186"/>
      <c r="M109" s="187"/>
      <c r="N109" s="186"/>
      <c r="O109" s="187"/>
      <c r="P109" s="186"/>
      <c r="Q109" s="187"/>
      <c r="R109" s="186"/>
      <c r="S109" s="187"/>
      <c r="T109" s="186"/>
      <c r="U109" s="187"/>
      <c r="V109" s="186"/>
      <c r="W109" s="187"/>
      <c r="X109" s="186"/>
      <c r="Y109" s="187"/>
      <c r="Z109" s="186"/>
      <c r="AA109" s="187"/>
      <c r="AB109" s="186"/>
      <c r="AC109" s="187"/>
      <c r="AD109" s="186"/>
      <c r="AE109" s="187"/>
      <c r="AF109" s="186"/>
      <c r="AG109" s="187"/>
      <c r="AH109" s="186"/>
      <c r="AI109" s="187"/>
      <c r="AJ109" s="186"/>
      <c r="AK109" s="187"/>
      <c r="AL109" s="186"/>
      <c r="AM109" s="187"/>
      <c r="AN109" s="186"/>
      <c r="AO109" s="187"/>
      <c r="AP109" s="186"/>
      <c r="AQ109" s="187"/>
      <c r="AR109" s="186"/>
      <c r="AS109" s="187"/>
      <c r="AT109" s="186"/>
      <c r="AU109" s="187"/>
      <c r="AV109" s="186"/>
      <c r="AW109" s="187"/>
      <c r="AX109" s="186"/>
      <c r="AY109" s="187"/>
      <c r="AZ109" s="186"/>
      <c r="BA109" s="187"/>
      <c r="BB109" s="186"/>
      <c r="BC109" s="187"/>
      <c r="BD109" s="186"/>
      <c r="BE109" s="187"/>
      <c r="BF109" s="186"/>
      <c r="BG109" s="187"/>
      <c r="CJ109" s="160"/>
      <c r="CK109" s="155"/>
      <c r="CL109" s="160"/>
      <c r="CM109" s="161"/>
      <c r="CN109" s="160"/>
      <c r="CO109" s="160"/>
      <c r="CP109" s="160"/>
      <c r="CQ109" s="160"/>
      <c r="CR109" s="160"/>
      <c r="CS109" s="160"/>
      <c r="CT109" s="160"/>
    </row>
    <row r="110" spans="1:98">
      <c r="B110" s="203">
        <v>1</v>
      </c>
      <c r="C110" t="s">
        <v>1162</v>
      </c>
      <c r="F110" s="186"/>
      <c r="G110" s="187"/>
      <c r="H110" s="186"/>
      <c r="I110" s="187"/>
      <c r="J110" s="186"/>
      <c r="K110" s="187"/>
      <c r="L110" s="186"/>
      <c r="M110" s="187"/>
      <c r="N110" s="186"/>
      <c r="O110" s="187"/>
      <c r="P110" s="186"/>
      <c r="Q110" s="187"/>
      <c r="R110" s="186"/>
      <c r="S110" s="187"/>
      <c r="T110" s="186"/>
      <c r="U110" s="187"/>
      <c r="V110" s="186"/>
      <c r="W110" s="187"/>
      <c r="X110" s="186"/>
      <c r="Y110" s="187"/>
      <c r="Z110" s="186"/>
      <c r="AA110" s="187"/>
      <c r="AB110" s="186"/>
      <c r="AC110" s="187"/>
      <c r="AD110" s="186"/>
      <c r="AE110" s="187"/>
      <c r="AF110" s="186"/>
      <c r="AG110" s="187"/>
      <c r="AH110" s="186"/>
      <c r="AI110" s="187"/>
      <c r="AJ110" s="186"/>
      <c r="AK110" s="187"/>
      <c r="AL110" s="186"/>
      <c r="AM110" s="187"/>
      <c r="AN110" s="186"/>
      <c r="AO110" s="187"/>
      <c r="AP110" s="186"/>
      <c r="AQ110" s="187"/>
      <c r="AR110" s="186"/>
      <c r="AS110" s="187"/>
      <c r="AT110" s="186"/>
      <c r="AU110" s="187"/>
      <c r="AV110" s="186"/>
      <c r="AW110" s="187"/>
      <c r="AX110" s="186"/>
      <c r="AY110" s="187"/>
      <c r="AZ110" s="186"/>
      <c r="BA110" s="187"/>
      <c r="BB110" s="186"/>
      <c r="BC110" s="187"/>
      <c r="BD110" s="186"/>
      <c r="BE110" s="187"/>
      <c r="BF110" s="186"/>
      <c r="BG110" s="187"/>
      <c r="CJ110" s="160"/>
      <c r="CK110" s="155"/>
      <c r="CL110" s="160"/>
      <c r="CM110" s="161"/>
      <c r="CN110" s="160"/>
      <c r="CO110" s="160"/>
      <c r="CP110" s="160"/>
      <c r="CQ110" s="160"/>
      <c r="CR110" s="160"/>
      <c r="CS110" s="160"/>
      <c r="CT110" s="160"/>
    </row>
    <row r="111" spans="1:98">
      <c r="B111" s="203"/>
      <c r="F111" s="186"/>
      <c r="G111" s="187"/>
      <c r="H111" s="186"/>
      <c r="I111" s="187"/>
      <c r="J111" s="186"/>
      <c r="K111" s="187"/>
      <c r="L111" s="186"/>
      <c r="M111" s="187"/>
      <c r="N111" s="186"/>
      <c r="O111" s="187"/>
      <c r="P111" s="186"/>
      <c r="Q111" s="187"/>
      <c r="R111" s="186"/>
      <c r="S111" s="187"/>
      <c r="T111" s="186"/>
      <c r="U111" s="187"/>
      <c r="V111" s="186"/>
      <c r="W111" s="187"/>
      <c r="X111" s="186"/>
      <c r="Y111" s="187"/>
      <c r="Z111" s="186"/>
      <c r="AA111" s="187"/>
      <c r="AB111" s="186"/>
      <c r="AC111" s="187"/>
      <c r="AD111" s="186"/>
      <c r="AE111" s="187"/>
      <c r="AF111" s="186"/>
      <c r="AG111" s="187"/>
      <c r="AH111" s="186"/>
      <c r="AI111" s="187"/>
      <c r="AJ111" s="186"/>
      <c r="AK111" s="187"/>
      <c r="AL111" s="186"/>
      <c r="AM111" s="187"/>
      <c r="AN111" s="186"/>
      <c r="AO111" s="187"/>
      <c r="AP111" s="186"/>
      <c r="AQ111" s="187"/>
      <c r="AR111" s="186"/>
      <c r="AS111" s="187"/>
      <c r="AT111" s="186"/>
      <c r="AU111" s="187"/>
      <c r="AV111" s="186"/>
      <c r="AW111" s="187"/>
      <c r="AX111" s="186"/>
      <c r="AY111" s="187"/>
      <c r="AZ111" s="186"/>
      <c r="BA111" s="187"/>
      <c r="BB111" s="186"/>
      <c r="BC111" s="187"/>
      <c r="BD111" s="186"/>
      <c r="BE111" s="187"/>
      <c r="BF111" s="186"/>
      <c r="BG111" s="187"/>
      <c r="CJ111" s="160"/>
      <c r="CK111" s="155"/>
      <c r="CL111" s="160"/>
      <c r="CM111" s="161"/>
      <c r="CN111" s="160"/>
      <c r="CO111" s="160"/>
      <c r="CP111" s="160"/>
      <c r="CQ111" s="160"/>
      <c r="CR111" s="160"/>
      <c r="CS111" s="160"/>
      <c r="CT111" s="160"/>
    </row>
    <row r="112" spans="1:98">
      <c r="B112">
        <v>2.1</v>
      </c>
      <c r="C112" s="36" t="s">
        <v>1163</v>
      </c>
      <c r="F112" s="188"/>
      <c r="G112" s="189"/>
      <c r="H112" s="188"/>
      <c r="I112" s="189"/>
      <c r="J112" s="188"/>
      <c r="K112" s="189"/>
      <c r="L112" s="188"/>
      <c r="M112" s="189"/>
      <c r="N112" s="188"/>
      <c r="O112" s="189"/>
      <c r="P112" s="188"/>
      <c r="Q112" s="189"/>
      <c r="R112" s="188"/>
      <c r="S112" s="189"/>
      <c r="T112" s="188"/>
      <c r="U112" s="189"/>
      <c r="V112" s="188"/>
      <c r="W112" s="189"/>
      <c r="X112" s="188"/>
      <c r="Y112" s="189"/>
      <c r="Z112" s="188"/>
      <c r="AA112" s="189"/>
      <c r="AB112" s="188"/>
      <c r="AC112" s="189"/>
      <c r="AD112" s="188"/>
      <c r="AE112" s="189"/>
      <c r="AF112" s="188"/>
      <c r="AG112" s="189"/>
      <c r="AH112" s="188"/>
      <c r="AI112" s="189"/>
      <c r="AJ112" s="188"/>
      <c r="AK112" s="189"/>
      <c r="AL112" s="188"/>
      <c r="AM112" s="189"/>
      <c r="AN112" s="188"/>
      <c r="AO112" s="189"/>
      <c r="AP112" s="188"/>
      <c r="AQ112" s="189"/>
      <c r="AR112" s="188"/>
      <c r="AS112" s="189"/>
      <c r="AT112" s="188"/>
      <c r="AU112" s="189"/>
      <c r="AV112" s="188"/>
      <c r="AW112" s="189"/>
      <c r="AX112" s="188"/>
      <c r="AY112" s="189"/>
      <c r="AZ112" s="188"/>
      <c r="BA112" s="189"/>
      <c r="BB112" s="188"/>
      <c r="BC112" s="189"/>
      <c r="BD112" s="188"/>
      <c r="BE112" s="189"/>
      <c r="BF112" s="188"/>
      <c r="BG112" s="189"/>
      <c r="CJ112" s="160"/>
      <c r="CK112" s="155"/>
      <c r="CL112" s="160"/>
      <c r="CM112" s="161"/>
      <c r="CN112" s="160"/>
      <c r="CO112" s="160"/>
      <c r="CP112" s="160"/>
      <c r="CQ112" s="160"/>
      <c r="CR112" s="160"/>
      <c r="CS112" s="160"/>
      <c r="CT112" s="160"/>
    </row>
    <row r="113" spans="2:98">
      <c r="B113">
        <v>2.2000000000000002</v>
      </c>
      <c r="C113" s="36" t="s">
        <v>1164</v>
      </c>
      <c r="CJ113" s="160"/>
      <c r="CK113" s="155"/>
      <c r="CL113" s="160"/>
      <c r="CM113" s="161"/>
      <c r="CN113" s="160"/>
      <c r="CO113" s="160"/>
      <c r="CP113" s="160"/>
      <c r="CQ113" s="160"/>
      <c r="CR113" s="160"/>
      <c r="CS113" s="160"/>
      <c r="CT113" s="160"/>
    </row>
    <row r="114" spans="2:98">
      <c r="B114">
        <v>2.2999999999999998</v>
      </c>
      <c r="C114" s="36" t="s">
        <v>1165</v>
      </c>
      <c r="CJ114" s="160"/>
      <c r="CK114" s="155"/>
      <c r="CL114" s="160"/>
      <c r="CM114" s="161"/>
      <c r="CN114" s="160"/>
      <c r="CO114" s="160"/>
      <c r="CP114" s="160"/>
      <c r="CQ114" s="160"/>
      <c r="CR114" s="160"/>
      <c r="CS114" s="160"/>
      <c r="CT114" s="160"/>
    </row>
    <row r="115" spans="2:98">
      <c r="B115">
        <v>2.4</v>
      </c>
      <c r="C115" s="36" t="s">
        <v>1166</v>
      </c>
      <c r="CJ115" s="160"/>
      <c r="CK115" s="155"/>
      <c r="CL115" s="160"/>
      <c r="CM115" s="161"/>
      <c r="CN115" s="160"/>
      <c r="CO115" s="160"/>
      <c r="CP115" s="160"/>
      <c r="CQ115" s="160"/>
      <c r="CR115" s="160"/>
      <c r="CS115" s="160"/>
      <c r="CT115" s="160"/>
    </row>
    <row r="116" spans="2:98">
      <c r="CJ116" s="160"/>
      <c r="CK116" s="155"/>
      <c r="CL116" s="160"/>
      <c r="CM116" s="161"/>
      <c r="CN116" s="160"/>
      <c r="CO116" s="160"/>
      <c r="CP116" s="160"/>
      <c r="CQ116" s="160"/>
      <c r="CR116" s="160"/>
      <c r="CS116" s="160"/>
      <c r="CT116" s="160"/>
    </row>
    <row r="117" spans="2:98">
      <c r="B117">
        <v>3.1</v>
      </c>
      <c r="C117" s="36" t="s">
        <v>1167</v>
      </c>
      <c r="CJ117" s="160"/>
      <c r="CK117" s="155"/>
      <c r="CL117" s="160"/>
      <c r="CM117" s="161"/>
      <c r="CN117" s="160"/>
      <c r="CO117" s="160"/>
      <c r="CP117" s="160"/>
      <c r="CQ117" s="160"/>
      <c r="CR117" s="160"/>
      <c r="CS117" s="160"/>
      <c r="CT117" s="160"/>
    </row>
    <row r="118" spans="2:98">
      <c r="B118">
        <v>3.2</v>
      </c>
      <c r="C118" s="36" t="s">
        <v>1168</v>
      </c>
      <c r="CJ118" s="160"/>
      <c r="CK118" s="155"/>
      <c r="CL118" s="160"/>
      <c r="CM118" s="161"/>
      <c r="CN118" s="160"/>
      <c r="CO118" s="160"/>
      <c r="CP118" s="160"/>
      <c r="CQ118" s="160"/>
      <c r="CR118" s="160"/>
      <c r="CS118" s="160"/>
      <c r="CT118" s="160"/>
    </row>
    <row r="119" spans="2:98">
      <c r="B119">
        <v>3.3</v>
      </c>
      <c r="C119" s="36" t="s">
        <v>1169</v>
      </c>
      <c r="CJ119" s="160"/>
      <c r="CK119" s="155"/>
      <c r="CL119" s="160"/>
      <c r="CM119" s="161"/>
      <c r="CN119" s="160"/>
      <c r="CO119" s="160"/>
      <c r="CP119" s="160"/>
      <c r="CQ119" s="160"/>
      <c r="CR119" s="160"/>
      <c r="CS119" s="160"/>
      <c r="CT119" s="160"/>
    </row>
    <row r="120" spans="2:98">
      <c r="CJ120" s="160"/>
      <c r="CK120" s="155"/>
      <c r="CL120" s="160"/>
      <c r="CM120" s="161"/>
      <c r="CN120" s="160"/>
      <c r="CO120" s="160"/>
      <c r="CP120" s="160"/>
      <c r="CQ120" s="160"/>
      <c r="CR120" s="160"/>
      <c r="CS120" s="160"/>
      <c r="CT120" s="160"/>
    </row>
    <row r="121" spans="2:98">
      <c r="B121" s="203">
        <v>5</v>
      </c>
      <c r="C121" s="36" t="s">
        <v>1170</v>
      </c>
      <c r="CJ121" s="160"/>
      <c r="CK121" s="155"/>
      <c r="CL121" s="160"/>
      <c r="CM121" s="161"/>
      <c r="CN121" s="160"/>
      <c r="CO121" s="160"/>
      <c r="CP121" s="160"/>
      <c r="CQ121" s="160"/>
      <c r="CR121" s="160"/>
      <c r="CS121" s="160"/>
      <c r="CT121" s="160"/>
    </row>
    <row r="122" spans="2:98">
      <c r="CJ122" s="160"/>
      <c r="CK122" s="155"/>
      <c r="CL122" s="160"/>
      <c r="CM122" s="161"/>
      <c r="CN122" s="160"/>
      <c r="CO122" s="160"/>
      <c r="CP122" s="160"/>
      <c r="CQ122" s="160"/>
      <c r="CR122" s="160"/>
      <c r="CS122" s="160"/>
      <c r="CT122" s="160"/>
    </row>
    <row r="123" spans="2:98">
      <c r="CJ123" s="160"/>
      <c r="CK123" s="155"/>
      <c r="CL123" s="160"/>
      <c r="CM123" s="161"/>
      <c r="CN123" s="160"/>
      <c r="CO123" s="160"/>
      <c r="CP123" s="160"/>
      <c r="CQ123" s="160"/>
      <c r="CR123" s="160"/>
      <c r="CS123" s="160"/>
      <c r="CT123" s="160"/>
    </row>
    <row r="124" spans="2:98">
      <c r="CJ124" s="160"/>
      <c r="CK124" s="155"/>
      <c r="CL124" s="160"/>
      <c r="CM124" s="161"/>
      <c r="CN124" s="160"/>
      <c r="CO124" s="160"/>
      <c r="CP124" s="160"/>
      <c r="CQ124" s="160"/>
      <c r="CR124" s="160"/>
      <c r="CS124" s="160"/>
      <c r="CT124" s="160"/>
    </row>
    <row r="125" spans="2:98">
      <c r="CJ125" s="160"/>
      <c r="CK125" s="155"/>
      <c r="CL125" s="160"/>
      <c r="CM125" s="161"/>
      <c r="CN125" s="160"/>
      <c r="CO125" s="160"/>
      <c r="CP125" s="160"/>
      <c r="CQ125" s="160"/>
      <c r="CR125" s="160"/>
      <c r="CS125" s="160"/>
      <c r="CT125" s="160"/>
    </row>
    <row r="126" spans="2:98">
      <c r="CJ126" s="160"/>
      <c r="CK126" s="155"/>
      <c r="CL126" s="160"/>
      <c r="CM126" s="161"/>
      <c r="CN126" s="160"/>
      <c r="CO126" s="160"/>
      <c r="CP126" s="160"/>
      <c r="CQ126" s="160"/>
      <c r="CR126" s="160"/>
      <c r="CS126" s="160"/>
      <c r="CT126" s="160"/>
    </row>
    <row r="127" spans="2:98">
      <c r="CJ127" s="160"/>
      <c r="CK127" s="155"/>
      <c r="CL127" s="160"/>
      <c r="CM127" s="161"/>
      <c r="CN127" s="160"/>
      <c r="CO127" s="160"/>
      <c r="CP127" s="160"/>
      <c r="CQ127" s="160"/>
      <c r="CR127" s="160"/>
      <c r="CS127" s="160"/>
      <c r="CT127" s="160"/>
    </row>
    <row r="128" spans="2:98">
      <c r="CJ128" s="160"/>
      <c r="CK128" s="155"/>
      <c r="CL128" s="160"/>
      <c r="CM128" s="161"/>
      <c r="CN128" s="160"/>
      <c r="CO128" s="160"/>
      <c r="CP128" s="160"/>
      <c r="CQ128" s="160"/>
      <c r="CR128" s="160"/>
      <c r="CS128" s="160"/>
      <c r="CT128" s="160"/>
    </row>
    <row r="129" spans="88:98">
      <c r="CJ129" s="160"/>
      <c r="CK129" s="155"/>
      <c r="CL129" s="160"/>
      <c r="CM129" s="161"/>
      <c r="CN129" s="160"/>
      <c r="CO129" s="160"/>
      <c r="CP129" s="160"/>
      <c r="CQ129" s="160"/>
      <c r="CR129" s="160"/>
      <c r="CS129" s="160"/>
      <c r="CT129" s="160"/>
    </row>
    <row r="130" spans="88:98">
      <c r="CJ130" s="160"/>
      <c r="CK130" s="155"/>
      <c r="CL130" s="160"/>
      <c r="CM130" s="161"/>
      <c r="CN130" s="160"/>
      <c r="CO130" s="160"/>
      <c r="CP130" s="160"/>
      <c r="CQ130" s="160"/>
      <c r="CR130" s="160"/>
      <c r="CS130" s="160"/>
      <c r="CT130" s="160"/>
    </row>
    <row r="131" spans="88:98">
      <c r="CJ131" s="160"/>
      <c r="CK131" s="155"/>
      <c r="CL131" s="160"/>
      <c r="CM131" s="161"/>
      <c r="CN131" s="160"/>
      <c r="CO131" s="160"/>
      <c r="CP131" s="160"/>
      <c r="CQ131" s="160"/>
      <c r="CR131" s="160"/>
      <c r="CS131" s="160"/>
      <c r="CT131" s="160"/>
    </row>
    <row r="132" spans="88:98">
      <c r="CJ132" s="160"/>
      <c r="CK132" s="155"/>
      <c r="CL132" s="160"/>
      <c r="CM132" s="161"/>
      <c r="CN132" s="160"/>
      <c r="CO132" s="160"/>
      <c r="CP132" s="160"/>
      <c r="CQ132" s="160"/>
      <c r="CR132" s="160"/>
      <c r="CS132" s="160"/>
      <c r="CT132" s="160"/>
    </row>
    <row r="133" spans="88:98">
      <c r="CJ133" s="160"/>
      <c r="CK133" s="155"/>
      <c r="CL133" s="160"/>
      <c r="CM133" s="161"/>
      <c r="CN133" s="160"/>
      <c r="CO133" s="160"/>
      <c r="CP133" s="160"/>
      <c r="CQ133" s="160"/>
      <c r="CR133" s="160"/>
      <c r="CS133" s="160"/>
      <c r="CT133" s="160"/>
    </row>
    <row r="134" spans="88:98">
      <c r="CJ134" s="160"/>
      <c r="CK134" s="155"/>
      <c r="CL134" s="160"/>
      <c r="CM134" s="161"/>
      <c r="CN134" s="160"/>
      <c r="CO134" s="160"/>
      <c r="CP134" s="160"/>
      <c r="CQ134" s="160"/>
      <c r="CR134" s="160"/>
      <c r="CS134" s="160"/>
      <c r="CT134" s="160"/>
    </row>
    <row r="135" spans="88:98">
      <c r="CJ135" s="160"/>
      <c r="CK135" s="155"/>
      <c r="CL135" s="160"/>
      <c r="CM135" s="161"/>
      <c r="CN135" s="160"/>
      <c r="CO135" s="160"/>
      <c r="CP135" s="160"/>
      <c r="CQ135" s="160"/>
      <c r="CR135" s="160"/>
      <c r="CS135" s="160"/>
      <c r="CT135" s="160"/>
    </row>
    <row r="136" spans="88:98">
      <c r="CJ136" s="160"/>
      <c r="CK136" s="155"/>
      <c r="CL136" s="160"/>
      <c r="CM136" s="161"/>
      <c r="CN136" s="160"/>
      <c r="CO136" s="160"/>
      <c r="CP136" s="160"/>
      <c r="CQ136" s="160"/>
      <c r="CR136" s="160"/>
      <c r="CS136" s="160"/>
      <c r="CT136" s="160"/>
    </row>
    <row r="137" spans="88:98">
      <c r="CJ137" s="160"/>
      <c r="CK137" s="155"/>
      <c r="CL137" s="160"/>
      <c r="CM137" s="161"/>
      <c r="CN137" s="160"/>
      <c r="CO137" s="160"/>
      <c r="CP137" s="160"/>
      <c r="CQ137" s="160"/>
      <c r="CR137" s="160"/>
      <c r="CS137" s="160"/>
      <c r="CT137" s="160"/>
    </row>
    <row r="138" spans="88:98">
      <c r="CJ138" s="160"/>
      <c r="CK138" s="155"/>
      <c r="CL138" s="160"/>
      <c r="CM138" s="161"/>
      <c r="CN138" s="160"/>
      <c r="CO138" s="160"/>
      <c r="CP138" s="160"/>
      <c r="CQ138" s="160"/>
      <c r="CR138" s="160"/>
      <c r="CS138" s="160"/>
      <c r="CT138" s="160"/>
    </row>
    <row r="139" spans="88:98">
      <c r="CJ139" s="160"/>
      <c r="CK139" s="155"/>
      <c r="CL139" s="160"/>
      <c r="CM139" s="161"/>
      <c r="CN139" s="160"/>
      <c r="CO139" s="160"/>
      <c r="CP139" s="160"/>
      <c r="CQ139" s="160"/>
      <c r="CR139" s="160"/>
      <c r="CS139" s="160"/>
      <c r="CT139" s="160"/>
    </row>
    <row r="140" spans="88:98">
      <c r="CJ140" s="160"/>
      <c r="CK140" s="155"/>
      <c r="CL140" s="160"/>
      <c r="CM140" s="161"/>
      <c r="CN140" s="160"/>
      <c r="CO140" s="160"/>
      <c r="CP140" s="160"/>
      <c r="CQ140" s="160"/>
      <c r="CR140" s="160"/>
      <c r="CS140" s="160"/>
      <c r="CT140" s="160"/>
    </row>
    <row r="141" spans="88:98">
      <c r="CJ141" s="160"/>
      <c r="CK141" s="155"/>
      <c r="CL141" s="160"/>
      <c r="CM141" s="161"/>
      <c r="CN141" s="160"/>
      <c r="CO141" s="160"/>
      <c r="CP141" s="160"/>
      <c r="CQ141" s="160"/>
      <c r="CR141" s="160"/>
      <c r="CS141" s="160"/>
      <c r="CT141" s="160"/>
    </row>
    <row r="142" spans="88:98">
      <c r="CJ142" s="161"/>
      <c r="CK142" s="156"/>
      <c r="CL142" s="161"/>
      <c r="CM142" s="161"/>
      <c r="CN142" s="161"/>
      <c r="CO142" s="161"/>
      <c r="CP142" s="161"/>
      <c r="CQ142" s="161"/>
      <c r="CR142" s="161"/>
      <c r="CS142" s="161"/>
      <c r="CT142" s="161"/>
    </row>
    <row r="143" spans="88:98">
      <c r="CJ143" s="161"/>
      <c r="CK143" s="156"/>
      <c r="CL143" s="161"/>
      <c r="CM143" s="161"/>
      <c r="CN143" s="161"/>
      <c r="CO143" s="161"/>
      <c r="CP143" s="161"/>
      <c r="CQ143" s="161"/>
      <c r="CR143" s="161"/>
      <c r="CS143" s="161"/>
      <c r="CT143" s="161"/>
    </row>
    <row r="144" spans="88:98">
      <c r="CJ144" s="161"/>
      <c r="CK144" s="156"/>
      <c r="CL144" s="161"/>
      <c r="CM144" s="161"/>
      <c r="CN144" s="161"/>
      <c r="CO144" s="161"/>
      <c r="CP144" s="161"/>
      <c r="CQ144" s="161"/>
      <c r="CR144" s="161"/>
      <c r="CS144" s="161"/>
      <c r="CT144" s="161"/>
    </row>
  </sheetData>
  <sheetProtection sheet="1" objects="1" scenarios="1"/>
  <dataConsolidate/>
  <mergeCells count="137">
    <mergeCell ref="CS1:CS3"/>
    <mergeCell ref="CT1:CT3"/>
    <mergeCell ref="CM1:CM3"/>
    <mergeCell ref="CN1:CN3"/>
    <mergeCell ref="CO1:CO3"/>
    <mergeCell ref="CP1:CP3"/>
    <mergeCell ref="CQ1:CQ3"/>
    <mergeCell ref="CR1:CR3"/>
    <mergeCell ref="D104:E104"/>
    <mergeCell ref="D81:E81"/>
    <mergeCell ref="D82:E82"/>
    <mergeCell ref="D83:E83"/>
    <mergeCell ref="D84:E84"/>
    <mergeCell ref="D85:E85"/>
    <mergeCell ref="D74:E74"/>
    <mergeCell ref="D75:E75"/>
    <mergeCell ref="D76:E76"/>
    <mergeCell ref="D77:E77"/>
    <mergeCell ref="D78:E78"/>
    <mergeCell ref="D79:E79"/>
    <mergeCell ref="D68:E68"/>
    <mergeCell ref="D69:E69"/>
    <mergeCell ref="D70:E70"/>
    <mergeCell ref="D71:E71"/>
    <mergeCell ref="D105:E105"/>
    <mergeCell ref="D106:E106"/>
    <mergeCell ref="D107:E107"/>
    <mergeCell ref="CJ1:CJ3"/>
    <mergeCell ref="CL1:CL3"/>
    <mergeCell ref="D98:E98"/>
    <mergeCell ref="D99:E99"/>
    <mergeCell ref="D100:E100"/>
    <mergeCell ref="D101:E101"/>
    <mergeCell ref="D102:E102"/>
    <mergeCell ref="D103:E103"/>
    <mergeCell ref="D92:E92"/>
    <mergeCell ref="D93:E93"/>
    <mergeCell ref="D94:E94"/>
    <mergeCell ref="B95:E95"/>
    <mergeCell ref="D96:E96"/>
    <mergeCell ref="D97:E97"/>
    <mergeCell ref="D86:E86"/>
    <mergeCell ref="D87:E87"/>
    <mergeCell ref="D88:E88"/>
    <mergeCell ref="D89:E89"/>
    <mergeCell ref="D90:E90"/>
    <mergeCell ref="B91:E91"/>
    <mergeCell ref="D80:E80"/>
    <mergeCell ref="D72:E72"/>
    <mergeCell ref="D73:E73"/>
    <mergeCell ref="D62:E62"/>
    <mergeCell ref="D63:E63"/>
    <mergeCell ref="D64:E64"/>
    <mergeCell ref="D65:E65"/>
    <mergeCell ref="D66:E66"/>
    <mergeCell ref="D67:E67"/>
    <mergeCell ref="D56:E56"/>
    <mergeCell ref="D57:E57"/>
    <mergeCell ref="D58:E58"/>
    <mergeCell ref="D59:E59"/>
    <mergeCell ref="D60:E60"/>
    <mergeCell ref="D61:E61"/>
    <mergeCell ref="D50:E50"/>
    <mergeCell ref="D51:E51"/>
    <mergeCell ref="D52:E52"/>
    <mergeCell ref="D53:E53"/>
    <mergeCell ref="D54:E54"/>
    <mergeCell ref="D55:E55"/>
    <mergeCell ref="D44:E44"/>
    <mergeCell ref="D45:E45"/>
    <mergeCell ref="D46:E46"/>
    <mergeCell ref="D47:E47"/>
    <mergeCell ref="D48:E48"/>
    <mergeCell ref="D49:E49"/>
    <mergeCell ref="D38:E38"/>
    <mergeCell ref="D39:E39"/>
    <mergeCell ref="D40:E40"/>
    <mergeCell ref="D41:E41"/>
    <mergeCell ref="D42:E42"/>
    <mergeCell ref="D43:E43"/>
    <mergeCell ref="D32:E32"/>
    <mergeCell ref="D33:E33"/>
    <mergeCell ref="D34:E34"/>
    <mergeCell ref="D35:E35"/>
    <mergeCell ref="D36:E36"/>
    <mergeCell ref="D37:E37"/>
    <mergeCell ref="D26:E26"/>
    <mergeCell ref="D27:E27"/>
    <mergeCell ref="D28:E28"/>
    <mergeCell ref="D29:E29"/>
    <mergeCell ref="D30:E30"/>
    <mergeCell ref="D31:E31"/>
    <mergeCell ref="D20:E20"/>
    <mergeCell ref="D21:E21"/>
    <mergeCell ref="D22:E22"/>
    <mergeCell ref="D23:E23"/>
    <mergeCell ref="D24:E24"/>
    <mergeCell ref="D25:E25"/>
    <mergeCell ref="F1:G3"/>
    <mergeCell ref="H1:I3"/>
    <mergeCell ref="J1:K3"/>
    <mergeCell ref="D14:E14"/>
    <mergeCell ref="D15:E15"/>
    <mergeCell ref="D16:E16"/>
    <mergeCell ref="D17:E17"/>
    <mergeCell ref="D18:E18"/>
    <mergeCell ref="D19:E19"/>
    <mergeCell ref="D8:E8"/>
    <mergeCell ref="D9:E9"/>
    <mergeCell ref="D10:E10"/>
    <mergeCell ref="D11:E11"/>
    <mergeCell ref="D12:E12"/>
    <mergeCell ref="D13:E13"/>
    <mergeCell ref="CK1:CK3"/>
    <mergeCell ref="L1:M3"/>
    <mergeCell ref="N1:O3"/>
    <mergeCell ref="AV3:AW3"/>
    <mergeCell ref="B4:E4"/>
    <mergeCell ref="B5:C5"/>
    <mergeCell ref="D5:E5"/>
    <mergeCell ref="D6:E6"/>
    <mergeCell ref="D7:E7"/>
    <mergeCell ref="AB1:AC3"/>
    <mergeCell ref="AD1:AE3"/>
    <mergeCell ref="AF1:AG3"/>
    <mergeCell ref="AH1:AI3"/>
    <mergeCell ref="AJ1:AK3"/>
    <mergeCell ref="B2:C2"/>
    <mergeCell ref="B3:C3"/>
    <mergeCell ref="D3:E3"/>
    <mergeCell ref="P1:Q3"/>
    <mergeCell ref="R1:S3"/>
    <mergeCell ref="T1:U3"/>
    <mergeCell ref="V1:W3"/>
    <mergeCell ref="X1:Y3"/>
    <mergeCell ref="Z1:AA3"/>
    <mergeCell ref="B1:C1"/>
  </mergeCells>
  <dataValidations count="4">
    <dataValidation allowBlank="1" showErrorMessage="1" sqref="E1" xr:uid="{00000000-0002-0000-0D00-000000000000}"/>
    <dataValidation type="textLength" allowBlank="1" showInputMessage="1" showErrorMessage="1" prompt="Please select your country in worksheet &quot;Intro&quot; (for all pollutant sheets)" sqref="D1" xr:uid="{00000000-0002-0000-0D00-000001000000}">
      <formula1>2</formula1>
      <formula2>2</formula2>
    </dataValidation>
    <dataValidation type="custom" allowBlank="1" showInputMessage="1" showErrorMessage="1" errorTitle="Wrong data input" error="Data entry is limited to positive values or zero._x000d__x000a_: symbol can be used for not available data." sqref="L112 J112 H112 F112 AV112 X112 AF112 BF112 AL112 AT112 N112 BD112 P112 Z112 AR112 BB112 AJ112 AD112 T112 AZ112 AP112 V112 AH112 AX112 R112 AN112 AB112 BH5:BH95 BH101:BH104 BH106:BH107 BF5:BF95 BF101:BF104 BF106:BF107 BD5:BD95 BD101:BD104 BD106:BD107 BB5:BB95 BB101:BB104 BB106:BB107 AZ5:AZ95 AZ101:AZ104 AZ106:AZ107 AX5:AX95 AX101:AX104 AX106:AX107 AV5:AV95 AV101:AV104 AV106:AV107 AT5:AT95 AT101:AT104 AT106:AT107 AR5:AR95 AR101:AR104 AR106:AR107 AP5:AP95 AP101:AP104 AP106:AP107 AN5:AN95 AN101:AN104 AN106:AN107 AL5:AL95 AL101:AL104 AL106:AL107 AJ5:AJ95 AJ101:AJ104 AJ106:AJ107 AH5:AH95 AH101:AH104 AH106:AH107 AF5:AF95 AF101:AF104 AF106:AF107 AD5:AD95 AD101:AD104 AD106:AD107 AB5:AB95 AB101:AB104 AB106:AB107 Z5:Z95 Z101:Z104 Z106:Z107 X5:X95 X101:X104 X106:X107 V5:V95 V101:V104 V106:V107 T5:T95 T101:T104 T106:T107 R5:R95 R101:R104 R106:R107 P5:P95 P101:P104 P106:P107 N5:N95 N101:N104 N106:N107 L5:L95 L101:L104 L106:L107 J5:J95 J101:J104 J106:J107 H5:H95 H101:H104 H106:H107 F5:F95 F101:F104 F106:F107" xr:uid="{00000000-0002-0000-0D00-000002000000}">
      <formula1>OR(AND(ISNUMBER(F5),F5&gt;=0),F5=":")</formula1>
    </dataValidation>
    <dataValidation type="custom" allowBlank="1" showInputMessage="1" showErrorMessage="1" errorTitle="Wrong data input" error="Data entry is limited to numbers._x000d__x000a_: symbol can be used for not available data." sqref="AN108:AN111 AB108:AB111 BD108:BD111 T108:T111 AL108:AL111 BB108:BB111 H108:H111 Z108:Z111 AZ108:AZ111 AJ108:AJ111 N108:N111 AX108:AX111 R108:R111 AH108:AH111 AV108:AV111 X108:X111 F108:F111 AT108:AT111 AF108:AF111 J108:J111 AR108:AR111 V108:V111 AD108:AD111 AP108:AP111 P108:P111 L108:L111 BF108:BF111 BH105 BH96:BH100 BF105 BF96:BF100 BD105 BD96:BD100 BB105 BB96:BB100 AZ105 AZ96:AZ100 AX105 AX96:AX100 AV105 AV96:AV100 AT105 AT96:AT100 AR105 AR96:AR100 AP105 AP96:AP100 AN105 AN96:AN100 AL105 AL96:AL100 AJ105 AJ96:AJ100 AH105 AH96:AH100 AF105 AF96:AF100 AD105 AD96:AD100 AB105 AB96:AB100 Z105 Z96:Z100 X105 X96:X100 V105 V96:V100 T105 T96:T100 R105 R96:R100 P105 P96:P100 N105 N96:N100 L105 L96:L100 J105 J96:J100 H105 H96:H100 F105 F96:F100" xr:uid="{00000000-0002-0000-0D00-000003000000}">
      <formula1>OR(ISNUMBER(F96),F96=":")</formula1>
    </dataValidation>
  </dataValidations>
  <printOptions headings="1" gridLines="1"/>
  <pageMargins left="0.2" right="0.39370078740157499" top="0.17" bottom="0.47" header="0" footer="0"/>
  <pageSetup paperSize="9" scale="60" fitToHeight="3" pageOrder="overThenDown" orientation="portrait" r:id="rId1"/>
  <headerFooter alignWithMargins="0">
    <oddFooter>&amp;L&amp;A&amp;C&amp;P&amp;R&amp;F</oddFooter>
  </headerFooter>
  <rowBreaks count="1" manualBreakCount="1">
    <brk id="94" min="1" max="22" man="1"/>
  </rowBreaks>
  <drawing r:id="rId2"/>
  <legacyDrawing r:id="rId3"/>
  <mc:AlternateContent xmlns:mc="http://schemas.openxmlformats.org/markup-compatibility/2006">
    <mc:Choice Requires="x14">
      <controls>
        <mc:AlternateContent xmlns:mc="http://schemas.openxmlformats.org/markup-compatibility/2006">
          <mc:Choice Requires="x14">
            <control shapeId="818177" r:id="rId4" name="Button 1">
              <controlPr defaultSize="0" print="0" autoFill="0" autoPict="0" macro="[0]!CheckThisSheet">
                <anchor moveWithCells="1" sizeWithCells="1">
                  <from>
                    <xdr:col>4</xdr:col>
                    <xdr:colOff>3105150</xdr:colOff>
                    <xdr:row>1</xdr:row>
                    <xdr:rowOff>76200</xdr:rowOff>
                  </from>
                  <to>
                    <xdr:col>4</xdr:col>
                    <xdr:colOff>3810000</xdr:colOff>
                    <xdr:row>2</xdr:row>
                    <xdr:rowOff>304800</xdr:rowOff>
                  </to>
                </anchor>
              </controlPr>
            </control>
          </mc:Choice>
        </mc:AlternateContent>
        <mc:AlternateContent xmlns:mc="http://schemas.openxmlformats.org/markup-compatibility/2006">
          <mc:Choice Requires="x14">
            <control shapeId="818178" r:id="rId5" name="Button 2">
              <controlPr defaultSize="0" print="0" autoFill="0" autoPict="0" macro="[0]!Interface.SetPinkColor">
                <anchor moveWithCells="1" sizeWithCells="1">
                  <from>
                    <xdr:col>4</xdr:col>
                    <xdr:colOff>2914650</xdr:colOff>
                    <xdr:row>3</xdr:row>
                    <xdr:rowOff>76200</xdr:rowOff>
                  </from>
                  <to>
                    <xdr:col>4</xdr:col>
                    <xdr:colOff>3162300</xdr:colOff>
                    <xdr:row>3</xdr:row>
                    <xdr:rowOff>323850</xdr:rowOff>
                  </to>
                </anchor>
              </controlPr>
            </control>
          </mc:Choice>
        </mc:AlternateContent>
        <mc:AlternateContent xmlns:mc="http://schemas.openxmlformats.org/markup-compatibility/2006">
          <mc:Choice Requires="x14">
            <control shapeId="818179" r:id="rId6" name="Button 3">
              <controlPr defaultSize="0" print="0" autoFill="0" autoPict="0" macro="[0]!Interface.SetGreyColor">
                <anchor moveWithCells="1" sizeWithCells="1">
                  <from>
                    <xdr:col>4</xdr:col>
                    <xdr:colOff>3257550</xdr:colOff>
                    <xdr:row>3</xdr:row>
                    <xdr:rowOff>76200</xdr:rowOff>
                  </from>
                  <to>
                    <xdr:col>4</xdr:col>
                    <xdr:colOff>3505200</xdr:colOff>
                    <xdr:row>3</xdr:row>
                    <xdr:rowOff>323850</xdr:rowOff>
                  </to>
                </anchor>
              </controlPr>
            </control>
          </mc:Choice>
        </mc:AlternateContent>
        <mc:AlternateContent xmlns:mc="http://schemas.openxmlformats.org/markup-compatibility/2006">
          <mc:Choice Requires="x14">
            <control shapeId="818180" r:id="rId7" name="Button 4">
              <controlPr defaultSize="0" print="0" autoFill="0" autoPict="0" macro="[0]!Interface.SetBlankColor">
                <anchor moveWithCells="1" sizeWithCells="1">
                  <from>
                    <xdr:col>4</xdr:col>
                    <xdr:colOff>3600450</xdr:colOff>
                    <xdr:row>3</xdr:row>
                    <xdr:rowOff>66675</xdr:rowOff>
                  </from>
                  <to>
                    <xdr:col>4</xdr:col>
                    <xdr:colOff>3838575</xdr:colOff>
                    <xdr:row>3</xdr:row>
                    <xdr:rowOff>323850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ODEL3">
    <tabColor indexed="42"/>
  </sheetPr>
  <dimension ref="A1:CT139"/>
  <sheetViews>
    <sheetView showGridLines="0" showOutlineSymbols="0" zoomScale="80" zoomScaleNormal="80" zoomScaleSheetLayoutView="100" workbookViewId="0">
      <pane xSplit="5" ySplit="4" topLeftCell="AD5" activePane="bottomRight" state="frozen"/>
      <selection pane="topRight" activeCell="AN63" sqref="AN63"/>
      <selection pane="bottomLeft" activeCell="AN63" sqref="AN63"/>
      <selection pane="bottomRight" activeCell="AR120" sqref="AR120"/>
    </sheetView>
  </sheetViews>
  <sheetFormatPr defaultColWidth="9.28515625" defaultRowHeight="12.75" outlineLevelCol="1"/>
  <cols>
    <col min="1" max="1" width="11.7109375" hidden="1" customWidth="1" outlineLevel="1" collapsed="1"/>
    <col min="2" max="2" width="10.28515625" customWidth="1" collapsed="1"/>
    <col min="3" max="3" width="2.7109375" customWidth="1"/>
    <col min="4" max="4" width="10" customWidth="1"/>
    <col min="5" max="5" width="56.7109375" customWidth="1"/>
    <col min="6" max="6" width="15.28515625" customWidth="1"/>
    <col min="7" max="7" width="2.28515625" customWidth="1"/>
    <col min="8" max="8" width="14.7109375" customWidth="1"/>
    <col min="9" max="9" width="2.28515625" customWidth="1"/>
    <col min="10" max="10" width="14.7109375" customWidth="1"/>
    <col min="11" max="11" width="2.28515625" customWidth="1"/>
    <col min="12" max="12" width="14.7109375" customWidth="1"/>
    <col min="13" max="13" width="2.28515625" customWidth="1"/>
    <col min="14" max="14" width="14.7109375" customWidth="1"/>
    <col min="15" max="15" width="2.28515625" customWidth="1"/>
    <col min="16" max="16" width="14.7109375" customWidth="1"/>
    <col min="17" max="17" width="2.28515625" customWidth="1"/>
    <col min="18" max="18" width="14.7109375" customWidth="1"/>
    <col min="19" max="19" width="2.28515625" customWidth="1"/>
    <col min="20" max="20" width="14.7109375" customWidth="1"/>
    <col min="21" max="21" width="2.28515625" customWidth="1"/>
    <col min="22" max="22" width="14.7109375" customWidth="1"/>
    <col min="23" max="23" width="2.28515625" customWidth="1"/>
    <col min="24" max="24" width="14.7109375" customWidth="1"/>
    <col min="25" max="25" width="2.28515625" customWidth="1"/>
    <col min="26" max="26" width="14.7109375" customWidth="1"/>
    <col min="27" max="27" width="2.28515625" customWidth="1"/>
    <col min="28" max="28" width="14.7109375" customWidth="1"/>
    <col min="29" max="29" width="2.28515625" customWidth="1"/>
    <col min="30" max="30" width="14.7109375" customWidth="1"/>
    <col min="31" max="31" width="2.28515625" customWidth="1"/>
    <col min="32" max="32" width="14.7109375" customWidth="1"/>
    <col min="33" max="33" width="2.28515625" customWidth="1"/>
    <col min="34" max="34" width="14.7109375" customWidth="1"/>
    <col min="35" max="35" width="2.28515625" customWidth="1"/>
    <col min="36" max="36" width="14.7109375" customWidth="1"/>
    <col min="37" max="37" width="2.28515625" customWidth="1"/>
    <col min="38" max="38" width="14.7109375" customWidth="1"/>
    <col min="39" max="39" width="2.28515625" customWidth="1"/>
    <col min="40" max="40" width="14.7109375" customWidth="1"/>
    <col min="41" max="41" width="2.28515625" customWidth="1"/>
    <col min="42" max="42" width="14.7109375" customWidth="1"/>
    <col min="43" max="43" width="2.28515625" customWidth="1"/>
    <col min="44" max="44" width="14.7109375" customWidth="1"/>
    <col min="45" max="45" width="2.28515625" customWidth="1"/>
    <col min="46" max="46" width="14.7109375" customWidth="1"/>
    <col min="47" max="47" width="2.28515625" customWidth="1"/>
    <col min="48" max="48" width="14.7109375" customWidth="1"/>
    <col min="49" max="49" width="2.28515625" customWidth="1"/>
    <col min="50" max="50" width="14.7109375" customWidth="1"/>
    <col min="51" max="51" width="2.28515625" customWidth="1"/>
    <col min="52" max="52" width="14.7109375" customWidth="1"/>
    <col min="53" max="53" width="2.28515625" customWidth="1"/>
    <col min="54" max="54" width="14.7109375" customWidth="1"/>
    <col min="55" max="55" width="2.28515625" customWidth="1"/>
    <col min="56" max="56" width="14.7109375" customWidth="1"/>
    <col min="57" max="57" width="2.28515625" customWidth="1"/>
    <col min="58" max="58" width="14.7109375" customWidth="1"/>
    <col min="59" max="59" width="2.28515625" customWidth="1"/>
    <col min="60" max="60" width="14.7109375" customWidth="1"/>
    <col min="61" max="61" width="2.28515625" customWidth="1"/>
    <col min="89" max="89" width="4.7109375" customWidth="1"/>
    <col min="92" max="92" width="13.140625" bestFit="1" customWidth="1"/>
  </cols>
  <sheetData>
    <row r="1" spans="1:98" ht="30" customHeight="1" thickBot="1">
      <c r="A1" t="s">
        <v>562</v>
      </c>
      <c r="B1" s="528" t="s">
        <v>563</v>
      </c>
      <c r="C1" s="529"/>
      <c r="D1" s="204" t="str">
        <f>intro!F7</f>
        <v>NO</v>
      </c>
      <c r="E1" s="15"/>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1"/>
      <c r="AI1" s="521"/>
      <c r="AJ1" s="521"/>
      <c r="AK1" s="521"/>
      <c r="CJ1" s="554" t="s">
        <v>214</v>
      </c>
      <c r="CK1" s="554" t="s">
        <v>218</v>
      </c>
      <c r="CL1" s="554" t="s">
        <v>222</v>
      </c>
      <c r="CM1" s="554" t="s">
        <v>225</v>
      </c>
      <c r="CN1" s="554" t="s">
        <v>1126</v>
      </c>
      <c r="CO1" s="554" t="s">
        <v>234</v>
      </c>
      <c r="CP1" s="554" t="s">
        <v>236</v>
      </c>
      <c r="CQ1" s="554" t="s">
        <v>238</v>
      </c>
      <c r="CR1" s="554" t="s">
        <v>259</v>
      </c>
      <c r="CS1" s="554" t="s">
        <v>240</v>
      </c>
      <c r="CT1" s="554" t="s">
        <v>242</v>
      </c>
    </row>
    <row r="2" spans="1:98" ht="30" customHeight="1" thickBot="1">
      <c r="B2" s="522" t="s">
        <v>564</v>
      </c>
      <c r="C2" s="523"/>
      <c r="D2" s="7" t="s">
        <v>53</v>
      </c>
      <c r="E2" s="297" t="s">
        <v>648</v>
      </c>
      <c r="F2" s="521"/>
      <c r="G2" s="521"/>
      <c r="H2" s="521"/>
      <c r="I2" s="521"/>
      <c r="J2" s="521"/>
      <c r="K2" s="521"/>
      <c r="L2" s="521"/>
      <c r="M2" s="521"/>
      <c r="N2" s="521"/>
      <c r="O2" s="521"/>
      <c r="P2" s="521"/>
      <c r="Q2" s="521"/>
      <c r="R2" s="521"/>
      <c r="S2" s="521"/>
      <c r="T2" s="521"/>
      <c r="U2" s="521"/>
      <c r="V2" s="521"/>
      <c r="W2" s="521"/>
      <c r="X2" s="521"/>
      <c r="Y2" s="521"/>
      <c r="Z2" s="521"/>
      <c r="AA2" s="521"/>
      <c r="AB2" s="521"/>
      <c r="AC2" s="521"/>
      <c r="AD2" s="521"/>
      <c r="AE2" s="521"/>
      <c r="AF2" s="521"/>
      <c r="AG2" s="521"/>
      <c r="AH2" s="521"/>
      <c r="AI2" s="521"/>
      <c r="AJ2" s="521"/>
      <c r="AK2" s="521"/>
      <c r="CJ2" s="554"/>
      <c r="CK2" s="554"/>
      <c r="CL2" s="554"/>
      <c r="CM2" s="554"/>
      <c r="CN2" s="554"/>
      <c r="CO2" s="554"/>
      <c r="CP2" s="554"/>
      <c r="CQ2" s="554"/>
      <c r="CR2" s="554"/>
      <c r="CS2" s="554"/>
      <c r="CT2" s="554"/>
    </row>
    <row r="3" spans="1:98" ht="30" customHeight="1" thickBot="1">
      <c r="A3" s="21" t="s">
        <v>647</v>
      </c>
      <c r="B3" s="524" t="s">
        <v>567</v>
      </c>
      <c r="C3" s="525" t="s">
        <v>568</v>
      </c>
      <c r="D3" s="526" t="s">
        <v>1173</v>
      </c>
      <c r="E3" s="527"/>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1"/>
      <c r="AI3" s="521"/>
      <c r="AJ3" s="521"/>
      <c r="AK3" s="521"/>
      <c r="AV3" s="511"/>
      <c r="AW3" s="511"/>
      <c r="CJ3" s="554"/>
      <c r="CK3" s="554"/>
      <c r="CL3" s="554"/>
      <c r="CM3" s="554"/>
      <c r="CN3" s="554"/>
      <c r="CO3" s="554"/>
      <c r="CP3" s="554"/>
      <c r="CQ3" s="554"/>
      <c r="CR3" s="554"/>
      <c r="CS3" s="554"/>
      <c r="CT3" s="554"/>
    </row>
    <row r="4" spans="1:98" ht="30" customHeight="1" thickBot="1">
      <c r="A4" s="22"/>
      <c r="B4" s="512" t="s">
        <v>570</v>
      </c>
      <c r="C4" s="513"/>
      <c r="D4" s="513"/>
      <c r="E4" s="514"/>
      <c r="F4" s="190">
        <v>1995</v>
      </c>
      <c r="G4" s="191"/>
      <c r="H4" s="192">
        <v>1996</v>
      </c>
      <c r="I4" s="191"/>
      <c r="J4" s="192">
        <v>1997</v>
      </c>
      <c r="K4" s="191"/>
      <c r="L4" s="192">
        <v>1998</v>
      </c>
      <c r="M4" s="191"/>
      <c r="N4" s="192">
        <v>1999</v>
      </c>
      <c r="O4" s="191"/>
      <c r="P4" s="192">
        <v>2000</v>
      </c>
      <c r="Q4" s="191"/>
      <c r="R4" s="192">
        <v>2001</v>
      </c>
      <c r="S4" s="191"/>
      <c r="T4" s="192">
        <v>2002</v>
      </c>
      <c r="U4" s="191"/>
      <c r="V4" s="192">
        <v>2003</v>
      </c>
      <c r="W4" s="191"/>
      <c r="X4" s="192">
        <v>2004</v>
      </c>
      <c r="Y4" s="191"/>
      <c r="Z4" s="192">
        <v>2005</v>
      </c>
      <c r="AA4" s="191"/>
      <c r="AB4" s="192">
        <v>2006</v>
      </c>
      <c r="AC4" s="191"/>
      <c r="AD4" s="192">
        <v>2007</v>
      </c>
      <c r="AE4" s="191"/>
      <c r="AF4" s="192">
        <v>2008</v>
      </c>
      <c r="AG4" s="191"/>
      <c r="AH4" s="192">
        <v>2009</v>
      </c>
      <c r="AI4" s="191"/>
      <c r="AJ4" s="192">
        <v>2010</v>
      </c>
      <c r="AK4" s="191"/>
      <c r="AL4" s="192">
        <v>2011</v>
      </c>
      <c r="AM4" s="191"/>
      <c r="AN4" s="192">
        <v>2012</v>
      </c>
      <c r="AO4" s="191"/>
      <c r="AP4" s="192">
        <v>2013</v>
      </c>
      <c r="AQ4" s="191"/>
      <c r="AR4" s="192">
        <v>2014</v>
      </c>
      <c r="AS4" s="191"/>
      <c r="AT4" s="192">
        <v>2015</v>
      </c>
      <c r="AU4" s="191"/>
      <c r="AV4" s="192">
        <v>2016</v>
      </c>
      <c r="AW4" s="191"/>
      <c r="AX4" s="192">
        <v>2017</v>
      </c>
      <c r="AY4" s="191"/>
      <c r="AZ4" s="192">
        <v>2018</v>
      </c>
      <c r="BA4" s="191"/>
      <c r="BB4" s="193">
        <v>2019</v>
      </c>
      <c r="BC4" s="191"/>
      <c r="BD4" s="193">
        <v>2020</v>
      </c>
      <c r="BE4" s="191"/>
      <c r="BF4" s="193">
        <v>2021</v>
      </c>
      <c r="BG4" s="191"/>
      <c r="BH4" s="67">
        <v>2022</v>
      </c>
      <c r="BI4" s="301"/>
      <c r="CJ4" s="149"/>
      <c r="CK4" s="149"/>
      <c r="CL4" s="149"/>
      <c r="CM4" s="149"/>
      <c r="CN4" s="149"/>
      <c r="CO4" s="149"/>
      <c r="CP4" s="149"/>
      <c r="CQ4" s="149"/>
      <c r="CR4" s="149"/>
      <c r="CS4" s="149"/>
      <c r="CT4" s="149"/>
    </row>
    <row r="5" spans="1:98" s="9" customFormat="1" ht="20.100000000000001" customHeight="1">
      <c r="A5" s="23"/>
      <c r="B5" s="515" t="str">
        <f>Parameters!Q4</f>
        <v>A_U   01-99</v>
      </c>
      <c r="C5" s="516"/>
      <c r="D5" s="517" t="str">
        <f>Parameters!S4</f>
        <v>Total industries</v>
      </c>
      <c r="E5" s="518"/>
      <c r="F5" s="220"/>
      <c r="G5" s="181"/>
      <c r="H5" s="221"/>
      <c r="I5" s="181"/>
      <c r="J5" s="221"/>
      <c r="K5" s="181"/>
      <c r="L5" s="221"/>
      <c r="M5" s="181"/>
      <c r="N5" s="221"/>
      <c r="O5" s="181"/>
      <c r="P5" s="221"/>
      <c r="Q5" s="181"/>
      <c r="R5" s="221"/>
      <c r="S5" s="181"/>
      <c r="T5" s="221"/>
      <c r="U5" s="181"/>
      <c r="V5" s="221"/>
      <c r="W5" s="181"/>
      <c r="X5" s="221"/>
      <c r="Y5" s="181"/>
      <c r="Z5" s="221"/>
      <c r="AA5" s="181"/>
      <c r="AB5" s="221"/>
      <c r="AC5" s="181"/>
      <c r="AD5" s="221"/>
      <c r="AE5" s="181"/>
      <c r="AF5" s="163">
        <v>10355.598023299999</v>
      </c>
      <c r="AG5" s="181"/>
      <c r="AH5" s="163">
        <v>8494.0170784999991</v>
      </c>
      <c r="AI5" s="181"/>
      <c r="AJ5" s="163">
        <v>8206.6284608999995</v>
      </c>
      <c r="AK5" s="181"/>
      <c r="AL5" s="163">
        <v>8337.0000189999992</v>
      </c>
      <c r="AM5" s="181"/>
      <c r="AN5" s="163">
        <v>8337.5950611000007</v>
      </c>
      <c r="AO5" s="181"/>
      <c r="AP5" s="163">
        <v>8272.9921615000003</v>
      </c>
      <c r="AQ5" s="181"/>
      <c r="AR5" s="163">
        <v>8323.4719571999995</v>
      </c>
      <c r="AS5" s="181"/>
      <c r="AT5" s="163">
        <v>8618.527204</v>
      </c>
      <c r="AU5" s="181"/>
      <c r="AV5" s="163">
        <v>8190.7187592999999</v>
      </c>
      <c r="AW5" s="181"/>
      <c r="AX5" s="163">
        <v>8115.7447917</v>
      </c>
      <c r="AY5" s="181"/>
      <c r="AZ5" s="163">
        <v>8105.2644270999999</v>
      </c>
      <c r="BA5" s="181"/>
      <c r="BB5" s="163">
        <v>8256.3814746000007</v>
      </c>
      <c r="BC5" s="181"/>
      <c r="BD5" s="163">
        <v>7956.5789379999997</v>
      </c>
      <c r="BE5" s="181"/>
      <c r="BF5" s="163">
        <v>7964.6856041000001</v>
      </c>
      <c r="BG5" s="181"/>
      <c r="BH5" s="221"/>
      <c r="BI5" s="183"/>
      <c r="CJ5" s="150" t="s">
        <v>271</v>
      </c>
      <c r="CK5" s="150" t="s">
        <v>219</v>
      </c>
      <c r="CL5" s="150" t="s">
        <v>1128</v>
      </c>
      <c r="CM5" s="150" t="s">
        <v>1129</v>
      </c>
      <c r="CN5" s="150" t="s">
        <v>1130</v>
      </c>
      <c r="CO5" s="150" t="s">
        <v>53</v>
      </c>
      <c r="CP5" s="150" t="s">
        <v>1131</v>
      </c>
      <c r="CQ5" s="150" t="s">
        <v>1132</v>
      </c>
      <c r="CR5" s="157">
        <v>0</v>
      </c>
      <c r="CS5" s="150" t="s">
        <v>1133</v>
      </c>
      <c r="CT5" s="150" t="s">
        <v>1134</v>
      </c>
    </row>
    <row r="6" spans="1:98" s="9" customFormat="1" ht="20.100000000000001" customHeight="1">
      <c r="A6" s="24"/>
      <c r="B6" s="83" t="str">
        <f>Parameters!Q5</f>
        <v>A</v>
      </c>
      <c r="C6" s="305"/>
      <c r="D6" s="519" t="str">
        <f>Parameters!S5</f>
        <v>Agriculture, forestry and fishing</v>
      </c>
      <c r="E6" s="520"/>
      <c r="F6" s="222"/>
      <c r="G6" s="379"/>
      <c r="H6" s="223"/>
      <c r="I6" s="379"/>
      <c r="J6" s="223"/>
      <c r="K6" s="379"/>
      <c r="L6" s="223"/>
      <c r="M6" s="379"/>
      <c r="N6" s="223"/>
      <c r="O6" s="379"/>
      <c r="P6" s="223"/>
      <c r="Q6" s="379"/>
      <c r="R6" s="223"/>
      <c r="S6" s="379"/>
      <c r="T6" s="223"/>
      <c r="U6" s="379"/>
      <c r="V6" s="223"/>
      <c r="W6" s="379"/>
      <c r="X6" s="223"/>
      <c r="Y6" s="379"/>
      <c r="Z6" s="223"/>
      <c r="AA6" s="379"/>
      <c r="AB6" s="223"/>
      <c r="AC6" s="379"/>
      <c r="AD6" s="223"/>
      <c r="AE6" s="379"/>
      <c r="AF6" s="164">
        <v>5921.0768803000001</v>
      </c>
      <c r="AG6" s="379"/>
      <c r="AH6" s="164">
        <v>5762.4131189</v>
      </c>
      <c r="AI6" s="379"/>
      <c r="AJ6" s="164">
        <v>5571.3992820000003</v>
      </c>
      <c r="AK6" s="379"/>
      <c r="AL6" s="164">
        <v>5703.8388096999997</v>
      </c>
      <c r="AM6" s="379"/>
      <c r="AN6" s="164">
        <v>5727.0484070000002</v>
      </c>
      <c r="AO6" s="379"/>
      <c r="AP6" s="164">
        <v>5799.0078899999999</v>
      </c>
      <c r="AQ6" s="379"/>
      <c r="AR6" s="164">
        <v>5952.5994735000004</v>
      </c>
      <c r="AS6" s="379"/>
      <c r="AT6" s="164">
        <v>6033.5239766000004</v>
      </c>
      <c r="AU6" s="379"/>
      <c r="AV6" s="164">
        <v>6031.0329376</v>
      </c>
      <c r="AW6" s="379"/>
      <c r="AX6" s="164">
        <v>5968.2814775999996</v>
      </c>
      <c r="AY6" s="379"/>
      <c r="AZ6" s="164">
        <v>5925.0994549999996</v>
      </c>
      <c r="BA6" s="379"/>
      <c r="BB6" s="164">
        <v>6051.9010233999998</v>
      </c>
      <c r="BC6" s="379"/>
      <c r="BD6" s="164">
        <v>6064.3829766999997</v>
      </c>
      <c r="BE6" s="379"/>
      <c r="BF6" s="164">
        <v>6128.3119593000001</v>
      </c>
      <c r="BG6" s="379"/>
      <c r="BH6" s="223"/>
      <c r="BI6" s="184"/>
      <c r="CJ6" s="150"/>
      <c r="CK6" s="150"/>
      <c r="CL6" s="150"/>
      <c r="CM6" s="151" t="s">
        <v>206</v>
      </c>
      <c r="CN6" s="150" t="s">
        <v>1130</v>
      </c>
      <c r="CO6" s="150"/>
      <c r="CP6" s="150"/>
      <c r="CQ6" s="150"/>
      <c r="CR6" s="150"/>
      <c r="CS6" s="150"/>
      <c r="CT6" s="150"/>
    </row>
    <row r="7" spans="1:98" s="10" customFormat="1" ht="12.75" customHeight="1">
      <c r="A7" s="307"/>
      <c r="B7" s="308" t="str">
        <f>Parameters!Q6</f>
        <v>A01</v>
      </c>
      <c r="C7" s="309"/>
      <c r="D7" s="495" t="str">
        <f>Parameters!S6</f>
        <v>Crop and animal production, hunting and related service activities</v>
      </c>
      <c r="E7" s="510"/>
      <c r="F7" s="224"/>
      <c r="G7" s="379"/>
      <c r="H7" s="225"/>
      <c r="I7" s="379"/>
      <c r="J7" s="225"/>
      <c r="K7" s="379"/>
      <c r="L7" s="225"/>
      <c r="M7" s="379"/>
      <c r="N7" s="225"/>
      <c r="O7" s="379"/>
      <c r="P7" s="225"/>
      <c r="Q7" s="379"/>
      <c r="R7" s="225"/>
      <c r="S7" s="379"/>
      <c r="T7" s="225"/>
      <c r="U7" s="379"/>
      <c r="V7" s="225"/>
      <c r="W7" s="379"/>
      <c r="X7" s="225"/>
      <c r="Y7" s="379"/>
      <c r="Z7" s="225"/>
      <c r="AA7" s="379"/>
      <c r="AB7" s="225"/>
      <c r="AC7" s="379"/>
      <c r="AD7" s="225"/>
      <c r="AE7" s="379"/>
      <c r="AF7" s="165">
        <v>5900.8581142000003</v>
      </c>
      <c r="AG7" s="379"/>
      <c r="AH7" s="165">
        <v>5740.1818327999999</v>
      </c>
      <c r="AI7" s="379"/>
      <c r="AJ7" s="165">
        <v>5551.4403334999997</v>
      </c>
      <c r="AK7" s="379"/>
      <c r="AL7" s="165">
        <v>5685.6704933000001</v>
      </c>
      <c r="AM7" s="379"/>
      <c r="AN7" s="165">
        <v>5708.0632064000001</v>
      </c>
      <c r="AO7" s="379"/>
      <c r="AP7" s="165">
        <v>5781.8533638999997</v>
      </c>
      <c r="AQ7" s="379"/>
      <c r="AR7" s="165">
        <v>5935.0714262000001</v>
      </c>
      <c r="AS7" s="379"/>
      <c r="AT7" s="165">
        <v>6015.5265748000002</v>
      </c>
      <c r="AU7" s="379"/>
      <c r="AV7" s="165">
        <v>6012.2587278000001</v>
      </c>
      <c r="AW7" s="379"/>
      <c r="AX7" s="165">
        <v>5947.5091843999999</v>
      </c>
      <c r="AY7" s="379"/>
      <c r="AZ7" s="165">
        <v>5902.6761008000003</v>
      </c>
      <c r="BA7" s="379"/>
      <c r="BB7" s="165">
        <v>6030.0802095999998</v>
      </c>
      <c r="BC7" s="379"/>
      <c r="BD7" s="165">
        <v>6040.0861206</v>
      </c>
      <c r="BE7" s="379"/>
      <c r="BF7" s="165">
        <v>6102.8185892000001</v>
      </c>
      <c r="BG7" s="379"/>
      <c r="BH7" s="225"/>
      <c r="BI7" s="184"/>
      <c r="CJ7" s="150"/>
      <c r="CK7" s="150"/>
      <c r="CL7" s="150"/>
      <c r="CM7" s="151" t="s">
        <v>650</v>
      </c>
      <c r="CN7" s="150" t="s">
        <v>1130</v>
      </c>
      <c r="CO7" s="150"/>
      <c r="CP7" s="150"/>
      <c r="CQ7" s="150"/>
      <c r="CR7" s="150"/>
      <c r="CS7" s="150"/>
      <c r="CT7" s="150"/>
    </row>
    <row r="8" spans="1:98" s="11" customFormat="1" ht="12.75" customHeight="1">
      <c r="A8" s="307"/>
      <c r="B8" s="308" t="str">
        <f>Parameters!Q7</f>
        <v>A02</v>
      </c>
      <c r="C8" s="309"/>
      <c r="D8" s="495" t="str">
        <f>Parameters!S7</f>
        <v>Forestry and logging</v>
      </c>
      <c r="E8" s="530"/>
      <c r="F8" s="224"/>
      <c r="G8" s="379"/>
      <c r="H8" s="225"/>
      <c r="I8" s="379"/>
      <c r="J8" s="225"/>
      <c r="K8" s="379"/>
      <c r="L8" s="225"/>
      <c r="M8" s="379"/>
      <c r="N8" s="225"/>
      <c r="O8" s="379"/>
      <c r="P8" s="225"/>
      <c r="Q8" s="379"/>
      <c r="R8" s="225"/>
      <c r="S8" s="379"/>
      <c r="T8" s="225"/>
      <c r="U8" s="379"/>
      <c r="V8" s="225"/>
      <c r="W8" s="379"/>
      <c r="X8" s="225"/>
      <c r="Y8" s="379"/>
      <c r="Z8" s="225"/>
      <c r="AA8" s="379"/>
      <c r="AB8" s="225"/>
      <c r="AC8" s="379"/>
      <c r="AD8" s="225"/>
      <c r="AE8" s="379"/>
      <c r="AF8" s="165">
        <v>1.3948768</v>
      </c>
      <c r="AG8" s="379"/>
      <c r="AH8" s="165">
        <v>1.3963684999999999</v>
      </c>
      <c r="AI8" s="379"/>
      <c r="AJ8" s="165">
        <v>2.4459287999999999</v>
      </c>
      <c r="AK8" s="379"/>
      <c r="AL8" s="165">
        <v>2.4003158999999998</v>
      </c>
      <c r="AM8" s="379"/>
      <c r="AN8" s="165">
        <v>2.9444221000000002</v>
      </c>
      <c r="AO8" s="379"/>
      <c r="AP8" s="165">
        <v>2.7368568999999998</v>
      </c>
      <c r="AQ8" s="379"/>
      <c r="AR8" s="165">
        <v>1.9558827999999999</v>
      </c>
      <c r="AS8" s="379"/>
      <c r="AT8" s="165">
        <v>1.8694999000000001</v>
      </c>
      <c r="AU8" s="379"/>
      <c r="AV8" s="165">
        <v>1.9255698000000001</v>
      </c>
      <c r="AW8" s="379"/>
      <c r="AX8" s="165">
        <v>1.9141492</v>
      </c>
      <c r="AY8" s="379"/>
      <c r="AZ8" s="165">
        <v>1.8985618</v>
      </c>
      <c r="BA8" s="379"/>
      <c r="BB8" s="165">
        <v>1.6523147</v>
      </c>
      <c r="BC8" s="379"/>
      <c r="BD8" s="165">
        <v>1.790354</v>
      </c>
      <c r="BE8" s="379"/>
      <c r="BF8" s="165">
        <v>2.5219005999999999</v>
      </c>
      <c r="BG8" s="379"/>
      <c r="BH8" s="225"/>
      <c r="BI8" s="184"/>
      <c r="CJ8" s="150"/>
      <c r="CK8" s="150"/>
      <c r="CL8" s="150"/>
      <c r="CM8" s="151" t="s">
        <v>657</v>
      </c>
      <c r="CN8" s="150" t="s">
        <v>1130</v>
      </c>
      <c r="CO8" s="150"/>
      <c r="CP8" s="150"/>
      <c r="CQ8" s="150"/>
      <c r="CR8" s="150"/>
      <c r="CS8" s="150"/>
      <c r="CT8" s="150"/>
    </row>
    <row r="9" spans="1:98" s="11" customFormat="1" ht="12.75" customHeight="1">
      <c r="A9" s="310"/>
      <c r="B9" s="308" t="str">
        <f>Parameters!Q8</f>
        <v>A03</v>
      </c>
      <c r="C9" s="309"/>
      <c r="D9" s="495" t="str">
        <f>Parameters!S8</f>
        <v>Fishing and aquaculture</v>
      </c>
      <c r="E9" s="497"/>
      <c r="F9" s="224"/>
      <c r="G9" s="379"/>
      <c r="H9" s="225"/>
      <c r="I9" s="379"/>
      <c r="J9" s="225"/>
      <c r="K9" s="379"/>
      <c r="L9" s="225"/>
      <c r="M9" s="379"/>
      <c r="N9" s="225"/>
      <c r="O9" s="379"/>
      <c r="P9" s="225"/>
      <c r="Q9" s="379"/>
      <c r="R9" s="225"/>
      <c r="S9" s="379"/>
      <c r="T9" s="225"/>
      <c r="U9" s="379"/>
      <c r="V9" s="225"/>
      <c r="W9" s="379"/>
      <c r="X9" s="225"/>
      <c r="Y9" s="379"/>
      <c r="Z9" s="225"/>
      <c r="AA9" s="379"/>
      <c r="AB9" s="225"/>
      <c r="AC9" s="379"/>
      <c r="AD9" s="225"/>
      <c r="AE9" s="379"/>
      <c r="AF9" s="165">
        <v>18.8238892</v>
      </c>
      <c r="AG9" s="379"/>
      <c r="AH9" s="165">
        <v>20.8349175</v>
      </c>
      <c r="AI9" s="379"/>
      <c r="AJ9" s="165">
        <v>17.513019700000001</v>
      </c>
      <c r="AK9" s="379"/>
      <c r="AL9" s="165">
        <v>15.768000600000001</v>
      </c>
      <c r="AM9" s="379"/>
      <c r="AN9" s="165">
        <v>16.040778499999998</v>
      </c>
      <c r="AO9" s="379"/>
      <c r="AP9" s="165">
        <v>14.417669200000001</v>
      </c>
      <c r="AQ9" s="379"/>
      <c r="AR9" s="165">
        <v>15.5721644</v>
      </c>
      <c r="AS9" s="379"/>
      <c r="AT9" s="165">
        <v>16.127901900000001</v>
      </c>
      <c r="AU9" s="379"/>
      <c r="AV9" s="165">
        <v>16.84864</v>
      </c>
      <c r="AW9" s="379"/>
      <c r="AX9" s="165">
        <v>18.858143900000002</v>
      </c>
      <c r="AY9" s="379"/>
      <c r="AZ9" s="165">
        <v>20.524792399999999</v>
      </c>
      <c r="BA9" s="379"/>
      <c r="BB9" s="165">
        <v>20.168499099999998</v>
      </c>
      <c r="BC9" s="379"/>
      <c r="BD9" s="165">
        <v>22.5065022</v>
      </c>
      <c r="BE9" s="379"/>
      <c r="BF9" s="165">
        <v>22.971469599999999</v>
      </c>
      <c r="BG9" s="379"/>
      <c r="BH9" s="225"/>
      <c r="BI9" s="184"/>
      <c r="CJ9" s="150"/>
      <c r="CK9" s="150"/>
      <c r="CL9" s="150"/>
      <c r="CM9" s="151" t="s">
        <v>665</v>
      </c>
      <c r="CN9" s="150" t="s">
        <v>1130</v>
      </c>
      <c r="CO9" s="150"/>
      <c r="CP9" s="150"/>
      <c r="CQ9" s="150"/>
      <c r="CR9" s="150"/>
      <c r="CS9" s="150"/>
      <c r="CT9" s="150"/>
    </row>
    <row r="10" spans="1:98" s="10" customFormat="1" ht="12.75" customHeight="1">
      <c r="A10" s="25"/>
      <c r="B10" s="87" t="str">
        <f>Parameters!Q9</f>
        <v>B</v>
      </c>
      <c r="C10" s="88"/>
      <c r="D10" s="498" t="str">
        <f>Parameters!S9</f>
        <v>Mining and quarrying</v>
      </c>
      <c r="E10" s="507"/>
      <c r="F10" s="222"/>
      <c r="G10" s="379"/>
      <c r="H10" s="223"/>
      <c r="I10" s="379"/>
      <c r="J10" s="223"/>
      <c r="K10" s="379"/>
      <c r="L10" s="223"/>
      <c r="M10" s="379"/>
      <c r="N10" s="223"/>
      <c r="O10" s="379"/>
      <c r="P10" s="223"/>
      <c r="Q10" s="379"/>
      <c r="R10" s="223"/>
      <c r="S10" s="379"/>
      <c r="T10" s="223"/>
      <c r="U10" s="379"/>
      <c r="V10" s="223"/>
      <c r="W10" s="379"/>
      <c r="X10" s="223"/>
      <c r="Y10" s="379"/>
      <c r="Z10" s="223"/>
      <c r="AA10" s="379"/>
      <c r="AB10" s="223"/>
      <c r="AC10" s="379"/>
      <c r="AD10" s="223"/>
      <c r="AE10" s="379"/>
      <c r="AF10" s="164">
        <v>59.704639499999999</v>
      </c>
      <c r="AG10" s="379"/>
      <c r="AH10" s="164">
        <v>49.522143</v>
      </c>
      <c r="AI10" s="379"/>
      <c r="AJ10" s="164">
        <v>61.598470900000002</v>
      </c>
      <c r="AK10" s="379"/>
      <c r="AL10" s="164">
        <v>61.197657200000002</v>
      </c>
      <c r="AM10" s="379"/>
      <c r="AN10" s="164">
        <v>58.3867671</v>
      </c>
      <c r="AO10" s="379"/>
      <c r="AP10" s="164">
        <v>61.5172363</v>
      </c>
      <c r="AQ10" s="379"/>
      <c r="AR10" s="164">
        <v>61.103577199999997</v>
      </c>
      <c r="AS10" s="379"/>
      <c r="AT10" s="164">
        <v>58.962095400000003</v>
      </c>
      <c r="AU10" s="379"/>
      <c r="AV10" s="164">
        <v>57.577197099999999</v>
      </c>
      <c r="AW10" s="379"/>
      <c r="AX10" s="164">
        <v>52.858696100000003</v>
      </c>
      <c r="AY10" s="379"/>
      <c r="AZ10" s="164">
        <v>54.2886904</v>
      </c>
      <c r="BA10" s="379"/>
      <c r="BB10" s="164">
        <v>54.034896099999997</v>
      </c>
      <c r="BC10" s="379"/>
      <c r="BD10" s="164">
        <v>52.067263099999998</v>
      </c>
      <c r="BE10" s="379"/>
      <c r="BF10" s="164">
        <v>49.047642600000003</v>
      </c>
      <c r="BG10" s="379"/>
      <c r="BH10" s="223"/>
      <c r="BI10" s="184"/>
      <c r="CJ10" s="150"/>
      <c r="CK10" s="150"/>
      <c r="CL10" s="150"/>
      <c r="CM10" s="151" t="s">
        <v>267</v>
      </c>
      <c r="CN10" s="150" t="s">
        <v>1130</v>
      </c>
      <c r="CO10" s="150"/>
      <c r="CP10" s="150"/>
      <c r="CQ10" s="150"/>
      <c r="CR10" s="150"/>
      <c r="CS10" s="150"/>
      <c r="CT10" s="150"/>
    </row>
    <row r="11" spans="1:98" s="10" customFormat="1" ht="12.75" customHeight="1">
      <c r="A11" s="25"/>
      <c r="B11" s="87" t="str">
        <f>Parameters!Q10</f>
        <v>C</v>
      </c>
      <c r="C11" s="88"/>
      <c r="D11" s="498" t="str">
        <f>Parameters!S10</f>
        <v>Manufacturing</v>
      </c>
      <c r="E11" s="499"/>
      <c r="F11" s="222"/>
      <c r="G11" s="379"/>
      <c r="H11" s="223"/>
      <c r="I11" s="379"/>
      <c r="J11" s="223"/>
      <c r="K11" s="379"/>
      <c r="L11" s="223"/>
      <c r="M11" s="379"/>
      <c r="N11" s="223"/>
      <c r="O11" s="379"/>
      <c r="P11" s="223"/>
      <c r="Q11" s="379"/>
      <c r="R11" s="223"/>
      <c r="S11" s="379"/>
      <c r="T11" s="223"/>
      <c r="U11" s="379"/>
      <c r="V11" s="223"/>
      <c r="W11" s="379"/>
      <c r="X11" s="223"/>
      <c r="Y11" s="379"/>
      <c r="Z11" s="223"/>
      <c r="AA11" s="379"/>
      <c r="AB11" s="223"/>
      <c r="AC11" s="379"/>
      <c r="AD11" s="223"/>
      <c r="AE11" s="379"/>
      <c r="AF11" s="164">
        <v>3605.8153502</v>
      </c>
      <c r="AG11" s="379"/>
      <c r="AH11" s="247">
        <v>1932.9807773</v>
      </c>
      <c r="AI11" s="379" t="s">
        <v>424</v>
      </c>
      <c r="AJ11" s="164">
        <v>1794.0312831000001</v>
      </c>
      <c r="AK11" s="379"/>
      <c r="AL11" s="164">
        <v>1637.6241844000001</v>
      </c>
      <c r="AM11" s="379"/>
      <c r="AN11" s="164">
        <v>1583.3009546000001</v>
      </c>
      <c r="AO11" s="379"/>
      <c r="AP11" s="164">
        <v>1415.7756965999999</v>
      </c>
      <c r="AQ11" s="379"/>
      <c r="AR11" s="164">
        <v>1331.6897197000001</v>
      </c>
      <c r="AS11" s="379"/>
      <c r="AT11" s="164">
        <v>1367.2202061999999</v>
      </c>
      <c r="AU11" s="379"/>
      <c r="AV11" s="164">
        <v>1134.2551317</v>
      </c>
      <c r="AW11" s="379"/>
      <c r="AX11" s="164">
        <v>1034.2667942</v>
      </c>
      <c r="AY11" s="379"/>
      <c r="AZ11" s="164">
        <v>984.1436228</v>
      </c>
      <c r="BA11" s="379"/>
      <c r="BB11" s="164">
        <v>972.95515269999999</v>
      </c>
      <c r="BC11" s="379"/>
      <c r="BD11" s="164">
        <v>813.95716679999998</v>
      </c>
      <c r="BE11" s="379"/>
      <c r="BF11" s="164">
        <v>760.64632040000004</v>
      </c>
      <c r="BG11" s="379"/>
      <c r="BH11" s="223"/>
      <c r="BI11" s="184"/>
      <c r="CJ11" s="150"/>
      <c r="CK11" s="150"/>
      <c r="CL11" s="150"/>
      <c r="CM11" s="151" t="s">
        <v>273</v>
      </c>
      <c r="CN11" s="150" t="s">
        <v>1130</v>
      </c>
      <c r="CO11" s="150"/>
      <c r="CP11" s="150"/>
      <c r="CQ11" s="150"/>
      <c r="CR11" s="150"/>
      <c r="CS11" s="150"/>
      <c r="CT11" s="150"/>
    </row>
    <row r="12" spans="1:98" s="10" customFormat="1" ht="12.75" customHeight="1">
      <c r="A12" s="26"/>
      <c r="B12" s="89" t="str">
        <f>Parameters!Q11</f>
        <v>C10-C12</v>
      </c>
      <c r="C12" s="90"/>
      <c r="D12" s="504" t="str">
        <f>Parameters!S11</f>
        <v>Manufacture of food products, beverages and tobacco
products</v>
      </c>
      <c r="E12" s="505"/>
      <c r="F12" s="226"/>
      <c r="G12" s="379"/>
      <c r="H12" s="227"/>
      <c r="I12" s="379"/>
      <c r="J12" s="227"/>
      <c r="K12" s="379"/>
      <c r="L12" s="227"/>
      <c r="M12" s="379"/>
      <c r="N12" s="227"/>
      <c r="O12" s="379"/>
      <c r="P12" s="227"/>
      <c r="Q12" s="379"/>
      <c r="R12" s="227"/>
      <c r="S12" s="379"/>
      <c r="T12" s="227"/>
      <c r="U12" s="379"/>
      <c r="V12" s="227"/>
      <c r="W12" s="379"/>
      <c r="X12" s="227"/>
      <c r="Y12" s="379"/>
      <c r="Z12" s="227"/>
      <c r="AA12" s="379"/>
      <c r="AB12" s="227"/>
      <c r="AC12" s="379"/>
      <c r="AD12" s="227"/>
      <c r="AE12" s="379"/>
      <c r="AF12" s="166">
        <v>4.9239306000000003</v>
      </c>
      <c r="AG12" s="379"/>
      <c r="AH12" s="166">
        <v>3.8624394999999998</v>
      </c>
      <c r="AI12" s="379"/>
      <c r="AJ12" s="166">
        <v>6.6542500000000002</v>
      </c>
      <c r="AK12" s="379"/>
      <c r="AL12" s="166">
        <v>6.4280426999999998</v>
      </c>
      <c r="AM12" s="379"/>
      <c r="AN12" s="166">
        <v>6.9941661000000002</v>
      </c>
      <c r="AO12" s="379"/>
      <c r="AP12" s="166">
        <v>8.9883051999999992</v>
      </c>
      <c r="AQ12" s="379"/>
      <c r="AR12" s="166">
        <v>6.0314375</v>
      </c>
      <c r="AS12" s="379"/>
      <c r="AT12" s="166">
        <v>6.5157781000000004</v>
      </c>
      <c r="AU12" s="379"/>
      <c r="AV12" s="166">
        <v>6.8906939999999999</v>
      </c>
      <c r="AW12" s="379"/>
      <c r="AX12" s="166">
        <v>6.5931781000000003</v>
      </c>
      <c r="AY12" s="379"/>
      <c r="AZ12" s="166">
        <v>7.5404036999999997</v>
      </c>
      <c r="BA12" s="379"/>
      <c r="BB12" s="166">
        <v>6.9020006</v>
      </c>
      <c r="BC12" s="379"/>
      <c r="BD12" s="166">
        <v>8.7089034999999999</v>
      </c>
      <c r="BE12" s="379"/>
      <c r="BF12" s="166">
        <v>7.8601140000000003</v>
      </c>
      <c r="BG12" s="379"/>
      <c r="BH12" s="227"/>
      <c r="BI12" s="184"/>
      <c r="CJ12" s="150"/>
      <c r="CK12" s="150"/>
      <c r="CL12" s="150"/>
      <c r="CM12" s="152" t="s">
        <v>1135</v>
      </c>
      <c r="CN12" s="150" t="s">
        <v>1130</v>
      </c>
      <c r="CO12" s="150"/>
      <c r="CP12" s="150"/>
      <c r="CQ12" s="150"/>
      <c r="CR12" s="150"/>
      <c r="CS12" s="150"/>
      <c r="CT12" s="150"/>
    </row>
    <row r="13" spans="1:98" s="10" customFormat="1" ht="12.75" customHeight="1">
      <c r="A13" s="26"/>
      <c r="B13" s="89" t="str">
        <f>Parameters!Q12</f>
        <v>C13-C15</v>
      </c>
      <c r="C13" s="90"/>
      <c r="D13" s="504" t="str">
        <f>Parameters!S12</f>
        <v>Manufacture of textiles, wearing apparel and leather products</v>
      </c>
      <c r="E13" s="506"/>
      <c r="F13" s="226"/>
      <c r="G13" s="379"/>
      <c r="H13" s="227"/>
      <c r="I13" s="379"/>
      <c r="J13" s="227"/>
      <c r="K13" s="379"/>
      <c r="L13" s="227"/>
      <c r="M13" s="379"/>
      <c r="N13" s="227"/>
      <c r="O13" s="379"/>
      <c r="P13" s="227"/>
      <c r="Q13" s="379"/>
      <c r="R13" s="227"/>
      <c r="S13" s="379"/>
      <c r="T13" s="227"/>
      <c r="U13" s="379"/>
      <c r="V13" s="227"/>
      <c r="W13" s="379"/>
      <c r="X13" s="227"/>
      <c r="Y13" s="379"/>
      <c r="Z13" s="227"/>
      <c r="AA13" s="379"/>
      <c r="AB13" s="227"/>
      <c r="AC13" s="379"/>
      <c r="AD13" s="227"/>
      <c r="AE13" s="379"/>
      <c r="AF13" s="166">
        <v>7.5409699999999996E-2</v>
      </c>
      <c r="AG13" s="379"/>
      <c r="AH13" s="166">
        <v>6.6079299999999994E-2</v>
      </c>
      <c r="AI13" s="379"/>
      <c r="AJ13" s="166">
        <v>5.3839100000000001E-2</v>
      </c>
      <c r="AK13" s="379"/>
      <c r="AL13" s="166">
        <v>4.3797599999999999E-2</v>
      </c>
      <c r="AM13" s="379"/>
      <c r="AN13" s="166">
        <v>3.3607600000000001E-2</v>
      </c>
      <c r="AO13" s="379"/>
      <c r="AP13" s="166">
        <v>5.0162600000000002E-2</v>
      </c>
      <c r="AQ13" s="379"/>
      <c r="AR13" s="166">
        <v>7.0341899999999999E-2</v>
      </c>
      <c r="AS13" s="379"/>
      <c r="AT13" s="166">
        <v>6.0510500000000002E-2</v>
      </c>
      <c r="AU13" s="379"/>
      <c r="AV13" s="166">
        <v>8.4150299999999997E-2</v>
      </c>
      <c r="AW13" s="379"/>
      <c r="AX13" s="166">
        <v>8.1711400000000003E-2</v>
      </c>
      <c r="AY13" s="379"/>
      <c r="AZ13" s="166">
        <v>5.7642600000000002E-2</v>
      </c>
      <c r="BA13" s="379"/>
      <c r="BB13" s="166">
        <v>6.7132999999999998E-2</v>
      </c>
      <c r="BC13" s="379"/>
      <c r="BD13" s="166">
        <v>9.5482399999999995E-2</v>
      </c>
      <c r="BE13" s="379"/>
      <c r="BF13" s="166">
        <v>6.0476700000000001E-2</v>
      </c>
      <c r="BG13" s="379"/>
      <c r="BH13" s="227"/>
      <c r="BI13" s="184"/>
      <c r="CJ13" s="150"/>
      <c r="CK13" s="150"/>
      <c r="CL13" s="150"/>
      <c r="CM13" s="151" t="s">
        <v>1136</v>
      </c>
      <c r="CN13" s="150" t="s">
        <v>1130</v>
      </c>
      <c r="CO13" s="150"/>
      <c r="CP13" s="150"/>
      <c r="CQ13" s="150"/>
      <c r="CR13" s="150"/>
      <c r="CS13" s="150"/>
      <c r="CT13" s="150"/>
    </row>
    <row r="14" spans="1:98" s="10" customFormat="1">
      <c r="A14" s="26"/>
      <c r="B14" s="89" t="str">
        <f>Parameters!Q13</f>
        <v>C16-C18</v>
      </c>
      <c r="C14" s="90"/>
      <c r="D14" s="504" t="str">
        <f>Parameters!S13</f>
        <v>Manufacture of wood, paper, printing and reproduction</v>
      </c>
      <c r="E14" s="506"/>
      <c r="F14" s="252"/>
      <c r="G14" s="380"/>
      <c r="H14" s="253"/>
      <c r="I14" s="380"/>
      <c r="J14" s="253"/>
      <c r="K14" s="380"/>
      <c r="L14" s="253"/>
      <c r="M14" s="380"/>
      <c r="N14" s="253"/>
      <c r="O14" s="380"/>
      <c r="P14" s="253"/>
      <c r="Q14" s="380"/>
      <c r="R14" s="253"/>
      <c r="S14" s="380"/>
      <c r="T14" s="253"/>
      <c r="U14" s="380"/>
      <c r="V14" s="253"/>
      <c r="W14" s="380"/>
      <c r="X14" s="253"/>
      <c r="Y14" s="380"/>
      <c r="Z14" s="253"/>
      <c r="AA14" s="380"/>
      <c r="AB14" s="253"/>
      <c r="AC14" s="380"/>
      <c r="AD14" s="253"/>
      <c r="AE14" s="380"/>
      <c r="AF14" s="253">
        <v>54.126013899999997</v>
      </c>
      <c r="AG14" s="380"/>
      <c r="AH14" s="253">
        <v>44.538609600000001</v>
      </c>
      <c r="AI14" s="380"/>
      <c r="AJ14" s="253">
        <v>52.735017399999997</v>
      </c>
      <c r="AK14" s="380"/>
      <c r="AL14" s="253">
        <v>53.9121551</v>
      </c>
      <c r="AM14" s="380"/>
      <c r="AN14" s="253">
        <v>39.199086899999998</v>
      </c>
      <c r="AO14" s="380"/>
      <c r="AP14" s="253">
        <v>36.4458658</v>
      </c>
      <c r="AQ14" s="380"/>
      <c r="AR14" s="253">
        <v>25.501318900000001</v>
      </c>
      <c r="AS14" s="380"/>
      <c r="AT14" s="253">
        <v>27.709173799999999</v>
      </c>
      <c r="AU14" s="380"/>
      <c r="AV14" s="253">
        <v>27.331841900000001</v>
      </c>
      <c r="AW14" s="380"/>
      <c r="AX14" s="253">
        <v>30.7229752</v>
      </c>
      <c r="AY14" s="380"/>
      <c r="AZ14" s="253">
        <v>31.948318</v>
      </c>
      <c r="BA14" s="380"/>
      <c r="BB14" s="253">
        <v>32.846926799999999</v>
      </c>
      <c r="BC14" s="380"/>
      <c r="BD14" s="253">
        <v>32.348604600000002</v>
      </c>
      <c r="BE14" s="380"/>
      <c r="BF14" s="253">
        <v>34.788216900000002</v>
      </c>
      <c r="BG14" s="380"/>
      <c r="BH14" s="253"/>
      <c r="BI14" s="254"/>
      <c r="CJ14" s="150"/>
      <c r="CK14" s="150"/>
      <c r="CL14" s="150"/>
      <c r="CM14" s="151"/>
      <c r="CN14" s="150"/>
      <c r="CO14" s="150"/>
      <c r="CP14" s="150"/>
      <c r="CQ14" s="150"/>
      <c r="CR14" s="150"/>
      <c r="CS14" s="150"/>
      <c r="CT14" s="150"/>
    </row>
    <row r="15" spans="1:98" s="12" customFormat="1" ht="22.5" customHeight="1">
      <c r="A15" s="310"/>
      <c r="B15" s="308" t="str">
        <f>Parameters!Q14</f>
        <v>C16</v>
      </c>
      <c r="C15" s="94"/>
      <c r="D15" s="495" t="str">
        <f>Parameters!S14</f>
        <v>Manufacture of wood and of products of wood and cork, except furniture; manufacture of articles of straw and plaiting materials</v>
      </c>
      <c r="E15" s="496"/>
      <c r="F15" s="224"/>
      <c r="G15" s="379"/>
      <c r="H15" s="225"/>
      <c r="I15" s="379"/>
      <c r="J15" s="225"/>
      <c r="K15" s="379"/>
      <c r="L15" s="225"/>
      <c r="M15" s="379"/>
      <c r="N15" s="225"/>
      <c r="O15" s="379"/>
      <c r="P15" s="225"/>
      <c r="Q15" s="379"/>
      <c r="R15" s="225"/>
      <c r="S15" s="379"/>
      <c r="T15" s="225"/>
      <c r="U15" s="379"/>
      <c r="V15" s="225"/>
      <c r="W15" s="379"/>
      <c r="X15" s="225"/>
      <c r="Y15" s="379"/>
      <c r="Z15" s="225"/>
      <c r="AA15" s="379"/>
      <c r="AB15" s="225"/>
      <c r="AC15" s="379"/>
      <c r="AD15" s="225"/>
      <c r="AE15" s="379"/>
      <c r="AF15" s="165">
        <v>11.305769099999999</v>
      </c>
      <c r="AG15" s="379"/>
      <c r="AH15" s="165">
        <v>9.7729950999999993</v>
      </c>
      <c r="AI15" s="379"/>
      <c r="AJ15" s="165">
        <v>11.9404158</v>
      </c>
      <c r="AK15" s="379"/>
      <c r="AL15" s="165">
        <v>13.3054845</v>
      </c>
      <c r="AM15" s="379"/>
      <c r="AN15" s="165">
        <v>12.6445867</v>
      </c>
      <c r="AO15" s="379"/>
      <c r="AP15" s="165">
        <v>12.4454513</v>
      </c>
      <c r="AQ15" s="379"/>
      <c r="AR15" s="165">
        <v>12.021664400000001</v>
      </c>
      <c r="AS15" s="379"/>
      <c r="AT15" s="165">
        <v>13.6642955</v>
      </c>
      <c r="AU15" s="379"/>
      <c r="AV15" s="165">
        <v>12.67831</v>
      </c>
      <c r="AW15" s="379"/>
      <c r="AX15" s="165">
        <v>12.4514605</v>
      </c>
      <c r="AY15" s="379"/>
      <c r="AZ15" s="165">
        <v>13.571737199999999</v>
      </c>
      <c r="BA15" s="379"/>
      <c r="BB15" s="165">
        <v>15.064554899999999</v>
      </c>
      <c r="BC15" s="379"/>
      <c r="BD15" s="165">
        <v>14.7950728</v>
      </c>
      <c r="BE15" s="379"/>
      <c r="BF15" s="165">
        <v>15.3673684</v>
      </c>
      <c r="BG15" s="379"/>
      <c r="BH15" s="225"/>
      <c r="BI15" s="184"/>
      <c r="CJ15" s="150"/>
      <c r="CK15" s="150"/>
      <c r="CL15" s="150"/>
      <c r="CM15" s="151" t="s">
        <v>703</v>
      </c>
      <c r="CN15" s="150" t="s">
        <v>1130</v>
      </c>
      <c r="CO15" s="150"/>
      <c r="CP15" s="150"/>
      <c r="CQ15" s="150"/>
      <c r="CR15" s="150"/>
      <c r="CS15" s="150"/>
      <c r="CT15" s="150"/>
    </row>
    <row r="16" spans="1:98" s="11" customFormat="1" ht="12.75" customHeight="1">
      <c r="A16" s="310"/>
      <c r="B16" s="308" t="str">
        <f>Parameters!Q15</f>
        <v>C17</v>
      </c>
      <c r="C16" s="309"/>
      <c r="D16" s="495" t="str">
        <f>Parameters!S15</f>
        <v>Manufacture of paper and paper products</v>
      </c>
      <c r="E16" s="510"/>
      <c r="F16" s="224"/>
      <c r="G16" s="379"/>
      <c r="H16" s="225"/>
      <c r="I16" s="379"/>
      <c r="J16" s="225"/>
      <c r="K16" s="379"/>
      <c r="L16" s="225"/>
      <c r="M16" s="379"/>
      <c r="N16" s="225"/>
      <c r="O16" s="379"/>
      <c r="P16" s="225"/>
      <c r="Q16" s="379"/>
      <c r="R16" s="225"/>
      <c r="S16" s="379"/>
      <c r="T16" s="225"/>
      <c r="U16" s="379"/>
      <c r="V16" s="225"/>
      <c r="W16" s="379"/>
      <c r="X16" s="225"/>
      <c r="Y16" s="379"/>
      <c r="Z16" s="225"/>
      <c r="AA16" s="379"/>
      <c r="AB16" s="225"/>
      <c r="AC16" s="379"/>
      <c r="AD16" s="225"/>
      <c r="AE16" s="379"/>
      <c r="AF16" s="165">
        <v>42.758357400000001</v>
      </c>
      <c r="AG16" s="379"/>
      <c r="AH16" s="165">
        <v>34.737711099999999</v>
      </c>
      <c r="AI16" s="379"/>
      <c r="AJ16" s="165">
        <v>40.751285099999997</v>
      </c>
      <c r="AK16" s="379"/>
      <c r="AL16" s="165">
        <v>40.559309300000002</v>
      </c>
      <c r="AM16" s="379"/>
      <c r="AN16" s="165">
        <v>26.5238169</v>
      </c>
      <c r="AO16" s="379"/>
      <c r="AP16" s="165">
        <v>23.976292999999998</v>
      </c>
      <c r="AQ16" s="379"/>
      <c r="AR16" s="165">
        <v>13.456562999999999</v>
      </c>
      <c r="AS16" s="379"/>
      <c r="AT16" s="165">
        <v>14.017553299999999</v>
      </c>
      <c r="AU16" s="379"/>
      <c r="AV16" s="165">
        <v>14.6184578</v>
      </c>
      <c r="AW16" s="379"/>
      <c r="AX16" s="165">
        <v>18.186551300000001</v>
      </c>
      <c r="AY16" s="379"/>
      <c r="AZ16" s="165">
        <v>18.332970700000001</v>
      </c>
      <c r="BA16" s="379"/>
      <c r="BB16" s="165">
        <v>17.729191499999999</v>
      </c>
      <c r="BC16" s="379"/>
      <c r="BD16" s="165">
        <v>17.510688699999999</v>
      </c>
      <c r="BE16" s="379"/>
      <c r="BF16" s="165">
        <v>19.3967016</v>
      </c>
      <c r="BG16" s="379"/>
      <c r="BH16" s="225"/>
      <c r="BI16" s="184"/>
      <c r="CJ16" s="150"/>
      <c r="CK16" s="150"/>
      <c r="CL16" s="150"/>
      <c r="CM16" s="151" t="s">
        <v>707</v>
      </c>
      <c r="CN16" s="150" t="s">
        <v>1130</v>
      </c>
      <c r="CO16" s="150"/>
      <c r="CP16" s="150"/>
      <c r="CQ16" s="150"/>
      <c r="CR16" s="150"/>
      <c r="CS16" s="150"/>
      <c r="CT16" s="150"/>
    </row>
    <row r="17" spans="1:98" s="11" customFormat="1" ht="12.75" customHeight="1">
      <c r="A17" s="310"/>
      <c r="B17" s="308" t="str">
        <f>Parameters!Q16</f>
        <v>C18</v>
      </c>
      <c r="C17" s="309"/>
      <c r="D17" s="495" t="str">
        <f>Parameters!S16</f>
        <v>Printing and reproduction of recorded media</v>
      </c>
      <c r="E17" s="510"/>
      <c r="F17" s="224"/>
      <c r="G17" s="379"/>
      <c r="H17" s="225"/>
      <c r="I17" s="379"/>
      <c r="J17" s="225"/>
      <c r="K17" s="379"/>
      <c r="L17" s="225"/>
      <c r="M17" s="379"/>
      <c r="N17" s="225"/>
      <c r="O17" s="379"/>
      <c r="P17" s="225"/>
      <c r="Q17" s="379"/>
      <c r="R17" s="225"/>
      <c r="S17" s="379"/>
      <c r="T17" s="225"/>
      <c r="U17" s="379"/>
      <c r="V17" s="225"/>
      <c r="W17" s="379"/>
      <c r="X17" s="225"/>
      <c r="Y17" s="379"/>
      <c r="Z17" s="225"/>
      <c r="AA17" s="379"/>
      <c r="AB17" s="225"/>
      <c r="AC17" s="379"/>
      <c r="AD17" s="225"/>
      <c r="AE17" s="379"/>
      <c r="AF17" s="165">
        <v>6.1887299999999999E-2</v>
      </c>
      <c r="AG17" s="379"/>
      <c r="AH17" s="165">
        <v>2.7903500000000001E-2</v>
      </c>
      <c r="AI17" s="379"/>
      <c r="AJ17" s="165">
        <v>4.3316599999999997E-2</v>
      </c>
      <c r="AK17" s="379"/>
      <c r="AL17" s="165">
        <v>4.7361300000000002E-2</v>
      </c>
      <c r="AM17" s="379"/>
      <c r="AN17" s="165">
        <v>3.06833E-2</v>
      </c>
      <c r="AO17" s="379"/>
      <c r="AP17" s="165">
        <v>2.4121400000000001E-2</v>
      </c>
      <c r="AQ17" s="379"/>
      <c r="AR17" s="165">
        <v>2.3091500000000001E-2</v>
      </c>
      <c r="AS17" s="379"/>
      <c r="AT17" s="165">
        <v>2.7325100000000001E-2</v>
      </c>
      <c r="AU17" s="379"/>
      <c r="AV17" s="165">
        <v>3.5074099999999997E-2</v>
      </c>
      <c r="AW17" s="379"/>
      <c r="AX17" s="165">
        <v>8.4963399999999994E-2</v>
      </c>
      <c r="AY17" s="379"/>
      <c r="AZ17" s="165">
        <v>4.3610200000000002E-2</v>
      </c>
      <c r="BA17" s="379"/>
      <c r="BB17" s="165">
        <v>5.3180499999999999E-2</v>
      </c>
      <c r="BC17" s="379"/>
      <c r="BD17" s="165">
        <v>4.2843100000000002E-2</v>
      </c>
      <c r="BE17" s="379"/>
      <c r="BF17" s="165">
        <v>2.4146899999999999E-2</v>
      </c>
      <c r="BG17" s="379"/>
      <c r="BH17" s="225"/>
      <c r="BI17" s="184"/>
      <c r="CJ17" s="150"/>
      <c r="CK17" s="150"/>
      <c r="CL17" s="150"/>
      <c r="CM17" s="151" t="s">
        <v>711</v>
      </c>
      <c r="CN17" s="150" t="s">
        <v>1130</v>
      </c>
      <c r="CO17" s="150"/>
      <c r="CP17" s="150"/>
      <c r="CQ17" s="150"/>
      <c r="CR17" s="150"/>
      <c r="CS17" s="150"/>
      <c r="CT17" s="150"/>
    </row>
    <row r="18" spans="1:98" s="12" customFormat="1" ht="12.75" customHeight="1">
      <c r="A18" s="26"/>
      <c r="B18" s="89" t="str">
        <f>Parameters!Q17</f>
        <v>C19</v>
      </c>
      <c r="C18" s="90"/>
      <c r="D18" s="504" t="str">
        <f>Parameters!S17</f>
        <v>Manufacture of coke and refined petroleum products</v>
      </c>
      <c r="E18" s="505"/>
      <c r="F18" s="226"/>
      <c r="G18" s="379"/>
      <c r="H18" s="227"/>
      <c r="I18" s="379"/>
      <c r="J18" s="227"/>
      <c r="K18" s="379"/>
      <c r="L18" s="227"/>
      <c r="M18" s="379"/>
      <c r="N18" s="227"/>
      <c r="O18" s="379"/>
      <c r="P18" s="227"/>
      <c r="Q18" s="379"/>
      <c r="R18" s="227"/>
      <c r="S18" s="379"/>
      <c r="T18" s="227"/>
      <c r="U18" s="379"/>
      <c r="V18" s="227"/>
      <c r="W18" s="379"/>
      <c r="X18" s="227"/>
      <c r="Y18" s="379"/>
      <c r="Z18" s="227"/>
      <c r="AA18" s="379"/>
      <c r="AB18" s="227"/>
      <c r="AC18" s="379"/>
      <c r="AD18" s="227"/>
      <c r="AE18" s="379"/>
      <c r="AF18" s="166">
        <v>3512.8888102000001</v>
      </c>
      <c r="AG18" s="379" t="s">
        <v>387</v>
      </c>
      <c r="AH18" s="166">
        <v>1854.4923133</v>
      </c>
      <c r="AI18" s="379" t="s">
        <v>387</v>
      </c>
      <c r="AJ18" s="166">
        <v>1700.4479468</v>
      </c>
      <c r="AK18" s="379" t="s">
        <v>387</v>
      </c>
      <c r="AL18" s="166">
        <v>1542.7417422000001</v>
      </c>
      <c r="AM18" s="379" t="s">
        <v>387</v>
      </c>
      <c r="AN18" s="166">
        <v>1503.2665062000001</v>
      </c>
      <c r="AO18" s="379" t="s">
        <v>387</v>
      </c>
      <c r="AP18" s="166">
        <v>1335.9256809000001</v>
      </c>
      <c r="AQ18" s="379" t="s">
        <v>387</v>
      </c>
      <c r="AR18" s="166">
        <v>1267.4592378</v>
      </c>
      <c r="AS18" s="379" t="s">
        <v>387</v>
      </c>
      <c r="AT18" s="166">
        <v>1300.6606482</v>
      </c>
      <c r="AU18" s="379" t="s">
        <v>387</v>
      </c>
      <c r="AV18" s="166">
        <v>1067.6359804000001</v>
      </c>
      <c r="AW18" s="379" t="s">
        <v>387</v>
      </c>
      <c r="AX18" s="166">
        <v>963.92123730000003</v>
      </c>
      <c r="AY18" s="379" t="s">
        <v>387</v>
      </c>
      <c r="AZ18" s="166">
        <v>911.08004510000001</v>
      </c>
      <c r="BA18" s="379" t="s">
        <v>387</v>
      </c>
      <c r="BB18" s="166">
        <v>897.79588890000002</v>
      </c>
      <c r="BC18" s="379" t="s">
        <v>387</v>
      </c>
      <c r="BD18" s="166">
        <v>735.35766679999995</v>
      </c>
      <c r="BE18" s="379" t="s">
        <v>387</v>
      </c>
      <c r="BF18" s="166">
        <v>680.85544289999996</v>
      </c>
      <c r="BG18" s="379" t="s">
        <v>387</v>
      </c>
      <c r="BH18" s="227"/>
      <c r="BI18" s="184"/>
      <c r="CJ18" s="150"/>
      <c r="CK18" s="150"/>
      <c r="CL18" s="150"/>
      <c r="CM18" s="151" t="s">
        <v>716</v>
      </c>
      <c r="CN18" s="150" t="s">
        <v>1130</v>
      </c>
      <c r="CO18" s="150"/>
      <c r="CP18" s="150"/>
      <c r="CQ18" s="150"/>
      <c r="CR18" s="150"/>
      <c r="CS18" s="150"/>
      <c r="CT18" s="150"/>
    </row>
    <row r="19" spans="1:98" s="11" customFormat="1" ht="12.75" customHeight="1">
      <c r="A19" s="26"/>
      <c r="B19" s="89" t="str">
        <f>Parameters!Q18</f>
        <v>C20</v>
      </c>
      <c r="C19" s="90"/>
      <c r="D19" s="504" t="str">
        <f>Parameters!S18</f>
        <v>Manufacture of chemicals and chemical products</v>
      </c>
      <c r="E19" s="505"/>
      <c r="F19" s="226"/>
      <c r="G19" s="379"/>
      <c r="H19" s="227"/>
      <c r="I19" s="379"/>
      <c r="J19" s="227"/>
      <c r="K19" s="379"/>
      <c r="L19" s="227"/>
      <c r="M19" s="379"/>
      <c r="N19" s="227"/>
      <c r="O19" s="379"/>
      <c r="P19" s="227"/>
      <c r="Q19" s="379"/>
      <c r="R19" s="227"/>
      <c r="S19" s="379"/>
      <c r="T19" s="227"/>
      <c r="U19" s="379"/>
      <c r="V19" s="227"/>
      <c r="W19" s="379"/>
      <c r="X19" s="227"/>
      <c r="Y19" s="379"/>
      <c r="Z19" s="227"/>
      <c r="AA19" s="379"/>
      <c r="AB19" s="227"/>
      <c r="AC19" s="379"/>
      <c r="AD19" s="227"/>
      <c r="AE19" s="379"/>
      <c r="AF19" s="166">
        <v>0</v>
      </c>
      <c r="AG19" s="379" t="s">
        <v>387</v>
      </c>
      <c r="AH19" s="166">
        <v>0</v>
      </c>
      <c r="AI19" s="379" t="s">
        <v>387</v>
      </c>
      <c r="AJ19" s="166">
        <v>0</v>
      </c>
      <c r="AK19" s="379" t="s">
        <v>387</v>
      </c>
      <c r="AL19" s="166">
        <v>0</v>
      </c>
      <c r="AM19" s="379" t="s">
        <v>387</v>
      </c>
      <c r="AN19" s="166">
        <v>0</v>
      </c>
      <c r="AO19" s="379" t="s">
        <v>387</v>
      </c>
      <c r="AP19" s="166">
        <v>0</v>
      </c>
      <c r="AQ19" s="379" t="s">
        <v>387</v>
      </c>
      <c r="AR19" s="166">
        <v>0</v>
      </c>
      <c r="AS19" s="379" t="s">
        <v>387</v>
      </c>
      <c r="AT19" s="166">
        <v>0</v>
      </c>
      <c r="AU19" s="379" t="s">
        <v>387</v>
      </c>
      <c r="AV19" s="166">
        <v>0</v>
      </c>
      <c r="AW19" s="379" t="s">
        <v>387</v>
      </c>
      <c r="AX19" s="166">
        <v>0</v>
      </c>
      <c r="AY19" s="379" t="s">
        <v>387</v>
      </c>
      <c r="AZ19" s="166">
        <v>0</v>
      </c>
      <c r="BA19" s="379" t="s">
        <v>387</v>
      </c>
      <c r="BB19" s="166">
        <v>0</v>
      </c>
      <c r="BC19" s="379" t="s">
        <v>387</v>
      </c>
      <c r="BD19" s="166">
        <v>0</v>
      </c>
      <c r="BE19" s="379" t="s">
        <v>387</v>
      </c>
      <c r="BF19" s="166">
        <v>0</v>
      </c>
      <c r="BG19" s="379" t="s">
        <v>387</v>
      </c>
      <c r="BH19" s="227"/>
      <c r="BI19" s="184"/>
      <c r="CJ19" s="150"/>
      <c r="CK19" s="150"/>
      <c r="CL19" s="150"/>
      <c r="CM19" s="151" t="s">
        <v>723</v>
      </c>
      <c r="CN19" s="150" t="s">
        <v>1130</v>
      </c>
      <c r="CO19" s="150"/>
      <c r="CP19" s="150"/>
      <c r="CQ19" s="150"/>
      <c r="CR19" s="150"/>
      <c r="CS19" s="150"/>
      <c r="CT19" s="150"/>
    </row>
    <row r="20" spans="1:98" s="11" customFormat="1" ht="12.75" customHeight="1">
      <c r="A20" s="26"/>
      <c r="B20" s="89" t="str">
        <f>Parameters!Q19</f>
        <v>C21</v>
      </c>
      <c r="C20" s="90"/>
      <c r="D20" s="504" t="str">
        <f>Parameters!S19</f>
        <v>Manufacture of basic pharmaceutical products and pharmaceutical preparations</v>
      </c>
      <c r="E20" s="505"/>
      <c r="F20" s="226"/>
      <c r="G20" s="379"/>
      <c r="H20" s="227"/>
      <c r="I20" s="379"/>
      <c r="J20" s="227"/>
      <c r="K20" s="379"/>
      <c r="L20" s="227"/>
      <c r="M20" s="379"/>
      <c r="N20" s="227"/>
      <c r="O20" s="379"/>
      <c r="P20" s="227"/>
      <c r="Q20" s="379"/>
      <c r="R20" s="227"/>
      <c r="S20" s="379"/>
      <c r="T20" s="227"/>
      <c r="U20" s="379"/>
      <c r="V20" s="227"/>
      <c r="W20" s="379"/>
      <c r="X20" s="227"/>
      <c r="Y20" s="379"/>
      <c r="Z20" s="227"/>
      <c r="AA20" s="379"/>
      <c r="AB20" s="227"/>
      <c r="AC20" s="379"/>
      <c r="AD20" s="227"/>
      <c r="AE20" s="379"/>
      <c r="AF20" s="166">
        <v>0</v>
      </c>
      <c r="AG20" s="379" t="s">
        <v>387</v>
      </c>
      <c r="AH20" s="166">
        <v>0</v>
      </c>
      <c r="AI20" s="379" t="s">
        <v>387</v>
      </c>
      <c r="AJ20" s="166">
        <v>0</v>
      </c>
      <c r="AK20" s="379" t="s">
        <v>387</v>
      </c>
      <c r="AL20" s="166">
        <v>0</v>
      </c>
      <c r="AM20" s="379" t="s">
        <v>387</v>
      </c>
      <c r="AN20" s="166">
        <v>0</v>
      </c>
      <c r="AO20" s="379" t="s">
        <v>387</v>
      </c>
      <c r="AP20" s="166">
        <v>0</v>
      </c>
      <c r="AQ20" s="379" t="s">
        <v>387</v>
      </c>
      <c r="AR20" s="166">
        <v>0</v>
      </c>
      <c r="AS20" s="379" t="s">
        <v>387</v>
      </c>
      <c r="AT20" s="166">
        <v>0</v>
      </c>
      <c r="AU20" s="379" t="s">
        <v>387</v>
      </c>
      <c r="AV20" s="166">
        <v>0</v>
      </c>
      <c r="AW20" s="379" t="s">
        <v>387</v>
      </c>
      <c r="AX20" s="166">
        <v>0</v>
      </c>
      <c r="AY20" s="379" t="s">
        <v>387</v>
      </c>
      <c r="AZ20" s="166">
        <v>0</v>
      </c>
      <c r="BA20" s="379" t="s">
        <v>387</v>
      </c>
      <c r="BB20" s="166">
        <v>0</v>
      </c>
      <c r="BC20" s="379" t="s">
        <v>387</v>
      </c>
      <c r="BD20" s="166">
        <v>0</v>
      </c>
      <c r="BE20" s="379" t="s">
        <v>387</v>
      </c>
      <c r="BF20" s="166">
        <v>0</v>
      </c>
      <c r="BG20" s="379" t="s">
        <v>387</v>
      </c>
      <c r="BH20" s="227"/>
      <c r="BI20" s="184"/>
      <c r="CJ20" s="150"/>
      <c r="CK20" s="150"/>
      <c r="CL20" s="150"/>
      <c r="CM20" s="151" t="s">
        <v>728</v>
      </c>
      <c r="CN20" s="150" t="s">
        <v>1130</v>
      </c>
      <c r="CO20" s="150"/>
      <c r="CP20" s="150"/>
      <c r="CQ20" s="150"/>
      <c r="CR20" s="150"/>
      <c r="CS20" s="150"/>
      <c r="CT20" s="150"/>
    </row>
    <row r="21" spans="1:98" s="11" customFormat="1" ht="12.75" customHeight="1">
      <c r="A21" s="26"/>
      <c r="B21" s="89" t="str">
        <f>Parameters!Q20</f>
        <v>C22_C23</v>
      </c>
      <c r="C21" s="90"/>
      <c r="D21" s="504" t="str">
        <f>Parameters!S20</f>
        <v>Manufacture of rubber and plastic products and other non-metallic mineral products</v>
      </c>
      <c r="E21" s="506"/>
      <c r="F21" s="252"/>
      <c r="G21" s="380"/>
      <c r="H21" s="253"/>
      <c r="I21" s="380"/>
      <c r="J21" s="253"/>
      <c r="K21" s="380"/>
      <c r="L21" s="253"/>
      <c r="M21" s="380"/>
      <c r="N21" s="253"/>
      <c r="O21" s="380"/>
      <c r="P21" s="253"/>
      <c r="Q21" s="380"/>
      <c r="R21" s="253"/>
      <c r="S21" s="380"/>
      <c r="T21" s="253"/>
      <c r="U21" s="380"/>
      <c r="V21" s="253"/>
      <c r="W21" s="380"/>
      <c r="X21" s="253"/>
      <c r="Y21" s="380"/>
      <c r="Z21" s="253"/>
      <c r="AA21" s="380"/>
      <c r="AB21" s="253"/>
      <c r="AC21" s="380"/>
      <c r="AD21" s="253"/>
      <c r="AE21" s="380"/>
      <c r="AF21" s="253">
        <v>23.965719499999999</v>
      </c>
      <c r="AG21" s="380"/>
      <c r="AH21" s="253">
        <v>21.835212899999998</v>
      </c>
      <c r="AI21" s="380"/>
      <c r="AJ21" s="253">
        <v>23.486121000000001</v>
      </c>
      <c r="AK21" s="380"/>
      <c r="AL21" s="253">
        <v>24.383998200000001</v>
      </c>
      <c r="AM21" s="380"/>
      <c r="AN21" s="253">
        <v>24.561976699999999</v>
      </c>
      <c r="AO21" s="380"/>
      <c r="AP21" s="253">
        <v>24.748031399999999</v>
      </c>
      <c r="AQ21" s="380"/>
      <c r="AR21" s="253">
        <v>22.540044900000002</v>
      </c>
      <c r="AS21" s="380"/>
      <c r="AT21" s="253">
        <v>22.399301600000001</v>
      </c>
      <c r="AU21" s="380"/>
      <c r="AV21" s="253">
        <v>22.518789000000002</v>
      </c>
      <c r="AW21" s="380"/>
      <c r="AX21" s="253">
        <v>23.208568799999998</v>
      </c>
      <c r="AY21" s="380"/>
      <c r="AZ21" s="253">
        <v>23.724125900000001</v>
      </c>
      <c r="BA21" s="380"/>
      <c r="BB21" s="253">
        <v>24.9297337</v>
      </c>
      <c r="BC21" s="380"/>
      <c r="BD21" s="253">
        <v>26.537681800000001</v>
      </c>
      <c r="BE21" s="380"/>
      <c r="BF21" s="253">
        <v>26.2760006</v>
      </c>
      <c r="BG21" s="380"/>
      <c r="BH21" s="253"/>
      <c r="BI21" s="254"/>
      <c r="CJ21" s="150"/>
      <c r="CK21" s="150"/>
      <c r="CL21" s="150"/>
      <c r="CM21" s="151"/>
      <c r="CN21" s="150"/>
      <c r="CO21" s="150"/>
      <c r="CP21" s="150"/>
      <c r="CQ21" s="150"/>
      <c r="CR21" s="150"/>
      <c r="CS21" s="150"/>
      <c r="CT21" s="150"/>
    </row>
    <row r="22" spans="1:98" s="12" customFormat="1" ht="12.75" customHeight="1">
      <c r="A22" s="310"/>
      <c r="B22" s="308" t="str">
        <f>Parameters!Q21</f>
        <v>C22</v>
      </c>
      <c r="C22" s="96"/>
      <c r="D22" s="495" t="str">
        <f>Parameters!S21</f>
        <v>Manufacture of rubber and plastic products</v>
      </c>
      <c r="E22" s="496"/>
      <c r="F22" s="224"/>
      <c r="G22" s="379"/>
      <c r="H22" s="228"/>
      <c r="I22" s="379"/>
      <c r="J22" s="228"/>
      <c r="K22" s="379"/>
      <c r="L22" s="228"/>
      <c r="M22" s="379"/>
      <c r="N22" s="228"/>
      <c r="O22" s="379"/>
      <c r="P22" s="228"/>
      <c r="Q22" s="379"/>
      <c r="R22" s="228"/>
      <c r="S22" s="379"/>
      <c r="T22" s="228"/>
      <c r="U22" s="379"/>
      <c r="V22" s="228"/>
      <c r="W22" s="379"/>
      <c r="X22" s="228"/>
      <c r="Y22" s="379"/>
      <c r="Z22" s="228"/>
      <c r="AA22" s="379"/>
      <c r="AB22" s="228"/>
      <c r="AC22" s="379"/>
      <c r="AD22" s="228"/>
      <c r="AE22" s="379"/>
      <c r="AF22" s="167">
        <v>0.2270133</v>
      </c>
      <c r="AG22" s="379"/>
      <c r="AH22" s="167">
        <v>0.27035700000000001</v>
      </c>
      <c r="AI22" s="379"/>
      <c r="AJ22" s="167">
        <v>0.37936510000000001</v>
      </c>
      <c r="AK22" s="379"/>
      <c r="AL22" s="167">
        <v>0.51292040000000005</v>
      </c>
      <c r="AM22" s="379"/>
      <c r="AN22" s="167">
        <v>0.51846669999999995</v>
      </c>
      <c r="AO22" s="379"/>
      <c r="AP22" s="167">
        <v>0.63863130000000001</v>
      </c>
      <c r="AQ22" s="379"/>
      <c r="AR22" s="167">
        <v>1.0615943000000001</v>
      </c>
      <c r="AS22" s="379"/>
      <c r="AT22" s="167">
        <v>0.51892190000000005</v>
      </c>
      <c r="AU22" s="379"/>
      <c r="AV22" s="165">
        <v>0.52984589999999998</v>
      </c>
      <c r="AW22" s="379"/>
      <c r="AX22" s="165">
        <v>0.18083669999999999</v>
      </c>
      <c r="AY22" s="379"/>
      <c r="AZ22" s="165">
        <v>0.2322661</v>
      </c>
      <c r="BA22" s="379"/>
      <c r="BB22" s="165">
        <v>0.2008297</v>
      </c>
      <c r="BC22" s="379"/>
      <c r="BD22" s="165">
        <v>0.21359900000000001</v>
      </c>
      <c r="BE22" s="379"/>
      <c r="BF22" s="165">
        <v>0.32130560000000002</v>
      </c>
      <c r="BG22" s="379"/>
      <c r="BH22" s="225"/>
      <c r="BI22" s="184"/>
      <c r="CJ22" s="150"/>
      <c r="CK22" s="150"/>
      <c r="CL22" s="150"/>
      <c r="CM22" s="151" t="s">
        <v>739</v>
      </c>
      <c r="CN22" s="150" t="s">
        <v>1130</v>
      </c>
      <c r="CO22" s="150"/>
      <c r="CP22" s="150"/>
      <c r="CQ22" s="150"/>
      <c r="CR22" s="150"/>
      <c r="CS22" s="150"/>
      <c r="CT22" s="150"/>
    </row>
    <row r="23" spans="1:98" s="12" customFormat="1" ht="12.75" customHeight="1">
      <c r="A23" s="310"/>
      <c r="B23" s="308" t="str">
        <f>Parameters!Q22</f>
        <v>C23</v>
      </c>
      <c r="C23" s="96"/>
      <c r="D23" s="495" t="str">
        <f>Parameters!S22</f>
        <v>Manufacture of other non-metallic mineral products</v>
      </c>
      <c r="E23" s="510"/>
      <c r="F23" s="224"/>
      <c r="G23" s="379"/>
      <c r="H23" s="228"/>
      <c r="I23" s="379"/>
      <c r="J23" s="228"/>
      <c r="K23" s="379"/>
      <c r="L23" s="228"/>
      <c r="M23" s="379"/>
      <c r="N23" s="228"/>
      <c r="O23" s="379"/>
      <c r="P23" s="228"/>
      <c r="Q23" s="379"/>
      <c r="R23" s="228"/>
      <c r="S23" s="379"/>
      <c r="T23" s="228"/>
      <c r="U23" s="379"/>
      <c r="V23" s="228"/>
      <c r="W23" s="379"/>
      <c r="X23" s="228"/>
      <c r="Y23" s="379"/>
      <c r="Z23" s="228"/>
      <c r="AA23" s="379"/>
      <c r="AB23" s="228"/>
      <c r="AC23" s="379"/>
      <c r="AD23" s="228"/>
      <c r="AE23" s="379"/>
      <c r="AF23" s="167">
        <v>23.738706100000002</v>
      </c>
      <c r="AG23" s="379"/>
      <c r="AH23" s="167">
        <v>21.564855900000001</v>
      </c>
      <c r="AI23" s="379"/>
      <c r="AJ23" s="167">
        <v>23.1067559</v>
      </c>
      <c r="AK23" s="379"/>
      <c r="AL23" s="167">
        <v>23.871077799999998</v>
      </c>
      <c r="AM23" s="379"/>
      <c r="AN23" s="167">
        <v>24.043510000000001</v>
      </c>
      <c r="AO23" s="379"/>
      <c r="AP23" s="167">
        <v>24.109400099999998</v>
      </c>
      <c r="AQ23" s="379"/>
      <c r="AR23" s="167">
        <v>21.478450500000001</v>
      </c>
      <c r="AS23" s="379"/>
      <c r="AT23" s="167">
        <v>21.880379699999999</v>
      </c>
      <c r="AU23" s="379"/>
      <c r="AV23" s="165">
        <v>21.9889431</v>
      </c>
      <c r="AW23" s="379"/>
      <c r="AX23" s="165">
        <v>23.027732100000001</v>
      </c>
      <c r="AY23" s="379"/>
      <c r="AZ23" s="165">
        <v>23.4918598</v>
      </c>
      <c r="BA23" s="379"/>
      <c r="BB23" s="165">
        <v>24.728904</v>
      </c>
      <c r="BC23" s="379"/>
      <c r="BD23" s="165">
        <v>26.324082799999999</v>
      </c>
      <c r="BE23" s="379"/>
      <c r="BF23" s="165">
        <v>25.954695099999999</v>
      </c>
      <c r="BG23" s="379"/>
      <c r="BH23" s="225"/>
      <c r="BI23" s="184"/>
      <c r="CJ23" s="150"/>
      <c r="CK23" s="150"/>
      <c r="CL23" s="150"/>
      <c r="CM23" s="151" t="s">
        <v>743</v>
      </c>
      <c r="CN23" s="150" t="s">
        <v>1130</v>
      </c>
      <c r="CO23" s="150"/>
      <c r="CP23" s="150"/>
      <c r="CQ23" s="150"/>
      <c r="CR23" s="150"/>
      <c r="CS23" s="150"/>
      <c r="CT23" s="150"/>
    </row>
    <row r="24" spans="1:98" s="12" customFormat="1" ht="24.75" customHeight="1">
      <c r="A24" s="26"/>
      <c r="B24" s="89" t="str">
        <f>Parameters!Q23</f>
        <v>C24_C25</v>
      </c>
      <c r="C24" s="90"/>
      <c r="D24" s="504" t="str">
        <f>Parameters!S23</f>
        <v>Manufacture of basic metals and fabricated metal products, except machinery and equipment</v>
      </c>
      <c r="E24" s="506"/>
      <c r="F24" s="252"/>
      <c r="G24" s="380"/>
      <c r="H24" s="253"/>
      <c r="I24" s="380"/>
      <c r="J24" s="253"/>
      <c r="K24" s="380"/>
      <c r="L24" s="253"/>
      <c r="M24" s="380"/>
      <c r="N24" s="253"/>
      <c r="O24" s="380"/>
      <c r="P24" s="253"/>
      <c r="Q24" s="380"/>
      <c r="R24" s="253"/>
      <c r="S24" s="380"/>
      <c r="T24" s="253"/>
      <c r="U24" s="380"/>
      <c r="V24" s="253"/>
      <c r="W24" s="380"/>
      <c r="X24" s="253"/>
      <c r="Y24" s="380"/>
      <c r="Z24" s="253"/>
      <c r="AA24" s="380"/>
      <c r="AB24" s="253"/>
      <c r="AC24" s="380"/>
      <c r="AD24" s="253"/>
      <c r="AE24" s="380"/>
      <c r="AF24" s="253">
        <v>7.7229348</v>
      </c>
      <c r="AG24" s="380"/>
      <c r="AH24" s="253">
        <v>6.2595624000000001</v>
      </c>
      <c r="AI24" s="380"/>
      <c r="AJ24" s="253">
        <v>8.2317283999999997</v>
      </c>
      <c r="AK24" s="380"/>
      <c r="AL24" s="253">
        <v>7.9112891999999997</v>
      </c>
      <c r="AM24" s="380"/>
      <c r="AN24" s="253">
        <v>6.8172183999999998</v>
      </c>
      <c r="AO24" s="380"/>
      <c r="AP24" s="253">
        <v>7.3575838999999998</v>
      </c>
      <c r="AQ24" s="380"/>
      <c r="AR24" s="253">
        <v>7.9216087999999996</v>
      </c>
      <c r="AS24" s="380"/>
      <c r="AT24" s="253">
        <v>7.7535885999999996</v>
      </c>
      <c r="AU24" s="380"/>
      <c r="AV24" s="253">
        <v>7.8806665000000002</v>
      </c>
      <c r="AW24" s="380"/>
      <c r="AX24" s="253">
        <v>7.7790879000000004</v>
      </c>
      <c r="AY24" s="380"/>
      <c r="AZ24" s="253">
        <v>7.5209624000000002</v>
      </c>
      <c r="BA24" s="380"/>
      <c r="BB24" s="253">
        <v>7.3130914000000002</v>
      </c>
      <c r="BC24" s="380"/>
      <c r="BD24" s="253">
        <v>8.2687112000000003</v>
      </c>
      <c r="BE24" s="380"/>
      <c r="BF24" s="253">
        <v>7.9184736999999998</v>
      </c>
      <c r="BG24" s="380"/>
      <c r="BH24" s="253"/>
      <c r="BI24" s="254"/>
      <c r="CJ24" s="150"/>
      <c r="CK24" s="150"/>
      <c r="CL24" s="150"/>
      <c r="CM24" s="151"/>
      <c r="CN24" s="150"/>
      <c r="CO24" s="150"/>
      <c r="CP24" s="150"/>
      <c r="CQ24" s="150"/>
      <c r="CR24" s="150"/>
      <c r="CS24" s="150"/>
      <c r="CT24" s="150"/>
    </row>
    <row r="25" spans="1:98" s="12" customFormat="1" ht="12.75" customHeight="1">
      <c r="A25" s="310"/>
      <c r="B25" s="308" t="str">
        <f>Parameters!Q24</f>
        <v>C24</v>
      </c>
      <c r="C25" s="96"/>
      <c r="D25" s="495" t="str">
        <f>Parameters!S24</f>
        <v>Manufacture of basic metals</v>
      </c>
      <c r="E25" s="496"/>
      <c r="F25" s="224"/>
      <c r="G25" s="379"/>
      <c r="H25" s="228"/>
      <c r="I25" s="379"/>
      <c r="J25" s="228"/>
      <c r="K25" s="379"/>
      <c r="L25" s="228"/>
      <c r="M25" s="379"/>
      <c r="N25" s="228"/>
      <c r="O25" s="379"/>
      <c r="P25" s="228"/>
      <c r="Q25" s="379"/>
      <c r="R25" s="228"/>
      <c r="S25" s="379"/>
      <c r="T25" s="228"/>
      <c r="U25" s="379"/>
      <c r="V25" s="228"/>
      <c r="W25" s="379"/>
      <c r="X25" s="228"/>
      <c r="Y25" s="379"/>
      <c r="Z25" s="228"/>
      <c r="AA25" s="379"/>
      <c r="AB25" s="228"/>
      <c r="AC25" s="379"/>
      <c r="AD25" s="228"/>
      <c r="AE25" s="379"/>
      <c r="AF25" s="167">
        <v>7.2870964000000003</v>
      </c>
      <c r="AG25" s="379"/>
      <c r="AH25" s="167">
        <v>5.9713681999999997</v>
      </c>
      <c r="AI25" s="379"/>
      <c r="AJ25" s="167">
        <v>7.7868227000000001</v>
      </c>
      <c r="AK25" s="379"/>
      <c r="AL25" s="167">
        <v>7.5073771000000002</v>
      </c>
      <c r="AM25" s="379"/>
      <c r="AN25" s="167">
        <v>6.3145974999999996</v>
      </c>
      <c r="AO25" s="379"/>
      <c r="AP25" s="167">
        <v>6.8236499000000004</v>
      </c>
      <c r="AQ25" s="379"/>
      <c r="AR25" s="167">
        <v>7.5863638</v>
      </c>
      <c r="AS25" s="379"/>
      <c r="AT25" s="167">
        <v>7.2529022999999997</v>
      </c>
      <c r="AU25" s="379"/>
      <c r="AV25" s="165">
        <v>7.2941697000000003</v>
      </c>
      <c r="AW25" s="379"/>
      <c r="AX25" s="165">
        <v>7.0779249999999996</v>
      </c>
      <c r="AY25" s="379"/>
      <c r="AZ25" s="165">
        <v>6.9150833</v>
      </c>
      <c r="BA25" s="379"/>
      <c r="BB25" s="165">
        <v>6.5058866000000002</v>
      </c>
      <c r="BC25" s="379"/>
      <c r="BD25" s="165">
        <v>7.4856109000000002</v>
      </c>
      <c r="BE25" s="379"/>
      <c r="BF25" s="165">
        <v>7.0385581999999998</v>
      </c>
      <c r="BG25" s="379"/>
      <c r="BH25" s="225"/>
      <c r="BI25" s="184"/>
      <c r="CJ25" s="150"/>
      <c r="CK25" s="150"/>
      <c r="CL25" s="150"/>
      <c r="CM25" s="151" t="s">
        <v>749</v>
      </c>
      <c r="CN25" s="150" t="s">
        <v>1130</v>
      </c>
      <c r="CO25" s="150"/>
      <c r="CP25" s="150"/>
      <c r="CQ25" s="150"/>
      <c r="CR25" s="150"/>
      <c r="CS25" s="150"/>
      <c r="CT25" s="150"/>
    </row>
    <row r="26" spans="1:98" s="11" customFormat="1" ht="12.75" customHeight="1">
      <c r="A26" s="310"/>
      <c r="B26" s="308" t="str">
        <f>Parameters!Q25</f>
        <v>C25</v>
      </c>
      <c r="C26" s="309"/>
      <c r="D26" s="495" t="str">
        <f>Parameters!S25</f>
        <v>Manufacture of fabricated metal products, except machinery and equipment</v>
      </c>
      <c r="E26" s="510"/>
      <c r="F26" s="224"/>
      <c r="G26" s="379"/>
      <c r="H26" s="225"/>
      <c r="I26" s="379"/>
      <c r="J26" s="225"/>
      <c r="K26" s="379"/>
      <c r="L26" s="225"/>
      <c r="M26" s="379"/>
      <c r="N26" s="225"/>
      <c r="O26" s="379"/>
      <c r="P26" s="225"/>
      <c r="Q26" s="379"/>
      <c r="R26" s="225"/>
      <c r="S26" s="379"/>
      <c r="T26" s="225"/>
      <c r="U26" s="379"/>
      <c r="V26" s="225"/>
      <c r="W26" s="379"/>
      <c r="X26" s="225"/>
      <c r="Y26" s="379"/>
      <c r="Z26" s="225"/>
      <c r="AA26" s="379"/>
      <c r="AB26" s="225"/>
      <c r="AC26" s="379"/>
      <c r="AD26" s="225"/>
      <c r="AE26" s="379"/>
      <c r="AF26" s="165">
        <v>0.43583850000000002</v>
      </c>
      <c r="AG26" s="379"/>
      <c r="AH26" s="165">
        <v>0.28819420000000001</v>
      </c>
      <c r="AI26" s="379"/>
      <c r="AJ26" s="165">
        <v>0.44490570000000002</v>
      </c>
      <c r="AK26" s="379"/>
      <c r="AL26" s="165">
        <v>0.4039121</v>
      </c>
      <c r="AM26" s="379"/>
      <c r="AN26" s="165">
        <v>0.50262079999999998</v>
      </c>
      <c r="AO26" s="379"/>
      <c r="AP26" s="165">
        <v>0.53393400000000002</v>
      </c>
      <c r="AQ26" s="379"/>
      <c r="AR26" s="165">
        <v>0.33524510000000002</v>
      </c>
      <c r="AS26" s="379"/>
      <c r="AT26" s="165">
        <v>0.50068630000000003</v>
      </c>
      <c r="AU26" s="379"/>
      <c r="AV26" s="165">
        <v>0.58649689999999999</v>
      </c>
      <c r="AW26" s="379"/>
      <c r="AX26" s="165">
        <v>0.70116290000000003</v>
      </c>
      <c r="AY26" s="379"/>
      <c r="AZ26" s="165">
        <v>0.6058791</v>
      </c>
      <c r="BA26" s="379"/>
      <c r="BB26" s="165">
        <v>0.80720479999999994</v>
      </c>
      <c r="BC26" s="379"/>
      <c r="BD26" s="165">
        <v>0.78310029999999997</v>
      </c>
      <c r="BE26" s="379"/>
      <c r="BF26" s="165">
        <v>0.87991549999999996</v>
      </c>
      <c r="BG26" s="379"/>
      <c r="BH26" s="225"/>
      <c r="BI26" s="184"/>
      <c r="CJ26" s="150"/>
      <c r="CK26" s="150"/>
      <c r="CL26" s="150"/>
      <c r="CM26" s="151" t="s">
        <v>753</v>
      </c>
      <c r="CN26" s="150" t="s">
        <v>1130</v>
      </c>
      <c r="CO26" s="150"/>
      <c r="CP26" s="150"/>
      <c r="CQ26" s="150"/>
      <c r="CR26" s="150"/>
      <c r="CS26" s="150"/>
      <c r="CT26" s="150"/>
    </row>
    <row r="27" spans="1:98" s="11" customFormat="1" ht="12.75" customHeight="1">
      <c r="A27" s="26"/>
      <c r="B27" s="89" t="str">
        <f>Parameters!Q26</f>
        <v>C26</v>
      </c>
      <c r="C27" s="90"/>
      <c r="D27" s="504" t="str">
        <f>Parameters!S26</f>
        <v>Manufacture of computer, electronic and optical products</v>
      </c>
      <c r="E27" s="505"/>
      <c r="F27" s="226"/>
      <c r="G27" s="379"/>
      <c r="H27" s="227"/>
      <c r="I27" s="379"/>
      <c r="J27" s="227"/>
      <c r="K27" s="379"/>
      <c r="L27" s="227"/>
      <c r="M27" s="379"/>
      <c r="N27" s="227"/>
      <c r="O27" s="379"/>
      <c r="P27" s="227"/>
      <c r="Q27" s="379"/>
      <c r="R27" s="227"/>
      <c r="S27" s="379"/>
      <c r="T27" s="227"/>
      <c r="U27" s="379"/>
      <c r="V27" s="227"/>
      <c r="W27" s="379"/>
      <c r="X27" s="227"/>
      <c r="Y27" s="379"/>
      <c r="Z27" s="227"/>
      <c r="AA27" s="379"/>
      <c r="AB27" s="227"/>
      <c r="AC27" s="379"/>
      <c r="AD27" s="227"/>
      <c r="AE27" s="379"/>
      <c r="AF27" s="166">
        <v>9.8674999999999995E-3</v>
      </c>
      <c r="AG27" s="379"/>
      <c r="AH27" s="166">
        <v>4.5951000000000004E-3</v>
      </c>
      <c r="AI27" s="379"/>
      <c r="AJ27" s="166">
        <v>5.3448000000000002E-3</v>
      </c>
      <c r="AK27" s="379"/>
      <c r="AL27" s="166">
        <v>2.5961999999999999E-3</v>
      </c>
      <c r="AM27" s="379"/>
      <c r="AN27" s="166">
        <v>8.2413E-3</v>
      </c>
      <c r="AO27" s="379"/>
      <c r="AP27" s="166">
        <v>3.7127000000000002E-3</v>
      </c>
      <c r="AQ27" s="379"/>
      <c r="AR27" s="166">
        <v>1.18452E-2</v>
      </c>
      <c r="AS27" s="379"/>
      <c r="AT27" s="166">
        <v>1.2073E-2</v>
      </c>
      <c r="AU27" s="379"/>
      <c r="AV27" s="166">
        <v>1.1829900000000001E-2</v>
      </c>
      <c r="AW27" s="379"/>
      <c r="AX27" s="166">
        <v>1.2027100000000001E-2</v>
      </c>
      <c r="AY27" s="379"/>
      <c r="AZ27" s="166">
        <v>1.39989E-2</v>
      </c>
      <c r="BA27" s="379"/>
      <c r="BB27" s="166">
        <v>2.9098499999999999E-2</v>
      </c>
      <c r="BC27" s="379"/>
      <c r="BD27" s="166">
        <v>7.9936300000000002E-2</v>
      </c>
      <c r="BE27" s="379"/>
      <c r="BF27" s="166">
        <v>2.43933E-2</v>
      </c>
      <c r="BG27" s="379"/>
      <c r="BH27" s="227"/>
      <c r="BI27" s="184"/>
      <c r="CJ27" s="150"/>
      <c r="CK27" s="150"/>
      <c r="CL27" s="150"/>
      <c r="CM27" s="151" t="s">
        <v>760</v>
      </c>
      <c r="CN27" s="150" t="s">
        <v>1130</v>
      </c>
      <c r="CO27" s="150"/>
      <c r="CP27" s="150"/>
      <c r="CQ27" s="150"/>
      <c r="CR27" s="150"/>
      <c r="CS27" s="150"/>
      <c r="CT27" s="150"/>
    </row>
    <row r="28" spans="1:98" s="12" customFormat="1" ht="12.75" customHeight="1">
      <c r="A28" s="26"/>
      <c r="B28" s="89" t="str">
        <f>Parameters!Q27</f>
        <v>C27</v>
      </c>
      <c r="C28" s="90"/>
      <c r="D28" s="504" t="str">
        <f>Parameters!S27</f>
        <v>Manufacture of electrical equipment</v>
      </c>
      <c r="E28" s="505"/>
      <c r="F28" s="226"/>
      <c r="G28" s="379"/>
      <c r="H28" s="227"/>
      <c r="I28" s="379"/>
      <c r="J28" s="227"/>
      <c r="K28" s="379"/>
      <c r="L28" s="227"/>
      <c r="M28" s="379"/>
      <c r="N28" s="227"/>
      <c r="O28" s="379"/>
      <c r="P28" s="227"/>
      <c r="Q28" s="379"/>
      <c r="R28" s="227"/>
      <c r="S28" s="379"/>
      <c r="T28" s="227"/>
      <c r="U28" s="379"/>
      <c r="V28" s="227"/>
      <c r="W28" s="379"/>
      <c r="X28" s="227"/>
      <c r="Y28" s="379"/>
      <c r="Z28" s="227"/>
      <c r="AA28" s="379"/>
      <c r="AB28" s="227"/>
      <c r="AC28" s="379"/>
      <c r="AD28" s="227"/>
      <c r="AE28" s="379"/>
      <c r="AF28" s="166">
        <v>9.8716100000000001E-2</v>
      </c>
      <c r="AG28" s="379"/>
      <c r="AH28" s="166">
        <v>6.8345000000000003E-2</v>
      </c>
      <c r="AI28" s="379"/>
      <c r="AJ28" s="166">
        <v>0.11488180000000001</v>
      </c>
      <c r="AK28" s="379"/>
      <c r="AL28" s="166">
        <v>0.13316749999999999</v>
      </c>
      <c r="AM28" s="379"/>
      <c r="AN28" s="166">
        <v>0.12889519999999999</v>
      </c>
      <c r="AO28" s="379"/>
      <c r="AP28" s="166">
        <v>0.18076919999999999</v>
      </c>
      <c r="AQ28" s="379"/>
      <c r="AR28" s="166">
        <v>5.6004699999999998E-2</v>
      </c>
      <c r="AS28" s="379"/>
      <c r="AT28" s="166">
        <v>5.78247E-2</v>
      </c>
      <c r="AU28" s="379"/>
      <c r="AV28" s="166">
        <v>0.1120645</v>
      </c>
      <c r="AW28" s="379"/>
      <c r="AX28" s="166">
        <v>0.1553428</v>
      </c>
      <c r="AY28" s="379"/>
      <c r="AZ28" s="166">
        <v>0.1463604</v>
      </c>
      <c r="BA28" s="379"/>
      <c r="BB28" s="166">
        <v>0.1127232</v>
      </c>
      <c r="BC28" s="379"/>
      <c r="BD28" s="166">
        <v>0.12506709999999999</v>
      </c>
      <c r="BE28" s="379"/>
      <c r="BF28" s="166">
        <v>9.9823200000000001E-2</v>
      </c>
      <c r="BG28" s="379"/>
      <c r="BH28" s="227"/>
      <c r="BI28" s="184"/>
      <c r="CJ28" s="150"/>
      <c r="CK28" s="150"/>
      <c r="CL28" s="150"/>
      <c r="CM28" s="151" t="s">
        <v>763</v>
      </c>
      <c r="CN28" s="150" t="s">
        <v>1130</v>
      </c>
      <c r="CO28" s="150"/>
      <c r="CP28" s="150"/>
      <c r="CQ28" s="150"/>
      <c r="CR28" s="150"/>
      <c r="CS28" s="150"/>
      <c r="CT28" s="150"/>
    </row>
    <row r="29" spans="1:98" s="12" customFormat="1" ht="12.75" customHeight="1">
      <c r="A29" s="26"/>
      <c r="B29" s="89" t="str">
        <f>Parameters!Q28</f>
        <v>C28</v>
      </c>
      <c r="C29" s="90"/>
      <c r="D29" s="504" t="str">
        <f>Parameters!S28</f>
        <v>Manufacture of machinery and equipment n.e.c.</v>
      </c>
      <c r="E29" s="505"/>
      <c r="F29" s="226"/>
      <c r="G29" s="379"/>
      <c r="H29" s="227"/>
      <c r="I29" s="379"/>
      <c r="J29" s="227"/>
      <c r="K29" s="379"/>
      <c r="L29" s="227"/>
      <c r="M29" s="379"/>
      <c r="N29" s="227"/>
      <c r="O29" s="379"/>
      <c r="P29" s="227"/>
      <c r="Q29" s="379"/>
      <c r="R29" s="227"/>
      <c r="S29" s="379"/>
      <c r="T29" s="227"/>
      <c r="U29" s="379"/>
      <c r="V29" s="227"/>
      <c r="W29" s="379"/>
      <c r="X29" s="227"/>
      <c r="Y29" s="379"/>
      <c r="Z29" s="227"/>
      <c r="AA29" s="379"/>
      <c r="AB29" s="227"/>
      <c r="AC29" s="379"/>
      <c r="AD29" s="227"/>
      <c r="AE29" s="379"/>
      <c r="AF29" s="166">
        <v>0.27437509999999998</v>
      </c>
      <c r="AG29" s="379"/>
      <c r="AH29" s="166">
        <v>0.32328109999999999</v>
      </c>
      <c r="AI29" s="379"/>
      <c r="AJ29" s="166">
        <v>0.2987803</v>
      </c>
      <c r="AK29" s="379"/>
      <c r="AL29" s="166">
        <v>0.3104575</v>
      </c>
      <c r="AM29" s="379"/>
      <c r="AN29" s="166">
        <v>0.326353</v>
      </c>
      <c r="AO29" s="379"/>
      <c r="AP29" s="166">
        <v>0.3895689</v>
      </c>
      <c r="AQ29" s="379"/>
      <c r="AR29" s="166">
        <v>0.44188179999999999</v>
      </c>
      <c r="AS29" s="379"/>
      <c r="AT29" s="166">
        <v>0.43336029999999998</v>
      </c>
      <c r="AU29" s="379"/>
      <c r="AV29" s="166">
        <v>0.38449240000000001</v>
      </c>
      <c r="AW29" s="379"/>
      <c r="AX29" s="166">
        <v>0.35021059999999998</v>
      </c>
      <c r="AY29" s="379"/>
      <c r="AZ29" s="166">
        <v>0.44020759999999998</v>
      </c>
      <c r="BA29" s="379"/>
      <c r="BB29" s="166">
        <v>0.59731219999999996</v>
      </c>
      <c r="BC29" s="379"/>
      <c r="BD29" s="166">
        <v>0.35941909999999999</v>
      </c>
      <c r="BE29" s="379"/>
      <c r="BF29" s="166">
        <v>0.26231169999999998</v>
      </c>
      <c r="BG29" s="379"/>
      <c r="BH29" s="227"/>
      <c r="BI29" s="184"/>
      <c r="CJ29" s="150"/>
      <c r="CK29" s="150"/>
      <c r="CL29" s="150"/>
      <c r="CM29" s="151" t="s">
        <v>768</v>
      </c>
      <c r="CN29" s="150" t="s">
        <v>1130</v>
      </c>
      <c r="CO29" s="150"/>
      <c r="CP29" s="150"/>
      <c r="CQ29" s="150"/>
      <c r="CR29" s="150"/>
      <c r="CS29" s="150"/>
      <c r="CT29" s="150"/>
    </row>
    <row r="30" spans="1:98" s="12" customFormat="1" ht="12.75" customHeight="1">
      <c r="A30" s="26"/>
      <c r="B30" s="89" t="str">
        <f>Parameters!Q29</f>
        <v>C29_C30</v>
      </c>
      <c r="C30" s="90"/>
      <c r="D30" s="504" t="str">
        <f>Parameters!S29</f>
        <v>Manufacture of motor vehicles, trailers, semi-trailers and of other transport equipment</v>
      </c>
      <c r="E30" s="506"/>
      <c r="F30" s="252"/>
      <c r="G30" s="380"/>
      <c r="H30" s="253"/>
      <c r="I30" s="380"/>
      <c r="J30" s="253"/>
      <c r="K30" s="380"/>
      <c r="L30" s="253"/>
      <c r="M30" s="380"/>
      <c r="N30" s="253"/>
      <c r="O30" s="380"/>
      <c r="P30" s="253"/>
      <c r="Q30" s="380"/>
      <c r="R30" s="253"/>
      <c r="S30" s="380"/>
      <c r="T30" s="253"/>
      <c r="U30" s="380"/>
      <c r="V30" s="253"/>
      <c r="W30" s="380"/>
      <c r="X30" s="253"/>
      <c r="Y30" s="380"/>
      <c r="Z30" s="253"/>
      <c r="AA30" s="380"/>
      <c r="AB30" s="253"/>
      <c r="AC30" s="380"/>
      <c r="AD30" s="253"/>
      <c r="AE30" s="380"/>
      <c r="AF30" s="253">
        <v>1.0025337000000001</v>
      </c>
      <c r="AG30" s="380"/>
      <c r="AH30" s="253">
        <v>0.64741539999999997</v>
      </c>
      <c r="AI30" s="380"/>
      <c r="AJ30" s="253">
        <v>0.77987530000000005</v>
      </c>
      <c r="AK30" s="380"/>
      <c r="AL30" s="253">
        <v>0.66800250000000005</v>
      </c>
      <c r="AM30" s="380"/>
      <c r="AN30" s="253">
        <v>0.86785020000000002</v>
      </c>
      <c r="AO30" s="380"/>
      <c r="AP30" s="253">
        <v>0.70010050000000001</v>
      </c>
      <c r="AQ30" s="380"/>
      <c r="AR30" s="253">
        <v>0.54452160000000005</v>
      </c>
      <c r="AS30" s="380"/>
      <c r="AT30" s="253">
        <v>0.5108627</v>
      </c>
      <c r="AU30" s="380"/>
      <c r="AV30" s="253">
        <v>0.40013660000000001</v>
      </c>
      <c r="AW30" s="380"/>
      <c r="AX30" s="253">
        <v>0.51806960000000002</v>
      </c>
      <c r="AY30" s="380"/>
      <c r="AZ30" s="253">
        <v>0.58294699999999999</v>
      </c>
      <c r="BA30" s="380"/>
      <c r="BB30" s="253">
        <v>0.93306820000000001</v>
      </c>
      <c r="BC30" s="380"/>
      <c r="BD30" s="253">
        <v>0.60438510000000001</v>
      </c>
      <c r="BE30" s="380"/>
      <c r="BF30" s="253">
        <v>1.0292903</v>
      </c>
      <c r="BG30" s="380"/>
      <c r="BH30" s="253"/>
      <c r="BI30" s="254"/>
      <c r="CJ30" s="150"/>
      <c r="CK30" s="150"/>
      <c r="CL30" s="150"/>
      <c r="CM30" s="151"/>
      <c r="CN30" s="150"/>
      <c r="CO30" s="150"/>
      <c r="CP30" s="150"/>
      <c r="CQ30" s="150"/>
      <c r="CR30" s="150"/>
      <c r="CS30" s="150"/>
      <c r="CT30" s="150"/>
    </row>
    <row r="31" spans="1:98" s="12" customFormat="1" ht="12.75" customHeight="1">
      <c r="A31" s="310"/>
      <c r="B31" s="308" t="str">
        <f>Parameters!Q30</f>
        <v>C29</v>
      </c>
      <c r="C31" s="309"/>
      <c r="D31" s="495" t="str">
        <f>Parameters!S30</f>
        <v>Manufacture of motor vehicles, trailers and semi-trailers</v>
      </c>
      <c r="E31" s="496"/>
      <c r="F31" s="224"/>
      <c r="G31" s="379"/>
      <c r="H31" s="225"/>
      <c r="I31" s="379"/>
      <c r="J31" s="225"/>
      <c r="K31" s="379"/>
      <c r="L31" s="225"/>
      <c r="M31" s="379"/>
      <c r="N31" s="225"/>
      <c r="O31" s="379"/>
      <c r="P31" s="225"/>
      <c r="Q31" s="379"/>
      <c r="R31" s="225"/>
      <c r="S31" s="379"/>
      <c r="T31" s="225"/>
      <c r="U31" s="379"/>
      <c r="V31" s="225"/>
      <c r="W31" s="379"/>
      <c r="X31" s="225"/>
      <c r="Y31" s="379"/>
      <c r="Z31" s="225"/>
      <c r="AA31" s="379"/>
      <c r="AB31" s="225"/>
      <c r="AC31" s="379"/>
      <c r="AD31" s="225"/>
      <c r="AE31" s="379"/>
      <c r="AF31" s="165">
        <v>0.15856149999999999</v>
      </c>
      <c r="AG31" s="379"/>
      <c r="AH31" s="165">
        <v>7.1007600000000004E-2</v>
      </c>
      <c r="AI31" s="379"/>
      <c r="AJ31" s="165">
        <v>0.11756</v>
      </c>
      <c r="AK31" s="379"/>
      <c r="AL31" s="165">
        <v>9.3922199999999997E-2</v>
      </c>
      <c r="AM31" s="379"/>
      <c r="AN31" s="165">
        <v>0.1109641</v>
      </c>
      <c r="AO31" s="379"/>
      <c r="AP31" s="165">
        <v>6.2396100000000003E-2</v>
      </c>
      <c r="AQ31" s="379"/>
      <c r="AR31" s="165">
        <v>7.7484499999999998E-2</v>
      </c>
      <c r="AS31" s="379"/>
      <c r="AT31" s="165">
        <v>6.54719E-2</v>
      </c>
      <c r="AU31" s="379"/>
      <c r="AV31" s="165">
        <v>3.2095400000000003E-2</v>
      </c>
      <c r="AW31" s="379"/>
      <c r="AX31" s="165">
        <v>0.10066</v>
      </c>
      <c r="AY31" s="379"/>
      <c r="AZ31" s="165">
        <v>8.8992299999999996E-2</v>
      </c>
      <c r="BA31" s="379"/>
      <c r="BB31" s="165">
        <v>7.7983700000000003E-2</v>
      </c>
      <c r="BC31" s="379"/>
      <c r="BD31" s="165">
        <v>5.4539299999999999E-2</v>
      </c>
      <c r="BE31" s="379"/>
      <c r="BF31" s="165">
        <v>0.1643539</v>
      </c>
      <c r="BG31" s="379"/>
      <c r="BH31" s="225"/>
      <c r="BI31" s="184"/>
      <c r="CJ31" s="150"/>
      <c r="CK31" s="150"/>
      <c r="CL31" s="150"/>
      <c r="CM31" s="151" t="s">
        <v>779</v>
      </c>
      <c r="CN31" s="150" t="s">
        <v>1130</v>
      </c>
      <c r="CO31" s="150"/>
      <c r="CP31" s="150"/>
      <c r="CQ31" s="150"/>
      <c r="CR31" s="150"/>
      <c r="CS31" s="150"/>
      <c r="CT31" s="150"/>
    </row>
    <row r="32" spans="1:98" s="12" customFormat="1" ht="12.75" customHeight="1">
      <c r="A32" s="310"/>
      <c r="B32" s="308" t="str">
        <f>Parameters!Q31</f>
        <v>C30</v>
      </c>
      <c r="C32" s="309"/>
      <c r="D32" s="495" t="str">
        <f>Parameters!S31</f>
        <v>Manufacture of other transport equipment</v>
      </c>
      <c r="E32" s="496"/>
      <c r="F32" s="224"/>
      <c r="G32" s="379"/>
      <c r="H32" s="225"/>
      <c r="I32" s="379"/>
      <c r="J32" s="225"/>
      <c r="K32" s="379"/>
      <c r="L32" s="225"/>
      <c r="M32" s="379"/>
      <c r="N32" s="225"/>
      <c r="O32" s="379"/>
      <c r="P32" s="225"/>
      <c r="Q32" s="379"/>
      <c r="R32" s="225"/>
      <c r="S32" s="379"/>
      <c r="T32" s="225"/>
      <c r="U32" s="379"/>
      <c r="V32" s="225"/>
      <c r="W32" s="379"/>
      <c r="X32" s="225"/>
      <c r="Y32" s="379"/>
      <c r="Z32" s="225"/>
      <c r="AA32" s="379"/>
      <c r="AB32" s="225"/>
      <c r="AC32" s="379"/>
      <c r="AD32" s="225"/>
      <c r="AE32" s="379"/>
      <c r="AF32" s="165">
        <v>0.84397219999999995</v>
      </c>
      <c r="AG32" s="379"/>
      <c r="AH32" s="165">
        <v>0.57640780000000003</v>
      </c>
      <c r="AI32" s="379"/>
      <c r="AJ32" s="165">
        <v>0.66231530000000005</v>
      </c>
      <c r="AK32" s="379"/>
      <c r="AL32" s="165">
        <v>0.57408029999999999</v>
      </c>
      <c r="AM32" s="379"/>
      <c r="AN32" s="165">
        <v>0.75688599999999995</v>
      </c>
      <c r="AO32" s="379"/>
      <c r="AP32" s="165">
        <v>0.63770439999999995</v>
      </c>
      <c r="AQ32" s="379"/>
      <c r="AR32" s="165">
        <v>0.46703709999999998</v>
      </c>
      <c r="AS32" s="379"/>
      <c r="AT32" s="165">
        <v>0.44539079999999998</v>
      </c>
      <c r="AU32" s="379"/>
      <c r="AV32" s="165">
        <v>0.36804120000000001</v>
      </c>
      <c r="AW32" s="379"/>
      <c r="AX32" s="165">
        <v>0.41740959999999999</v>
      </c>
      <c r="AY32" s="379"/>
      <c r="AZ32" s="165">
        <v>0.49395470000000002</v>
      </c>
      <c r="BA32" s="379"/>
      <c r="BB32" s="165">
        <v>0.85508450000000003</v>
      </c>
      <c r="BC32" s="379"/>
      <c r="BD32" s="165">
        <v>0.54984580000000005</v>
      </c>
      <c r="BE32" s="379"/>
      <c r="BF32" s="165">
        <v>0.86493640000000005</v>
      </c>
      <c r="BG32" s="379"/>
      <c r="BH32" s="225"/>
      <c r="BI32" s="184"/>
      <c r="CJ32" s="150"/>
      <c r="CK32" s="150"/>
      <c r="CL32" s="150"/>
      <c r="CM32" s="151" t="s">
        <v>788</v>
      </c>
      <c r="CN32" s="150" t="s">
        <v>1130</v>
      </c>
      <c r="CO32" s="150"/>
      <c r="CP32" s="150"/>
      <c r="CQ32" s="150"/>
      <c r="CR32" s="150"/>
      <c r="CS32" s="150"/>
      <c r="CT32" s="150"/>
    </row>
    <row r="33" spans="1:98" s="12" customFormat="1" ht="25.5" customHeight="1">
      <c r="A33" s="26"/>
      <c r="B33" s="89" t="str">
        <f>Parameters!Q32</f>
        <v>C31-C33</v>
      </c>
      <c r="C33" s="90"/>
      <c r="D33" s="504" t="str">
        <f>Parameters!S32</f>
        <v>Manufacture of furniture; jewellery, musical instruments, toys; repair and installation of machinery and equipment</v>
      </c>
      <c r="E33" s="506"/>
      <c r="F33" s="252"/>
      <c r="G33" s="380"/>
      <c r="H33" s="253"/>
      <c r="I33" s="380"/>
      <c r="J33" s="253"/>
      <c r="K33" s="380"/>
      <c r="L33" s="253"/>
      <c r="M33" s="380"/>
      <c r="N33" s="253"/>
      <c r="O33" s="380"/>
      <c r="P33" s="253"/>
      <c r="Q33" s="380"/>
      <c r="R33" s="253"/>
      <c r="S33" s="380"/>
      <c r="T33" s="253"/>
      <c r="U33" s="380"/>
      <c r="V33" s="253"/>
      <c r="W33" s="380"/>
      <c r="X33" s="253"/>
      <c r="Y33" s="380"/>
      <c r="Z33" s="253"/>
      <c r="AA33" s="380"/>
      <c r="AB33" s="253"/>
      <c r="AC33" s="380"/>
      <c r="AD33" s="253"/>
      <c r="AE33" s="380"/>
      <c r="AF33" s="253">
        <v>0.7270392</v>
      </c>
      <c r="AG33" s="380"/>
      <c r="AH33" s="253">
        <v>0.88292369999999998</v>
      </c>
      <c r="AI33" s="380"/>
      <c r="AJ33" s="253">
        <v>1.2234982000000001</v>
      </c>
      <c r="AK33" s="380"/>
      <c r="AL33" s="253">
        <v>1.0889359000000001</v>
      </c>
      <c r="AM33" s="380"/>
      <c r="AN33" s="253">
        <v>1.0970532</v>
      </c>
      <c r="AO33" s="380"/>
      <c r="AP33" s="253">
        <v>0.9859156</v>
      </c>
      <c r="AQ33" s="380"/>
      <c r="AR33" s="253">
        <v>1.1114767000000001</v>
      </c>
      <c r="AS33" s="380"/>
      <c r="AT33" s="253">
        <v>1.1070846999999999</v>
      </c>
      <c r="AU33" s="380"/>
      <c r="AV33" s="253">
        <v>1.0044862000000001</v>
      </c>
      <c r="AW33" s="380"/>
      <c r="AX33" s="253">
        <v>0.92438540000000002</v>
      </c>
      <c r="AY33" s="380"/>
      <c r="AZ33" s="253">
        <v>1.0886111999999999</v>
      </c>
      <c r="BA33" s="380"/>
      <c r="BB33" s="253">
        <v>1.4281763000000001</v>
      </c>
      <c r="BC33" s="380"/>
      <c r="BD33" s="253">
        <v>1.4713088000000001</v>
      </c>
      <c r="BE33" s="380"/>
      <c r="BF33" s="253">
        <v>1.4717772</v>
      </c>
      <c r="BG33" s="380"/>
      <c r="BH33" s="253"/>
      <c r="BI33" s="254"/>
      <c r="CJ33" s="150"/>
      <c r="CK33" s="150"/>
      <c r="CL33" s="150"/>
      <c r="CM33" s="151"/>
      <c r="CN33" s="150"/>
      <c r="CO33" s="150"/>
      <c r="CP33" s="150"/>
      <c r="CQ33" s="150"/>
      <c r="CR33" s="150"/>
      <c r="CS33" s="150"/>
      <c r="CT33" s="150"/>
    </row>
    <row r="34" spans="1:98" s="12" customFormat="1" ht="12.75" customHeight="1">
      <c r="A34" s="310"/>
      <c r="B34" s="308" t="str">
        <f>Parameters!Q33</f>
        <v>C31_C32</v>
      </c>
      <c r="C34" s="309"/>
      <c r="D34" s="495" t="str">
        <f>Parameters!S33</f>
        <v>Manufacture of furniture; other manufacturing</v>
      </c>
      <c r="E34" s="496"/>
      <c r="F34" s="224"/>
      <c r="G34" s="379"/>
      <c r="H34" s="225"/>
      <c r="I34" s="379"/>
      <c r="J34" s="225"/>
      <c r="K34" s="379"/>
      <c r="L34" s="225"/>
      <c r="M34" s="379"/>
      <c r="N34" s="225"/>
      <c r="O34" s="379"/>
      <c r="P34" s="225"/>
      <c r="Q34" s="379"/>
      <c r="R34" s="225"/>
      <c r="S34" s="379"/>
      <c r="T34" s="225"/>
      <c r="U34" s="379"/>
      <c r="V34" s="225"/>
      <c r="W34" s="379"/>
      <c r="X34" s="225"/>
      <c r="Y34" s="379"/>
      <c r="Z34" s="225"/>
      <c r="AA34" s="379"/>
      <c r="AB34" s="225"/>
      <c r="AC34" s="379"/>
      <c r="AD34" s="225"/>
      <c r="AE34" s="379"/>
      <c r="AF34" s="165">
        <v>0.4323014</v>
      </c>
      <c r="AG34" s="379"/>
      <c r="AH34" s="165">
        <v>0.37608340000000001</v>
      </c>
      <c r="AI34" s="379"/>
      <c r="AJ34" s="165">
        <v>0.37020389999999997</v>
      </c>
      <c r="AK34" s="379"/>
      <c r="AL34" s="165">
        <v>0.38206970000000001</v>
      </c>
      <c r="AM34" s="379"/>
      <c r="AN34" s="165">
        <v>0.4944982</v>
      </c>
      <c r="AO34" s="379"/>
      <c r="AP34" s="165">
        <v>0.55609299999999995</v>
      </c>
      <c r="AQ34" s="379"/>
      <c r="AR34" s="165">
        <v>0.42724509999999999</v>
      </c>
      <c r="AS34" s="379"/>
      <c r="AT34" s="165">
        <v>0.31641370000000002</v>
      </c>
      <c r="AU34" s="379"/>
      <c r="AV34" s="165">
        <v>0.22283839999999999</v>
      </c>
      <c r="AW34" s="379"/>
      <c r="AX34" s="165">
        <v>0.26826260000000002</v>
      </c>
      <c r="AY34" s="379"/>
      <c r="AZ34" s="165">
        <v>0.29631220000000003</v>
      </c>
      <c r="BA34" s="379"/>
      <c r="BB34" s="165">
        <v>0.2288318</v>
      </c>
      <c r="BC34" s="379"/>
      <c r="BD34" s="165">
        <v>0.29522749999999998</v>
      </c>
      <c r="BE34" s="379"/>
      <c r="BF34" s="165">
        <v>0.32356059999999998</v>
      </c>
      <c r="BG34" s="379"/>
      <c r="BH34" s="225"/>
      <c r="BI34" s="184"/>
      <c r="CJ34" s="150"/>
      <c r="CK34" s="150"/>
      <c r="CL34" s="150"/>
      <c r="CM34" s="151" t="s">
        <v>1137</v>
      </c>
      <c r="CN34" s="150" t="s">
        <v>1130</v>
      </c>
      <c r="CO34" s="150"/>
      <c r="CP34" s="150"/>
      <c r="CQ34" s="150"/>
      <c r="CR34" s="150"/>
      <c r="CS34" s="150"/>
      <c r="CT34" s="150"/>
    </row>
    <row r="35" spans="1:98" s="11" customFormat="1" ht="12.75" customHeight="1">
      <c r="A35" s="310"/>
      <c r="B35" s="308" t="str">
        <f>Parameters!Q34</f>
        <v>C33</v>
      </c>
      <c r="C35" s="309"/>
      <c r="D35" s="495" t="str">
        <f>Parameters!S34</f>
        <v>Repair and installation of machinery and equipment</v>
      </c>
      <c r="E35" s="510"/>
      <c r="F35" s="224"/>
      <c r="G35" s="379"/>
      <c r="H35" s="225"/>
      <c r="I35" s="379"/>
      <c r="J35" s="225"/>
      <c r="K35" s="379"/>
      <c r="L35" s="225"/>
      <c r="M35" s="379"/>
      <c r="N35" s="225"/>
      <c r="O35" s="379"/>
      <c r="P35" s="225"/>
      <c r="Q35" s="379"/>
      <c r="R35" s="225"/>
      <c r="S35" s="379"/>
      <c r="T35" s="225"/>
      <c r="U35" s="379"/>
      <c r="V35" s="225"/>
      <c r="W35" s="379"/>
      <c r="X35" s="225"/>
      <c r="Y35" s="379"/>
      <c r="Z35" s="225"/>
      <c r="AA35" s="379"/>
      <c r="AB35" s="225"/>
      <c r="AC35" s="379"/>
      <c r="AD35" s="225"/>
      <c r="AE35" s="379"/>
      <c r="AF35" s="165">
        <v>0.29473779999999999</v>
      </c>
      <c r="AG35" s="379"/>
      <c r="AH35" s="165">
        <v>0.50684030000000002</v>
      </c>
      <c r="AI35" s="379"/>
      <c r="AJ35" s="165">
        <v>0.8532942</v>
      </c>
      <c r="AK35" s="379"/>
      <c r="AL35" s="165">
        <v>0.7068662</v>
      </c>
      <c r="AM35" s="379"/>
      <c r="AN35" s="165">
        <v>0.6025549</v>
      </c>
      <c r="AO35" s="379"/>
      <c r="AP35" s="165">
        <v>0.4298227</v>
      </c>
      <c r="AQ35" s="379"/>
      <c r="AR35" s="165">
        <v>0.68423149999999999</v>
      </c>
      <c r="AS35" s="379"/>
      <c r="AT35" s="165">
        <v>0.79067100000000001</v>
      </c>
      <c r="AU35" s="379"/>
      <c r="AV35" s="165">
        <v>0.7816478</v>
      </c>
      <c r="AW35" s="379"/>
      <c r="AX35" s="165">
        <v>0.65612280000000001</v>
      </c>
      <c r="AY35" s="379"/>
      <c r="AZ35" s="165">
        <v>0.79229899999999998</v>
      </c>
      <c r="BA35" s="379"/>
      <c r="BB35" s="165">
        <v>1.1993445</v>
      </c>
      <c r="BC35" s="379"/>
      <c r="BD35" s="165">
        <v>1.1760813000000001</v>
      </c>
      <c r="BE35" s="379"/>
      <c r="BF35" s="165">
        <v>1.1482166</v>
      </c>
      <c r="BG35" s="379"/>
      <c r="BH35" s="225"/>
      <c r="BI35" s="184"/>
      <c r="CJ35" s="150"/>
      <c r="CK35" s="150"/>
      <c r="CL35" s="150"/>
      <c r="CM35" s="151" t="s">
        <v>810</v>
      </c>
      <c r="CN35" s="150" t="s">
        <v>1130</v>
      </c>
      <c r="CO35" s="150"/>
      <c r="CP35" s="150"/>
      <c r="CQ35" s="150"/>
      <c r="CR35" s="150"/>
      <c r="CS35" s="150"/>
      <c r="CT35" s="150"/>
    </row>
    <row r="36" spans="1:98" s="10" customFormat="1" ht="12.75" customHeight="1">
      <c r="A36" s="25"/>
      <c r="B36" s="87" t="str">
        <f>Parameters!Q35</f>
        <v>D</v>
      </c>
      <c r="C36" s="88"/>
      <c r="D36" s="498" t="str">
        <f>Parameters!S35</f>
        <v>Electricity, gas, steam and air conditioning supply</v>
      </c>
      <c r="E36" s="496"/>
      <c r="F36" s="222"/>
      <c r="G36" s="379"/>
      <c r="H36" s="223"/>
      <c r="I36" s="379"/>
      <c r="J36" s="223"/>
      <c r="K36" s="379"/>
      <c r="L36" s="223"/>
      <c r="M36" s="379"/>
      <c r="N36" s="223"/>
      <c r="O36" s="379"/>
      <c r="P36" s="223"/>
      <c r="Q36" s="379"/>
      <c r="R36" s="223"/>
      <c r="S36" s="379"/>
      <c r="T36" s="223"/>
      <c r="U36" s="379"/>
      <c r="V36" s="223"/>
      <c r="W36" s="379"/>
      <c r="X36" s="223"/>
      <c r="Y36" s="379"/>
      <c r="Z36" s="223"/>
      <c r="AA36" s="379"/>
      <c r="AB36" s="223"/>
      <c r="AC36" s="379"/>
      <c r="AD36" s="223"/>
      <c r="AE36" s="379"/>
      <c r="AF36" s="164">
        <v>32.095104300000003</v>
      </c>
      <c r="AG36" s="379"/>
      <c r="AH36" s="164">
        <v>35.4775767</v>
      </c>
      <c r="AI36" s="379"/>
      <c r="AJ36" s="164">
        <v>55.697001200000003</v>
      </c>
      <c r="AK36" s="379"/>
      <c r="AL36" s="164">
        <v>53.184441300000003</v>
      </c>
      <c r="AM36" s="379"/>
      <c r="AN36" s="164">
        <v>59.133389000000001</v>
      </c>
      <c r="AO36" s="379"/>
      <c r="AP36" s="164">
        <v>64.411730300000002</v>
      </c>
      <c r="AQ36" s="379"/>
      <c r="AR36" s="164">
        <v>66.394983699999997</v>
      </c>
      <c r="AS36" s="379"/>
      <c r="AT36" s="164">
        <v>70.134277499999996</v>
      </c>
      <c r="AU36" s="379"/>
      <c r="AV36" s="164">
        <v>72.007054100000005</v>
      </c>
      <c r="AW36" s="379"/>
      <c r="AX36" s="164">
        <v>77.006000799999995</v>
      </c>
      <c r="AY36" s="379"/>
      <c r="AZ36" s="164">
        <v>79.6043406</v>
      </c>
      <c r="BA36" s="379"/>
      <c r="BB36" s="164">
        <v>81.250118999999998</v>
      </c>
      <c r="BC36" s="379"/>
      <c r="BD36" s="164">
        <v>79.206696399999998</v>
      </c>
      <c r="BE36" s="379"/>
      <c r="BF36" s="164">
        <v>79.101841300000004</v>
      </c>
      <c r="BG36" s="379"/>
      <c r="BH36" s="223"/>
      <c r="BI36" s="184"/>
      <c r="CJ36" s="150"/>
      <c r="CK36" s="150"/>
      <c r="CL36" s="150"/>
      <c r="CM36" s="151" t="s">
        <v>275</v>
      </c>
      <c r="CN36" s="150" t="s">
        <v>1130</v>
      </c>
      <c r="CO36" s="150"/>
      <c r="CP36" s="150"/>
      <c r="CQ36" s="150"/>
      <c r="CR36" s="150"/>
      <c r="CS36" s="150"/>
      <c r="CT36" s="150"/>
    </row>
    <row r="37" spans="1:98" s="10" customFormat="1">
      <c r="A37" s="25"/>
      <c r="B37" s="87" t="str">
        <f>Parameters!Q36</f>
        <v>E</v>
      </c>
      <c r="C37" s="88"/>
      <c r="D37" s="498" t="str">
        <f>Parameters!S36</f>
        <v>Water supply; sewerage, waste management and remediation activities</v>
      </c>
      <c r="E37" s="499"/>
      <c r="F37" s="222"/>
      <c r="G37" s="379"/>
      <c r="H37" s="223"/>
      <c r="I37" s="379"/>
      <c r="J37" s="223"/>
      <c r="K37" s="379"/>
      <c r="L37" s="223"/>
      <c r="M37" s="379"/>
      <c r="N37" s="223"/>
      <c r="O37" s="379"/>
      <c r="P37" s="223"/>
      <c r="Q37" s="379"/>
      <c r="R37" s="223"/>
      <c r="S37" s="379"/>
      <c r="T37" s="223"/>
      <c r="U37" s="379"/>
      <c r="V37" s="223"/>
      <c r="W37" s="379"/>
      <c r="X37" s="223"/>
      <c r="Y37" s="379"/>
      <c r="Z37" s="223"/>
      <c r="AA37" s="379"/>
      <c r="AB37" s="223"/>
      <c r="AC37" s="379"/>
      <c r="AD37" s="223"/>
      <c r="AE37" s="379"/>
      <c r="AF37" s="164">
        <v>149.69171249999999</v>
      </c>
      <c r="AG37" s="379"/>
      <c r="AH37" s="164">
        <v>155.8278445</v>
      </c>
      <c r="AI37" s="379"/>
      <c r="AJ37" s="164">
        <v>152.89794850000001</v>
      </c>
      <c r="AK37" s="379"/>
      <c r="AL37" s="164">
        <v>156.1002043</v>
      </c>
      <c r="AM37" s="379"/>
      <c r="AN37" s="164">
        <v>157.69036159999999</v>
      </c>
      <c r="AO37" s="379"/>
      <c r="AP37" s="164">
        <v>160.59866600000001</v>
      </c>
      <c r="AQ37" s="379"/>
      <c r="AR37" s="164">
        <v>163.87924029999999</v>
      </c>
      <c r="AS37" s="379"/>
      <c r="AT37" s="164">
        <v>171.09255769999999</v>
      </c>
      <c r="AU37" s="379"/>
      <c r="AV37" s="164">
        <v>173.79250429999999</v>
      </c>
      <c r="AW37" s="379"/>
      <c r="AX37" s="164">
        <v>178.93542579999999</v>
      </c>
      <c r="AY37" s="379"/>
      <c r="AZ37" s="164">
        <v>173.0747116</v>
      </c>
      <c r="BA37" s="379"/>
      <c r="BB37" s="164">
        <v>176.64337620000001</v>
      </c>
      <c r="BC37" s="379"/>
      <c r="BD37" s="164">
        <v>182.2161806</v>
      </c>
      <c r="BE37" s="379"/>
      <c r="BF37" s="164">
        <v>173.21124940000001</v>
      </c>
      <c r="BG37" s="379"/>
      <c r="BH37" s="223"/>
      <c r="BI37" s="184"/>
      <c r="CJ37" s="150"/>
      <c r="CK37" s="150"/>
      <c r="CL37" s="150"/>
      <c r="CM37" s="151" t="s">
        <v>269</v>
      </c>
      <c r="CN37" s="150" t="s">
        <v>1130</v>
      </c>
      <c r="CO37" s="150"/>
      <c r="CP37" s="150"/>
      <c r="CQ37" s="150"/>
      <c r="CR37" s="150"/>
      <c r="CS37" s="150"/>
      <c r="CT37" s="150"/>
    </row>
    <row r="38" spans="1:98" s="11" customFormat="1" ht="12.75" customHeight="1">
      <c r="A38" s="310"/>
      <c r="B38" s="308" t="str">
        <f>Parameters!Q37</f>
        <v>E36</v>
      </c>
      <c r="C38" s="309"/>
      <c r="D38" s="495" t="str">
        <f>Parameters!S37</f>
        <v>Water collection, treatment and supply</v>
      </c>
      <c r="E38" s="510"/>
      <c r="F38" s="224"/>
      <c r="G38" s="379"/>
      <c r="H38" s="225"/>
      <c r="I38" s="379"/>
      <c r="J38" s="225"/>
      <c r="K38" s="379"/>
      <c r="L38" s="225"/>
      <c r="M38" s="379"/>
      <c r="N38" s="225"/>
      <c r="O38" s="379"/>
      <c r="P38" s="225"/>
      <c r="Q38" s="379"/>
      <c r="R38" s="225"/>
      <c r="S38" s="379"/>
      <c r="T38" s="225"/>
      <c r="U38" s="379"/>
      <c r="V38" s="225"/>
      <c r="W38" s="379"/>
      <c r="X38" s="225"/>
      <c r="Y38" s="379"/>
      <c r="Z38" s="225"/>
      <c r="AA38" s="379"/>
      <c r="AB38" s="225"/>
      <c r="AC38" s="379"/>
      <c r="AD38" s="225"/>
      <c r="AE38" s="379"/>
      <c r="AF38" s="165">
        <v>2.3741499999999999E-2</v>
      </c>
      <c r="AG38" s="379"/>
      <c r="AH38" s="165">
        <v>2.43232E-2</v>
      </c>
      <c r="AI38" s="379"/>
      <c r="AJ38" s="165">
        <v>4.9062700000000001E-2</v>
      </c>
      <c r="AK38" s="379"/>
      <c r="AL38" s="165">
        <v>4.1244900000000001E-2</v>
      </c>
      <c r="AM38" s="379"/>
      <c r="AN38" s="165">
        <v>3.8282700000000003E-2</v>
      </c>
      <c r="AO38" s="379"/>
      <c r="AP38" s="165">
        <v>2.5723099999999999E-2</v>
      </c>
      <c r="AQ38" s="379"/>
      <c r="AR38" s="165">
        <v>2.2636099999999999E-2</v>
      </c>
      <c r="AS38" s="379"/>
      <c r="AT38" s="165">
        <v>7.0712399999999995E-2</v>
      </c>
      <c r="AU38" s="379"/>
      <c r="AV38" s="165">
        <v>6.5268000000000007E-2</v>
      </c>
      <c r="AW38" s="379"/>
      <c r="AX38" s="165">
        <v>1.81032E-2</v>
      </c>
      <c r="AY38" s="379"/>
      <c r="AZ38" s="165">
        <v>1.7345699999999999E-2</v>
      </c>
      <c r="BA38" s="379"/>
      <c r="BB38" s="165">
        <v>1.7380099999999999E-2</v>
      </c>
      <c r="BC38" s="379"/>
      <c r="BD38" s="165">
        <v>3.2040600000000002E-2</v>
      </c>
      <c r="BE38" s="379"/>
      <c r="BF38" s="165">
        <v>4.2275699999999999E-2</v>
      </c>
      <c r="BG38" s="379"/>
      <c r="BH38" s="225"/>
      <c r="BI38" s="184"/>
      <c r="CJ38" s="150"/>
      <c r="CK38" s="150"/>
      <c r="CL38" s="150"/>
      <c r="CM38" s="151" t="s">
        <v>824</v>
      </c>
      <c r="CN38" s="150" t="s">
        <v>1130</v>
      </c>
      <c r="CO38" s="150"/>
      <c r="CP38" s="150"/>
      <c r="CQ38" s="150"/>
      <c r="CR38" s="150"/>
      <c r="CS38" s="150"/>
      <c r="CT38" s="150"/>
    </row>
    <row r="39" spans="1:98" s="11" customFormat="1" ht="12.75" customHeight="1">
      <c r="A39" s="310"/>
      <c r="B39" s="308" t="str">
        <f>Parameters!Q38</f>
        <v>E37-E39</v>
      </c>
      <c r="C39" s="309"/>
      <c r="D39" s="495" t="str">
        <f>Parameters!S38</f>
        <v>Sewerage, waste management, remediation activities</v>
      </c>
      <c r="E39" s="510"/>
      <c r="F39" s="224"/>
      <c r="G39" s="379"/>
      <c r="H39" s="225"/>
      <c r="I39" s="379"/>
      <c r="J39" s="225"/>
      <c r="K39" s="379"/>
      <c r="L39" s="225"/>
      <c r="M39" s="379"/>
      <c r="N39" s="225"/>
      <c r="O39" s="379"/>
      <c r="P39" s="225"/>
      <c r="Q39" s="379"/>
      <c r="R39" s="225"/>
      <c r="S39" s="379"/>
      <c r="T39" s="225"/>
      <c r="U39" s="379"/>
      <c r="V39" s="225"/>
      <c r="W39" s="379"/>
      <c r="X39" s="225"/>
      <c r="Y39" s="379"/>
      <c r="Z39" s="225"/>
      <c r="AA39" s="379"/>
      <c r="AB39" s="225"/>
      <c r="AC39" s="379"/>
      <c r="AD39" s="225"/>
      <c r="AE39" s="379"/>
      <c r="AF39" s="165">
        <v>149.66797099999999</v>
      </c>
      <c r="AG39" s="379"/>
      <c r="AH39" s="165">
        <v>155.80352139999999</v>
      </c>
      <c r="AI39" s="379"/>
      <c r="AJ39" s="165">
        <v>152.84888580000001</v>
      </c>
      <c r="AK39" s="379"/>
      <c r="AL39" s="165">
        <v>156.05895939999999</v>
      </c>
      <c r="AM39" s="379"/>
      <c r="AN39" s="165">
        <v>157.65207889999999</v>
      </c>
      <c r="AO39" s="379"/>
      <c r="AP39" s="165">
        <v>160.57294279999999</v>
      </c>
      <c r="AQ39" s="379"/>
      <c r="AR39" s="165">
        <v>163.8566041</v>
      </c>
      <c r="AS39" s="379"/>
      <c r="AT39" s="165">
        <v>171.0218453</v>
      </c>
      <c r="AU39" s="379"/>
      <c r="AV39" s="165">
        <v>173.72723619999999</v>
      </c>
      <c r="AW39" s="379"/>
      <c r="AX39" s="165">
        <v>178.91732260000001</v>
      </c>
      <c r="AY39" s="379"/>
      <c r="AZ39" s="165">
        <v>173.057366</v>
      </c>
      <c r="BA39" s="379"/>
      <c r="BB39" s="165">
        <v>176.62599610000001</v>
      </c>
      <c r="BC39" s="379"/>
      <c r="BD39" s="165">
        <v>182.18414000000001</v>
      </c>
      <c r="BE39" s="379"/>
      <c r="BF39" s="165">
        <v>173.16897370000001</v>
      </c>
      <c r="BG39" s="379"/>
      <c r="BH39" s="225"/>
      <c r="BI39" s="184"/>
      <c r="CJ39" s="150"/>
      <c r="CK39" s="150"/>
      <c r="CL39" s="150"/>
      <c r="CM39" s="151" t="s">
        <v>1138</v>
      </c>
      <c r="CN39" s="150" t="s">
        <v>1130</v>
      </c>
      <c r="CO39" s="150"/>
      <c r="CP39" s="150"/>
      <c r="CQ39" s="150"/>
      <c r="CR39" s="150"/>
      <c r="CS39" s="150"/>
      <c r="CT39" s="150"/>
    </row>
    <row r="40" spans="1:98" s="10" customFormat="1" ht="12.75" customHeight="1">
      <c r="A40" s="27"/>
      <c r="B40" s="87" t="str">
        <f>Parameters!Q39</f>
        <v>F</v>
      </c>
      <c r="C40" s="88"/>
      <c r="D40" s="498" t="str">
        <f>Parameters!S39</f>
        <v>Construction</v>
      </c>
      <c r="E40" s="496"/>
      <c r="F40" s="222"/>
      <c r="G40" s="379"/>
      <c r="H40" s="223"/>
      <c r="I40" s="379"/>
      <c r="J40" s="223"/>
      <c r="K40" s="379"/>
      <c r="L40" s="223"/>
      <c r="M40" s="379"/>
      <c r="N40" s="223"/>
      <c r="O40" s="379"/>
      <c r="P40" s="223"/>
      <c r="Q40" s="379"/>
      <c r="R40" s="223"/>
      <c r="S40" s="379"/>
      <c r="T40" s="223"/>
      <c r="U40" s="379"/>
      <c r="V40" s="223"/>
      <c r="W40" s="379"/>
      <c r="X40" s="223"/>
      <c r="Y40" s="379"/>
      <c r="Z40" s="223"/>
      <c r="AA40" s="379"/>
      <c r="AB40" s="223"/>
      <c r="AC40" s="379"/>
      <c r="AD40" s="223"/>
      <c r="AE40" s="379"/>
      <c r="AF40" s="164">
        <v>49.508341299999998</v>
      </c>
      <c r="AG40" s="379"/>
      <c r="AH40" s="164">
        <v>47.031192099999998</v>
      </c>
      <c r="AI40" s="379"/>
      <c r="AJ40" s="164">
        <v>47.011551099999998</v>
      </c>
      <c r="AK40" s="379"/>
      <c r="AL40" s="164">
        <v>52.060724999999998</v>
      </c>
      <c r="AM40" s="379"/>
      <c r="AN40" s="164">
        <v>63.797129200000001</v>
      </c>
      <c r="AO40" s="379"/>
      <c r="AP40" s="164">
        <v>71.141963000000004</v>
      </c>
      <c r="AQ40" s="379"/>
      <c r="AR40" s="164">
        <v>70.384685000000005</v>
      </c>
      <c r="AS40" s="379"/>
      <c r="AT40" s="164">
        <v>74.717868199999998</v>
      </c>
      <c r="AU40" s="379"/>
      <c r="AV40" s="164">
        <v>75.705319000000003</v>
      </c>
      <c r="AW40" s="379"/>
      <c r="AX40" s="164">
        <v>86.711619600000006</v>
      </c>
      <c r="AY40" s="379"/>
      <c r="AZ40" s="164">
        <v>90.406616099999994</v>
      </c>
      <c r="BA40" s="379"/>
      <c r="BB40" s="164">
        <v>88.116703700000002</v>
      </c>
      <c r="BC40" s="379"/>
      <c r="BD40" s="164">
        <v>83.109915799999996</v>
      </c>
      <c r="BE40" s="379"/>
      <c r="BF40" s="164">
        <v>87.807303099999999</v>
      </c>
      <c r="BG40" s="379"/>
      <c r="BH40" s="223"/>
      <c r="BI40" s="184"/>
      <c r="CJ40" s="150"/>
      <c r="CK40" s="150"/>
      <c r="CL40" s="150"/>
      <c r="CM40" s="151" t="s">
        <v>834</v>
      </c>
      <c r="CN40" s="150" t="s">
        <v>1130</v>
      </c>
      <c r="CO40" s="150"/>
      <c r="CP40" s="150"/>
      <c r="CQ40" s="150"/>
      <c r="CR40" s="150"/>
      <c r="CS40" s="150"/>
      <c r="CT40" s="150"/>
    </row>
    <row r="41" spans="1:98" s="10" customFormat="1">
      <c r="A41" s="25"/>
      <c r="B41" s="87" t="str">
        <f>Parameters!Q40</f>
        <v>G</v>
      </c>
      <c r="C41" s="88"/>
      <c r="D41" s="498" t="str">
        <f>Parameters!S40</f>
        <v>Wholesale and retail trade; repair of motor vehicles and motorcycles</v>
      </c>
      <c r="E41" s="499"/>
      <c r="F41" s="222"/>
      <c r="G41" s="379"/>
      <c r="H41" s="223"/>
      <c r="I41" s="379"/>
      <c r="J41" s="223"/>
      <c r="K41" s="379"/>
      <c r="L41" s="223"/>
      <c r="M41" s="379"/>
      <c r="N41" s="223"/>
      <c r="O41" s="379"/>
      <c r="P41" s="223"/>
      <c r="Q41" s="379"/>
      <c r="R41" s="223"/>
      <c r="S41" s="379"/>
      <c r="T41" s="223"/>
      <c r="U41" s="379"/>
      <c r="V41" s="223"/>
      <c r="W41" s="379"/>
      <c r="X41" s="223"/>
      <c r="Y41" s="379"/>
      <c r="Z41" s="223"/>
      <c r="AA41" s="379"/>
      <c r="AB41" s="223"/>
      <c r="AC41" s="379"/>
      <c r="AD41" s="223"/>
      <c r="AE41" s="379"/>
      <c r="AF41" s="164">
        <v>22.0859877</v>
      </c>
      <c r="AG41" s="379"/>
      <c r="AH41" s="164">
        <v>21.587136699999999</v>
      </c>
      <c r="AI41" s="379"/>
      <c r="AJ41" s="164">
        <v>25.282097</v>
      </c>
      <c r="AK41" s="379"/>
      <c r="AL41" s="164">
        <v>26.834127299999999</v>
      </c>
      <c r="AM41" s="379"/>
      <c r="AN41" s="164">
        <v>28.435859600000001</v>
      </c>
      <c r="AO41" s="379"/>
      <c r="AP41" s="164">
        <v>31.931661900000002</v>
      </c>
      <c r="AQ41" s="379"/>
      <c r="AR41" s="164">
        <v>29.132203700000002</v>
      </c>
      <c r="AS41" s="379"/>
      <c r="AT41" s="164">
        <v>30.537424300000001</v>
      </c>
      <c r="AU41" s="379"/>
      <c r="AV41" s="164">
        <v>36.111379100000001</v>
      </c>
      <c r="AW41" s="379"/>
      <c r="AX41" s="164">
        <v>35.9453399</v>
      </c>
      <c r="AY41" s="379"/>
      <c r="AZ41" s="164">
        <v>36.591203100000001</v>
      </c>
      <c r="BA41" s="379"/>
      <c r="BB41" s="164">
        <v>43.504641200000002</v>
      </c>
      <c r="BC41" s="379"/>
      <c r="BD41" s="164">
        <v>37.6481943</v>
      </c>
      <c r="BE41" s="379"/>
      <c r="BF41" s="164">
        <v>38.8588351</v>
      </c>
      <c r="BG41" s="379"/>
      <c r="BH41" s="223"/>
      <c r="BI41" s="184"/>
      <c r="CJ41" s="150"/>
      <c r="CK41" s="150"/>
      <c r="CL41" s="150"/>
      <c r="CM41" s="151" t="s">
        <v>839</v>
      </c>
      <c r="CN41" s="150" t="s">
        <v>1130</v>
      </c>
      <c r="CO41" s="150"/>
      <c r="CP41" s="150"/>
      <c r="CQ41" s="150"/>
      <c r="CR41" s="150"/>
      <c r="CS41" s="150"/>
      <c r="CT41" s="150"/>
    </row>
    <row r="42" spans="1:98" s="10" customFormat="1" ht="12.75" customHeight="1">
      <c r="A42" s="310"/>
      <c r="B42" s="308" t="str">
        <f>Parameters!Q41</f>
        <v>G45</v>
      </c>
      <c r="C42" s="309"/>
      <c r="D42" s="495" t="str">
        <f>Parameters!S41</f>
        <v>Wholesale and retail trade and repair of motor vehicles and motorcycles</v>
      </c>
      <c r="E42" s="496"/>
      <c r="F42" s="224"/>
      <c r="G42" s="379"/>
      <c r="H42" s="225"/>
      <c r="I42" s="379"/>
      <c r="J42" s="225"/>
      <c r="K42" s="379"/>
      <c r="L42" s="225"/>
      <c r="M42" s="379"/>
      <c r="N42" s="225"/>
      <c r="O42" s="379"/>
      <c r="P42" s="225"/>
      <c r="Q42" s="379"/>
      <c r="R42" s="225"/>
      <c r="S42" s="379"/>
      <c r="T42" s="225"/>
      <c r="U42" s="379"/>
      <c r="V42" s="225"/>
      <c r="W42" s="379"/>
      <c r="X42" s="225"/>
      <c r="Y42" s="379"/>
      <c r="Z42" s="225"/>
      <c r="AA42" s="379"/>
      <c r="AB42" s="225"/>
      <c r="AC42" s="379"/>
      <c r="AD42" s="225"/>
      <c r="AE42" s="379"/>
      <c r="AF42" s="165">
        <v>5.8801408999999998</v>
      </c>
      <c r="AG42" s="379"/>
      <c r="AH42" s="165">
        <v>5.5958587</v>
      </c>
      <c r="AI42" s="379"/>
      <c r="AJ42" s="165">
        <v>6.5855737999999997</v>
      </c>
      <c r="AK42" s="379"/>
      <c r="AL42" s="165">
        <v>6.8228913999999996</v>
      </c>
      <c r="AM42" s="379"/>
      <c r="AN42" s="165">
        <v>7.7341768000000002</v>
      </c>
      <c r="AO42" s="379"/>
      <c r="AP42" s="165">
        <v>7.6495606</v>
      </c>
      <c r="AQ42" s="379"/>
      <c r="AR42" s="165">
        <v>6.9578508000000001</v>
      </c>
      <c r="AS42" s="379"/>
      <c r="AT42" s="165">
        <v>7.9801508999999999</v>
      </c>
      <c r="AU42" s="379"/>
      <c r="AV42" s="165">
        <v>10.8307517</v>
      </c>
      <c r="AW42" s="379"/>
      <c r="AX42" s="165">
        <v>11.098489600000001</v>
      </c>
      <c r="AY42" s="379"/>
      <c r="AZ42" s="165">
        <v>7.8551630000000001</v>
      </c>
      <c r="BA42" s="379"/>
      <c r="BB42" s="165">
        <v>6.3001291999999998</v>
      </c>
      <c r="BC42" s="379"/>
      <c r="BD42" s="165">
        <v>5.6983860000000002</v>
      </c>
      <c r="BE42" s="379"/>
      <c r="BF42" s="165">
        <v>5.9961320999999996</v>
      </c>
      <c r="BG42" s="379"/>
      <c r="BH42" s="225"/>
      <c r="BI42" s="184"/>
      <c r="CJ42" s="150"/>
      <c r="CK42" s="150"/>
      <c r="CL42" s="150"/>
      <c r="CM42" s="151" t="s">
        <v>844</v>
      </c>
      <c r="CN42" s="150" t="s">
        <v>1130</v>
      </c>
      <c r="CO42" s="150"/>
      <c r="CP42" s="150"/>
      <c r="CQ42" s="150"/>
      <c r="CR42" s="150"/>
      <c r="CS42" s="150"/>
      <c r="CT42" s="150"/>
    </row>
    <row r="43" spans="1:98" s="11" customFormat="1" ht="12.75" customHeight="1">
      <c r="A43" s="310"/>
      <c r="B43" s="308" t="str">
        <f>Parameters!Q42</f>
        <v>G46</v>
      </c>
      <c r="C43" s="309"/>
      <c r="D43" s="495" t="str">
        <f>Parameters!S42</f>
        <v>Wholesale trade, except of motor vehicles and motorcycles</v>
      </c>
      <c r="E43" s="496"/>
      <c r="F43" s="224"/>
      <c r="G43" s="379"/>
      <c r="H43" s="225"/>
      <c r="I43" s="379"/>
      <c r="J43" s="225"/>
      <c r="K43" s="379"/>
      <c r="L43" s="225"/>
      <c r="M43" s="379"/>
      <c r="N43" s="225"/>
      <c r="O43" s="379"/>
      <c r="P43" s="225"/>
      <c r="Q43" s="379"/>
      <c r="R43" s="225"/>
      <c r="S43" s="379"/>
      <c r="T43" s="225"/>
      <c r="U43" s="379"/>
      <c r="V43" s="225"/>
      <c r="W43" s="379"/>
      <c r="X43" s="225"/>
      <c r="Y43" s="379"/>
      <c r="Z43" s="225"/>
      <c r="AA43" s="379"/>
      <c r="AB43" s="225"/>
      <c r="AC43" s="379"/>
      <c r="AD43" s="225"/>
      <c r="AE43" s="379"/>
      <c r="AF43" s="165">
        <v>8.0750422999999998</v>
      </c>
      <c r="AG43" s="379"/>
      <c r="AH43" s="165">
        <v>8.4739903999999999</v>
      </c>
      <c r="AI43" s="379"/>
      <c r="AJ43" s="165">
        <v>11.701048200000001</v>
      </c>
      <c r="AK43" s="379"/>
      <c r="AL43" s="165">
        <v>12.1773737</v>
      </c>
      <c r="AM43" s="379"/>
      <c r="AN43" s="165">
        <v>12.6184791</v>
      </c>
      <c r="AO43" s="379"/>
      <c r="AP43" s="165">
        <v>15.242554800000001</v>
      </c>
      <c r="AQ43" s="379"/>
      <c r="AR43" s="165">
        <v>14.8524058</v>
      </c>
      <c r="AS43" s="379"/>
      <c r="AT43" s="165">
        <v>15.8469129</v>
      </c>
      <c r="AU43" s="379"/>
      <c r="AV43" s="165">
        <v>18.179570200000001</v>
      </c>
      <c r="AW43" s="379"/>
      <c r="AX43" s="165">
        <v>17.978456600000001</v>
      </c>
      <c r="AY43" s="379"/>
      <c r="AZ43" s="165">
        <v>19.804649699999999</v>
      </c>
      <c r="BA43" s="379"/>
      <c r="BB43" s="165">
        <v>22.260402299999999</v>
      </c>
      <c r="BC43" s="379"/>
      <c r="BD43" s="165">
        <v>23.825002399999999</v>
      </c>
      <c r="BE43" s="379"/>
      <c r="BF43" s="165">
        <v>28.073635100000001</v>
      </c>
      <c r="BG43" s="379"/>
      <c r="BH43" s="225"/>
      <c r="BI43" s="184"/>
      <c r="CJ43" s="150"/>
      <c r="CK43" s="150"/>
      <c r="CL43" s="150"/>
      <c r="CM43" s="151" t="s">
        <v>848</v>
      </c>
      <c r="CN43" s="150" t="s">
        <v>1130</v>
      </c>
      <c r="CO43" s="150"/>
      <c r="CP43" s="150"/>
      <c r="CQ43" s="150"/>
      <c r="CR43" s="150"/>
      <c r="CS43" s="150"/>
      <c r="CT43" s="150"/>
    </row>
    <row r="44" spans="1:98" s="11" customFormat="1" ht="12.75" customHeight="1">
      <c r="A44" s="310"/>
      <c r="B44" s="308" t="str">
        <f>Parameters!Q43</f>
        <v>G47</v>
      </c>
      <c r="C44" s="309"/>
      <c r="D44" s="495" t="str">
        <f>Parameters!S43</f>
        <v>Retail trade, except of motor vehicles and motorcycles</v>
      </c>
      <c r="E44" s="496"/>
      <c r="F44" s="224"/>
      <c r="G44" s="379"/>
      <c r="H44" s="225"/>
      <c r="I44" s="379"/>
      <c r="J44" s="225"/>
      <c r="K44" s="379"/>
      <c r="L44" s="225"/>
      <c r="M44" s="379"/>
      <c r="N44" s="225"/>
      <c r="O44" s="379"/>
      <c r="P44" s="225"/>
      <c r="Q44" s="379"/>
      <c r="R44" s="225"/>
      <c r="S44" s="379"/>
      <c r="T44" s="225"/>
      <c r="U44" s="379"/>
      <c r="V44" s="225"/>
      <c r="W44" s="379"/>
      <c r="X44" s="225"/>
      <c r="Y44" s="379"/>
      <c r="Z44" s="225"/>
      <c r="AA44" s="379"/>
      <c r="AB44" s="225"/>
      <c r="AC44" s="379"/>
      <c r="AD44" s="225"/>
      <c r="AE44" s="379"/>
      <c r="AF44" s="165">
        <v>8.1308045999999994</v>
      </c>
      <c r="AG44" s="379"/>
      <c r="AH44" s="165">
        <v>7.5172876000000004</v>
      </c>
      <c r="AI44" s="379"/>
      <c r="AJ44" s="165">
        <v>6.9954749999999999</v>
      </c>
      <c r="AK44" s="379"/>
      <c r="AL44" s="165">
        <v>7.8338622000000004</v>
      </c>
      <c r="AM44" s="379"/>
      <c r="AN44" s="165">
        <v>8.0832037000000003</v>
      </c>
      <c r="AO44" s="379"/>
      <c r="AP44" s="165">
        <v>9.0395465000000002</v>
      </c>
      <c r="AQ44" s="379"/>
      <c r="AR44" s="165">
        <v>7.3219471</v>
      </c>
      <c r="AS44" s="379"/>
      <c r="AT44" s="165">
        <v>6.7103603999999999</v>
      </c>
      <c r="AU44" s="379"/>
      <c r="AV44" s="165">
        <v>7.1010571999999996</v>
      </c>
      <c r="AW44" s="379"/>
      <c r="AX44" s="165">
        <v>6.8683937000000004</v>
      </c>
      <c r="AY44" s="379"/>
      <c r="AZ44" s="165">
        <v>8.9313903999999997</v>
      </c>
      <c r="BA44" s="379"/>
      <c r="BB44" s="165">
        <v>14.9441098</v>
      </c>
      <c r="BC44" s="379"/>
      <c r="BD44" s="165">
        <v>8.1248059000000001</v>
      </c>
      <c r="BE44" s="379"/>
      <c r="BF44" s="165">
        <v>4.7890679</v>
      </c>
      <c r="BG44" s="379"/>
      <c r="BH44" s="225"/>
      <c r="BI44" s="184"/>
      <c r="CJ44" s="150"/>
      <c r="CK44" s="150"/>
      <c r="CL44" s="150"/>
      <c r="CM44" s="151" t="s">
        <v>854</v>
      </c>
      <c r="CN44" s="150" t="s">
        <v>1130</v>
      </c>
      <c r="CO44" s="150"/>
      <c r="CP44" s="150"/>
      <c r="CQ44" s="150"/>
      <c r="CR44" s="150"/>
      <c r="CS44" s="150"/>
      <c r="CT44" s="150"/>
    </row>
    <row r="45" spans="1:98" s="11" customFormat="1" ht="12.75" customHeight="1">
      <c r="A45" s="25"/>
      <c r="B45" s="87" t="str">
        <f>Parameters!Q44</f>
        <v>H</v>
      </c>
      <c r="C45" s="88"/>
      <c r="D45" s="498" t="str">
        <f>Parameters!S44</f>
        <v>Transportation and storage</v>
      </c>
      <c r="E45" s="499"/>
      <c r="F45" s="222"/>
      <c r="G45" s="379"/>
      <c r="H45" s="223"/>
      <c r="I45" s="379"/>
      <c r="J45" s="223"/>
      <c r="K45" s="379"/>
      <c r="L45" s="223"/>
      <c r="M45" s="379"/>
      <c r="N45" s="223"/>
      <c r="O45" s="379"/>
      <c r="P45" s="223"/>
      <c r="Q45" s="379"/>
      <c r="R45" s="223"/>
      <c r="S45" s="379"/>
      <c r="T45" s="223"/>
      <c r="U45" s="379"/>
      <c r="V45" s="223"/>
      <c r="W45" s="379"/>
      <c r="X45" s="223"/>
      <c r="Y45" s="379"/>
      <c r="Z45" s="223"/>
      <c r="AA45" s="379"/>
      <c r="AB45" s="223"/>
      <c r="AC45" s="379"/>
      <c r="AD45" s="223"/>
      <c r="AE45" s="379"/>
      <c r="AF45" s="164">
        <v>397.90226740000003</v>
      </c>
      <c r="AG45" s="379"/>
      <c r="AH45" s="164">
        <v>361.72879840000002</v>
      </c>
      <c r="AI45" s="379"/>
      <c r="AJ45" s="164">
        <v>385.45051119999999</v>
      </c>
      <c r="AK45" s="379"/>
      <c r="AL45" s="164">
        <v>535.09840320000001</v>
      </c>
      <c r="AM45" s="379"/>
      <c r="AN45" s="164">
        <v>550.01394349999998</v>
      </c>
      <c r="AO45" s="379"/>
      <c r="AP45" s="164">
        <v>554.06027210000002</v>
      </c>
      <c r="AQ45" s="379"/>
      <c r="AR45" s="164">
        <v>547.88592789999996</v>
      </c>
      <c r="AS45" s="379"/>
      <c r="AT45" s="164">
        <v>714.17607039999996</v>
      </c>
      <c r="AU45" s="379"/>
      <c r="AV45" s="164">
        <v>513.56565409999996</v>
      </c>
      <c r="AW45" s="379"/>
      <c r="AX45" s="164">
        <v>583.689483</v>
      </c>
      <c r="AY45" s="379"/>
      <c r="AZ45" s="164">
        <v>669.89600199999995</v>
      </c>
      <c r="BA45" s="379"/>
      <c r="BB45" s="164">
        <v>714.47705169999995</v>
      </c>
      <c r="BC45" s="379"/>
      <c r="BD45" s="164">
        <v>578.21862239999996</v>
      </c>
      <c r="BE45" s="379"/>
      <c r="BF45" s="164">
        <v>575.34705340000005</v>
      </c>
      <c r="BG45" s="379"/>
      <c r="BH45" s="223"/>
      <c r="BI45" s="184"/>
      <c r="CJ45" s="150"/>
      <c r="CK45" s="150"/>
      <c r="CL45" s="150"/>
      <c r="CM45" s="151" t="s">
        <v>862</v>
      </c>
      <c r="CN45" s="150" t="s">
        <v>1130</v>
      </c>
      <c r="CO45" s="150"/>
      <c r="CP45" s="150"/>
      <c r="CQ45" s="150"/>
      <c r="CR45" s="150"/>
      <c r="CS45" s="150"/>
      <c r="CT45" s="150"/>
    </row>
    <row r="46" spans="1:98" s="10" customFormat="1" ht="12.75" customHeight="1">
      <c r="A46" s="310"/>
      <c r="B46" s="308" t="str">
        <f>Parameters!Q45</f>
        <v>H49</v>
      </c>
      <c r="C46" s="309"/>
      <c r="D46" s="495" t="str">
        <f>Parameters!S45</f>
        <v>Land transport and transport via pipelines</v>
      </c>
      <c r="E46" s="496"/>
      <c r="F46" s="224"/>
      <c r="G46" s="379"/>
      <c r="H46" s="225"/>
      <c r="I46" s="379"/>
      <c r="J46" s="225"/>
      <c r="K46" s="379"/>
      <c r="L46" s="225"/>
      <c r="M46" s="379"/>
      <c r="N46" s="225"/>
      <c r="O46" s="379"/>
      <c r="P46" s="225"/>
      <c r="Q46" s="379"/>
      <c r="R46" s="225"/>
      <c r="S46" s="379"/>
      <c r="T46" s="225"/>
      <c r="U46" s="379"/>
      <c r="V46" s="225"/>
      <c r="W46" s="379"/>
      <c r="X46" s="225"/>
      <c r="Y46" s="379"/>
      <c r="Z46" s="225"/>
      <c r="AA46" s="379"/>
      <c r="AB46" s="225"/>
      <c r="AC46" s="379"/>
      <c r="AD46" s="225"/>
      <c r="AE46" s="379"/>
      <c r="AF46" s="165">
        <v>56.803571900000001</v>
      </c>
      <c r="AG46" s="379"/>
      <c r="AH46" s="165">
        <v>56.9799747</v>
      </c>
      <c r="AI46" s="379"/>
      <c r="AJ46" s="165">
        <v>62.4358529</v>
      </c>
      <c r="AK46" s="379"/>
      <c r="AL46" s="165">
        <v>71.173802499999994</v>
      </c>
      <c r="AM46" s="379"/>
      <c r="AN46" s="165">
        <v>79.1569602</v>
      </c>
      <c r="AO46" s="379"/>
      <c r="AP46" s="165">
        <v>80.931490600000004</v>
      </c>
      <c r="AQ46" s="379"/>
      <c r="AR46" s="165">
        <v>94.5066968</v>
      </c>
      <c r="AS46" s="379"/>
      <c r="AT46" s="165">
        <v>101.6348046</v>
      </c>
      <c r="AU46" s="379"/>
      <c r="AV46" s="165">
        <v>100.3425191</v>
      </c>
      <c r="AW46" s="379"/>
      <c r="AX46" s="165">
        <v>98.912489800000003</v>
      </c>
      <c r="AY46" s="379"/>
      <c r="AZ46" s="165">
        <v>108.2354119</v>
      </c>
      <c r="BA46" s="379"/>
      <c r="BB46" s="165">
        <v>111.77175769999999</v>
      </c>
      <c r="BC46" s="379"/>
      <c r="BD46" s="165">
        <v>101.2761268</v>
      </c>
      <c r="BE46" s="379"/>
      <c r="BF46" s="165">
        <v>102.23663860000001</v>
      </c>
      <c r="BG46" s="379"/>
      <c r="BH46" s="225"/>
      <c r="BI46" s="184"/>
      <c r="CJ46" s="150"/>
      <c r="CK46" s="150"/>
      <c r="CL46" s="150"/>
      <c r="CM46" s="151" t="s">
        <v>869</v>
      </c>
      <c r="CN46" s="150" t="s">
        <v>1130</v>
      </c>
      <c r="CO46" s="150"/>
      <c r="CP46" s="150"/>
      <c r="CQ46" s="150"/>
      <c r="CR46" s="150"/>
      <c r="CS46" s="150"/>
      <c r="CT46" s="150"/>
    </row>
    <row r="47" spans="1:98" s="10" customFormat="1" ht="12.75" customHeight="1">
      <c r="A47" s="310"/>
      <c r="B47" s="308" t="str">
        <f>Parameters!Q46</f>
        <v>H50</v>
      </c>
      <c r="C47" s="309"/>
      <c r="D47" s="495" t="str">
        <f>Parameters!S46</f>
        <v>Water transport</v>
      </c>
      <c r="E47" s="497"/>
      <c r="F47" s="224"/>
      <c r="G47" s="379"/>
      <c r="H47" s="225"/>
      <c r="I47" s="379"/>
      <c r="J47" s="225"/>
      <c r="K47" s="379"/>
      <c r="L47" s="225"/>
      <c r="M47" s="379"/>
      <c r="N47" s="225"/>
      <c r="O47" s="379"/>
      <c r="P47" s="225"/>
      <c r="Q47" s="379"/>
      <c r="R47" s="225"/>
      <c r="S47" s="379"/>
      <c r="T47" s="225"/>
      <c r="U47" s="379"/>
      <c r="V47" s="225"/>
      <c r="W47" s="379"/>
      <c r="X47" s="225"/>
      <c r="Y47" s="379"/>
      <c r="Z47" s="225"/>
      <c r="AA47" s="379"/>
      <c r="AB47" s="225"/>
      <c r="AC47" s="379"/>
      <c r="AD47" s="225"/>
      <c r="AE47" s="379"/>
      <c r="AF47" s="165">
        <v>264.34282189999999</v>
      </c>
      <c r="AG47" s="379"/>
      <c r="AH47" s="165">
        <v>224.8392202</v>
      </c>
      <c r="AI47" s="379"/>
      <c r="AJ47" s="165">
        <v>236.9913378</v>
      </c>
      <c r="AK47" s="379"/>
      <c r="AL47" s="165">
        <v>366.95375319999999</v>
      </c>
      <c r="AM47" s="379"/>
      <c r="AN47" s="165">
        <v>363.34228350000001</v>
      </c>
      <c r="AO47" s="379"/>
      <c r="AP47" s="165">
        <v>350.26169499999997</v>
      </c>
      <c r="AQ47" s="379"/>
      <c r="AR47" s="165">
        <v>321.95295809999999</v>
      </c>
      <c r="AS47" s="379"/>
      <c r="AT47" s="165">
        <v>474.35663340000002</v>
      </c>
      <c r="AU47" s="379"/>
      <c r="AV47" s="165">
        <v>294.73710699999998</v>
      </c>
      <c r="AW47" s="379"/>
      <c r="AX47" s="165">
        <v>357.25163650000002</v>
      </c>
      <c r="AY47" s="379"/>
      <c r="AZ47" s="165">
        <v>423.4520953</v>
      </c>
      <c r="BA47" s="379"/>
      <c r="BB47" s="165">
        <v>440.15477279999999</v>
      </c>
      <c r="BC47" s="379"/>
      <c r="BD47" s="165">
        <v>413.27491739999999</v>
      </c>
      <c r="BE47" s="379"/>
      <c r="BF47" s="165">
        <v>416.04040709999998</v>
      </c>
      <c r="BG47" s="379"/>
      <c r="BH47" s="225"/>
      <c r="BI47" s="184"/>
      <c r="CJ47" s="150"/>
      <c r="CK47" s="150"/>
      <c r="CL47" s="150"/>
      <c r="CM47" s="151" t="s">
        <v>877</v>
      </c>
      <c r="CN47" s="150" t="s">
        <v>1130</v>
      </c>
      <c r="CO47" s="150"/>
      <c r="CP47" s="150"/>
      <c r="CQ47" s="150"/>
      <c r="CR47" s="150"/>
      <c r="CS47" s="150"/>
      <c r="CT47" s="150"/>
    </row>
    <row r="48" spans="1:98" s="11" customFormat="1" ht="12.75" customHeight="1">
      <c r="A48" s="310"/>
      <c r="B48" s="308" t="str">
        <f>Parameters!Q47</f>
        <v>H51</v>
      </c>
      <c r="C48" s="309"/>
      <c r="D48" s="495" t="str">
        <f>Parameters!S47</f>
        <v>Air transport</v>
      </c>
      <c r="E48" s="510"/>
      <c r="F48" s="224"/>
      <c r="G48" s="379"/>
      <c r="H48" s="225"/>
      <c r="I48" s="379"/>
      <c r="J48" s="225"/>
      <c r="K48" s="379"/>
      <c r="L48" s="225"/>
      <c r="M48" s="379"/>
      <c r="N48" s="225"/>
      <c r="O48" s="379"/>
      <c r="P48" s="225"/>
      <c r="Q48" s="379"/>
      <c r="R48" s="225"/>
      <c r="S48" s="379"/>
      <c r="T48" s="225"/>
      <c r="U48" s="379"/>
      <c r="V48" s="225"/>
      <c r="W48" s="379"/>
      <c r="X48" s="225"/>
      <c r="Y48" s="379"/>
      <c r="Z48" s="225"/>
      <c r="AA48" s="379"/>
      <c r="AB48" s="225"/>
      <c r="AC48" s="379"/>
      <c r="AD48" s="225"/>
      <c r="AE48" s="379"/>
      <c r="AF48" s="165">
        <v>69.349029000000002</v>
      </c>
      <c r="AG48" s="379"/>
      <c r="AH48" s="165">
        <v>72.398345300000003</v>
      </c>
      <c r="AI48" s="379"/>
      <c r="AJ48" s="165">
        <v>77.877054200000003</v>
      </c>
      <c r="AK48" s="379"/>
      <c r="AL48" s="165">
        <v>87.455871799999997</v>
      </c>
      <c r="AM48" s="379"/>
      <c r="AN48" s="165">
        <v>99.500764899999993</v>
      </c>
      <c r="AO48" s="379"/>
      <c r="AP48" s="165">
        <v>111.3417412</v>
      </c>
      <c r="AQ48" s="379"/>
      <c r="AR48" s="165">
        <v>122.5096976</v>
      </c>
      <c r="AS48" s="379"/>
      <c r="AT48" s="165">
        <v>129.3531529</v>
      </c>
      <c r="AU48" s="379"/>
      <c r="AV48" s="165">
        <v>106.51499920000001</v>
      </c>
      <c r="AW48" s="379"/>
      <c r="AX48" s="165">
        <v>112.20933290000001</v>
      </c>
      <c r="AY48" s="379"/>
      <c r="AZ48" s="165">
        <v>122.1915602</v>
      </c>
      <c r="BA48" s="379"/>
      <c r="BB48" s="165">
        <v>146.59926129999999</v>
      </c>
      <c r="BC48" s="379"/>
      <c r="BD48" s="165">
        <v>44.580889800000001</v>
      </c>
      <c r="BE48" s="379"/>
      <c r="BF48" s="165">
        <v>39.805242999999997</v>
      </c>
      <c r="BG48" s="379"/>
      <c r="BH48" s="225"/>
      <c r="BI48" s="184"/>
      <c r="CJ48" s="150"/>
      <c r="CK48" s="150"/>
      <c r="CL48" s="150"/>
      <c r="CM48" s="151" t="s">
        <v>884</v>
      </c>
      <c r="CN48" s="150" t="s">
        <v>1130</v>
      </c>
      <c r="CO48" s="150"/>
      <c r="CP48" s="150"/>
      <c r="CQ48" s="150"/>
      <c r="CR48" s="150"/>
      <c r="CS48" s="150"/>
      <c r="CT48" s="150"/>
    </row>
    <row r="49" spans="1:98" s="11" customFormat="1" ht="12.75" customHeight="1">
      <c r="A49" s="310"/>
      <c r="B49" s="308" t="str">
        <f>Parameters!Q48</f>
        <v>H52</v>
      </c>
      <c r="C49" s="309"/>
      <c r="D49" s="495" t="str">
        <f>Parameters!S48</f>
        <v>Warehousing and support activities for transportation</v>
      </c>
      <c r="E49" s="510"/>
      <c r="F49" s="224"/>
      <c r="G49" s="379"/>
      <c r="H49" s="225"/>
      <c r="I49" s="379"/>
      <c r="J49" s="225"/>
      <c r="K49" s="379"/>
      <c r="L49" s="225"/>
      <c r="M49" s="379"/>
      <c r="N49" s="225"/>
      <c r="O49" s="379"/>
      <c r="P49" s="225"/>
      <c r="Q49" s="379"/>
      <c r="R49" s="225"/>
      <c r="S49" s="379"/>
      <c r="T49" s="225"/>
      <c r="U49" s="379"/>
      <c r="V49" s="225"/>
      <c r="W49" s="379"/>
      <c r="X49" s="225"/>
      <c r="Y49" s="379"/>
      <c r="Z49" s="225"/>
      <c r="AA49" s="379"/>
      <c r="AB49" s="225"/>
      <c r="AC49" s="379"/>
      <c r="AD49" s="225"/>
      <c r="AE49" s="379"/>
      <c r="AF49" s="165">
        <v>6.8459615999999999</v>
      </c>
      <c r="AG49" s="379"/>
      <c r="AH49" s="165">
        <v>6.9377320999999998</v>
      </c>
      <c r="AI49" s="379"/>
      <c r="AJ49" s="165">
        <v>7.3232761999999996</v>
      </c>
      <c r="AK49" s="379"/>
      <c r="AL49" s="165">
        <v>8.6923808000000005</v>
      </c>
      <c r="AM49" s="379"/>
      <c r="AN49" s="165">
        <v>6.9878894000000003</v>
      </c>
      <c r="AO49" s="379"/>
      <c r="AP49" s="165">
        <v>10.356339800000001</v>
      </c>
      <c r="AQ49" s="379"/>
      <c r="AR49" s="165">
        <v>7.6566853999999998</v>
      </c>
      <c r="AS49" s="379"/>
      <c r="AT49" s="165">
        <v>7.5744784000000003</v>
      </c>
      <c r="AU49" s="379"/>
      <c r="AV49" s="165">
        <v>10.4756552</v>
      </c>
      <c r="AW49" s="379"/>
      <c r="AX49" s="165">
        <v>13.6064346</v>
      </c>
      <c r="AY49" s="379"/>
      <c r="AZ49" s="165">
        <v>14.2710934</v>
      </c>
      <c r="BA49" s="379"/>
      <c r="BB49" s="165">
        <v>13.9362975</v>
      </c>
      <c r="BC49" s="379"/>
      <c r="BD49" s="165">
        <v>17.372510599999998</v>
      </c>
      <c r="BE49" s="379"/>
      <c r="BF49" s="165">
        <v>15.234604300000001</v>
      </c>
      <c r="BG49" s="379"/>
      <c r="BH49" s="225"/>
      <c r="BI49" s="184"/>
      <c r="CJ49" s="150"/>
      <c r="CK49" s="150"/>
      <c r="CL49" s="150"/>
      <c r="CM49" s="151" t="s">
        <v>891</v>
      </c>
      <c r="CN49" s="150" t="s">
        <v>1130</v>
      </c>
      <c r="CO49" s="150"/>
      <c r="CP49" s="150"/>
      <c r="CQ49" s="150"/>
      <c r="CR49" s="150"/>
      <c r="CS49" s="150"/>
      <c r="CT49" s="150"/>
    </row>
    <row r="50" spans="1:98" s="11" customFormat="1" ht="12.75" customHeight="1">
      <c r="A50" s="310"/>
      <c r="B50" s="308" t="str">
        <f>Parameters!Q49</f>
        <v>H53</v>
      </c>
      <c r="C50" s="309"/>
      <c r="D50" s="495" t="str">
        <f>Parameters!S49</f>
        <v>Postal and courier activities</v>
      </c>
      <c r="E50" s="510"/>
      <c r="F50" s="224"/>
      <c r="G50" s="379"/>
      <c r="H50" s="225"/>
      <c r="I50" s="379"/>
      <c r="J50" s="225"/>
      <c r="K50" s="379"/>
      <c r="L50" s="225"/>
      <c r="M50" s="379"/>
      <c r="N50" s="225"/>
      <c r="O50" s="379"/>
      <c r="P50" s="225"/>
      <c r="Q50" s="379"/>
      <c r="R50" s="225"/>
      <c r="S50" s="379"/>
      <c r="T50" s="225"/>
      <c r="U50" s="379"/>
      <c r="V50" s="225"/>
      <c r="W50" s="379"/>
      <c r="X50" s="225"/>
      <c r="Y50" s="379"/>
      <c r="Z50" s="225"/>
      <c r="AA50" s="379"/>
      <c r="AB50" s="225"/>
      <c r="AC50" s="379"/>
      <c r="AD50" s="225"/>
      <c r="AE50" s="379"/>
      <c r="AF50" s="165">
        <v>0.56088300000000002</v>
      </c>
      <c r="AG50" s="379" t="s">
        <v>420</v>
      </c>
      <c r="AH50" s="165">
        <v>0.57352610000000004</v>
      </c>
      <c r="AI50" s="379" t="s">
        <v>420</v>
      </c>
      <c r="AJ50" s="165">
        <v>0.82299009999999995</v>
      </c>
      <c r="AK50" s="379" t="s">
        <v>420</v>
      </c>
      <c r="AL50" s="165">
        <v>0.82259490000000002</v>
      </c>
      <c r="AM50" s="379" t="s">
        <v>420</v>
      </c>
      <c r="AN50" s="165">
        <v>1.0260454000000001</v>
      </c>
      <c r="AO50" s="379" t="s">
        <v>420</v>
      </c>
      <c r="AP50" s="165">
        <v>1.1690054999999999</v>
      </c>
      <c r="AQ50" s="379" t="s">
        <v>420</v>
      </c>
      <c r="AR50" s="165">
        <v>1.25989</v>
      </c>
      <c r="AS50" s="379" t="s">
        <v>420</v>
      </c>
      <c r="AT50" s="165">
        <v>1.2570011999999999</v>
      </c>
      <c r="AU50" s="379" t="s">
        <v>420</v>
      </c>
      <c r="AV50" s="165">
        <v>1.4953737</v>
      </c>
      <c r="AW50" s="379" t="s">
        <v>420</v>
      </c>
      <c r="AX50" s="165">
        <v>1.7095894</v>
      </c>
      <c r="AY50" s="379" t="s">
        <v>420</v>
      </c>
      <c r="AZ50" s="165">
        <v>1.7458412000000001</v>
      </c>
      <c r="BA50" s="379" t="s">
        <v>420</v>
      </c>
      <c r="BB50" s="165">
        <v>2.0149625000000002</v>
      </c>
      <c r="BC50" s="379" t="s">
        <v>420</v>
      </c>
      <c r="BD50" s="165">
        <v>1.7141777</v>
      </c>
      <c r="BE50" s="379" t="s">
        <v>420</v>
      </c>
      <c r="BF50" s="165">
        <v>2.0301604000000002</v>
      </c>
      <c r="BG50" s="379" t="s">
        <v>420</v>
      </c>
      <c r="BH50" s="225"/>
      <c r="BI50" s="184"/>
      <c r="CJ50" s="150"/>
      <c r="CK50" s="150"/>
      <c r="CL50" s="150"/>
      <c r="CM50" s="151" t="s">
        <v>897</v>
      </c>
      <c r="CN50" s="150" t="s">
        <v>1130</v>
      </c>
      <c r="CO50" s="150"/>
      <c r="CP50" s="150"/>
      <c r="CQ50" s="150"/>
      <c r="CR50" s="150"/>
      <c r="CS50" s="150"/>
      <c r="CT50" s="150"/>
    </row>
    <row r="51" spans="1:98" s="10" customFormat="1" ht="12.75" customHeight="1">
      <c r="A51" s="25"/>
      <c r="B51" s="87" t="str">
        <f>Parameters!Q50</f>
        <v>I</v>
      </c>
      <c r="C51" s="88"/>
      <c r="D51" s="498" t="str">
        <f>Parameters!S50</f>
        <v>Accommodation and food service activities</v>
      </c>
      <c r="E51" s="496"/>
      <c r="F51" s="222"/>
      <c r="G51" s="379"/>
      <c r="H51" s="223"/>
      <c r="I51" s="379"/>
      <c r="J51" s="223"/>
      <c r="K51" s="379"/>
      <c r="L51" s="223"/>
      <c r="M51" s="379"/>
      <c r="N51" s="223"/>
      <c r="O51" s="379"/>
      <c r="P51" s="223"/>
      <c r="Q51" s="379"/>
      <c r="R51" s="223"/>
      <c r="S51" s="379"/>
      <c r="T51" s="223"/>
      <c r="U51" s="379"/>
      <c r="V51" s="223"/>
      <c r="W51" s="379"/>
      <c r="X51" s="223"/>
      <c r="Y51" s="379"/>
      <c r="Z51" s="223"/>
      <c r="AA51" s="379"/>
      <c r="AB51" s="223"/>
      <c r="AC51" s="379"/>
      <c r="AD51" s="223"/>
      <c r="AE51" s="379"/>
      <c r="AF51" s="164">
        <v>0.87646829999999998</v>
      </c>
      <c r="AG51" s="379"/>
      <c r="AH51" s="164">
        <v>0.86057399999999995</v>
      </c>
      <c r="AI51" s="379"/>
      <c r="AJ51" s="164">
        <v>1.0187672999999999</v>
      </c>
      <c r="AK51" s="379"/>
      <c r="AL51" s="164">
        <v>1.1200486999999999</v>
      </c>
      <c r="AM51" s="379"/>
      <c r="AN51" s="164">
        <v>1.2210287</v>
      </c>
      <c r="AO51" s="379"/>
      <c r="AP51" s="164">
        <v>1.1012710000000001</v>
      </c>
      <c r="AQ51" s="379"/>
      <c r="AR51" s="164">
        <v>1.1754397000000001</v>
      </c>
      <c r="AS51" s="379"/>
      <c r="AT51" s="164">
        <v>1.3138635999999999</v>
      </c>
      <c r="AU51" s="379"/>
      <c r="AV51" s="164">
        <v>1.4004095000000001</v>
      </c>
      <c r="AW51" s="379"/>
      <c r="AX51" s="164">
        <v>1.3181784000000001</v>
      </c>
      <c r="AY51" s="379"/>
      <c r="AZ51" s="164">
        <v>1.7997570000000001</v>
      </c>
      <c r="BA51" s="379"/>
      <c r="BB51" s="164">
        <v>1.7101579</v>
      </c>
      <c r="BC51" s="379"/>
      <c r="BD51" s="164">
        <v>1.4642653999999999</v>
      </c>
      <c r="BE51" s="379"/>
      <c r="BF51" s="164">
        <v>1.0731611000000001</v>
      </c>
      <c r="BG51" s="379"/>
      <c r="BH51" s="223"/>
      <c r="BI51" s="184"/>
      <c r="CJ51" s="150"/>
      <c r="CK51" s="150"/>
      <c r="CL51" s="150"/>
      <c r="CM51" s="151" t="s">
        <v>904</v>
      </c>
      <c r="CN51" s="150" t="s">
        <v>1130</v>
      </c>
      <c r="CO51" s="150"/>
      <c r="CP51" s="150"/>
      <c r="CQ51" s="150"/>
      <c r="CR51" s="150"/>
      <c r="CS51" s="150"/>
      <c r="CT51" s="150"/>
    </row>
    <row r="52" spans="1:98" s="10" customFormat="1" ht="12.75" customHeight="1">
      <c r="A52" s="25"/>
      <c r="B52" s="87" t="str">
        <f>Parameters!Q51</f>
        <v>J</v>
      </c>
      <c r="C52" s="88"/>
      <c r="D52" s="498" t="str">
        <f>Parameters!S51</f>
        <v>Information and communication</v>
      </c>
      <c r="E52" s="499"/>
      <c r="F52" s="222"/>
      <c r="G52" s="379"/>
      <c r="H52" s="223"/>
      <c r="I52" s="379"/>
      <c r="J52" s="223"/>
      <c r="K52" s="379"/>
      <c r="L52" s="223"/>
      <c r="M52" s="379"/>
      <c r="N52" s="223"/>
      <c r="O52" s="379"/>
      <c r="P52" s="223"/>
      <c r="Q52" s="379"/>
      <c r="R52" s="223"/>
      <c r="S52" s="379"/>
      <c r="T52" s="223"/>
      <c r="U52" s="379"/>
      <c r="V52" s="223"/>
      <c r="W52" s="379"/>
      <c r="X52" s="223"/>
      <c r="Y52" s="379"/>
      <c r="Z52" s="223"/>
      <c r="AA52" s="379"/>
      <c r="AB52" s="223"/>
      <c r="AC52" s="379"/>
      <c r="AD52" s="223"/>
      <c r="AE52" s="379"/>
      <c r="AF52" s="164">
        <v>0.44516889999999998</v>
      </c>
      <c r="AG52" s="379"/>
      <c r="AH52" s="164">
        <v>0.45790819999999999</v>
      </c>
      <c r="AI52" s="379"/>
      <c r="AJ52" s="164">
        <v>0.6736183</v>
      </c>
      <c r="AK52" s="379"/>
      <c r="AL52" s="164">
        <v>0.68719169999999996</v>
      </c>
      <c r="AM52" s="379"/>
      <c r="AN52" s="164">
        <v>0.77769999999999995</v>
      </c>
      <c r="AO52" s="379"/>
      <c r="AP52" s="164">
        <v>0.81892339999999997</v>
      </c>
      <c r="AQ52" s="379"/>
      <c r="AR52" s="164">
        <v>0.79959020000000003</v>
      </c>
      <c r="AS52" s="379"/>
      <c r="AT52" s="164">
        <v>0.79613889999999998</v>
      </c>
      <c r="AU52" s="379"/>
      <c r="AV52" s="164">
        <v>0.78174900000000003</v>
      </c>
      <c r="AW52" s="379"/>
      <c r="AX52" s="164">
        <v>0.70075270000000001</v>
      </c>
      <c r="AY52" s="379"/>
      <c r="AZ52" s="164">
        <v>0.71595240000000004</v>
      </c>
      <c r="BA52" s="379"/>
      <c r="BB52" s="164">
        <v>0.75040799999999996</v>
      </c>
      <c r="BC52" s="379"/>
      <c r="BD52" s="164">
        <v>0.65581710000000004</v>
      </c>
      <c r="BE52" s="379"/>
      <c r="BF52" s="164">
        <v>0.6399994</v>
      </c>
      <c r="BG52" s="379"/>
      <c r="BH52" s="223"/>
      <c r="BI52" s="184"/>
      <c r="CJ52" s="150"/>
      <c r="CK52" s="150"/>
      <c r="CL52" s="150"/>
      <c r="CM52" s="153" t="s">
        <v>910</v>
      </c>
      <c r="CN52" s="150" t="s">
        <v>1130</v>
      </c>
      <c r="CO52" s="150"/>
      <c r="CP52" s="150"/>
      <c r="CQ52" s="150"/>
      <c r="CR52" s="150"/>
      <c r="CS52" s="150"/>
      <c r="CT52" s="150"/>
    </row>
    <row r="53" spans="1:98" s="10" customFormat="1" ht="27" customHeight="1">
      <c r="A53" s="26"/>
      <c r="B53" s="89" t="str">
        <f>Parameters!Q52</f>
        <v>J58-J60</v>
      </c>
      <c r="C53" s="90"/>
      <c r="D53" s="504" t="str">
        <f>Parameters!S52</f>
        <v>Publishing, motion picture, video, television programme production; sound recording, programming and broadcasting activities</v>
      </c>
      <c r="E53" s="506"/>
      <c r="F53" s="252"/>
      <c r="G53" s="380"/>
      <c r="H53" s="253"/>
      <c r="I53" s="380"/>
      <c r="J53" s="253"/>
      <c r="K53" s="380"/>
      <c r="L53" s="253"/>
      <c r="M53" s="380"/>
      <c r="N53" s="253"/>
      <c r="O53" s="380"/>
      <c r="P53" s="253"/>
      <c r="Q53" s="380"/>
      <c r="R53" s="253"/>
      <c r="S53" s="380"/>
      <c r="T53" s="253"/>
      <c r="U53" s="380"/>
      <c r="V53" s="253"/>
      <c r="W53" s="380"/>
      <c r="X53" s="253"/>
      <c r="Y53" s="380"/>
      <c r="Z53" s="253"/>
      <c r="AA53" s="380"/>
      <c r="AB53" s="253"/>
      <c r="AC53" s="380"/>
      <c r="AD53" s="253"/>
      <c r="AE53" s="380"/>
      <c r="AF53" s="253">
        <v>0.1829211</v>
      </c>
      <c r="AG53" s="380"/>
      <c r="AH53" s="253">
        <v>0.19009190000000001</v>
      </c>
      <c r="AI53" s="380"/>
      <c r="AJ53" s="253">
        <v>0.29458060000000003</v>
      </c>
      <c r="AK53" s="380"/>
      <c r="AL53" s="253">
        <v>0.27575119999999997</v>
      </c>
      <c r="AM53" s="380"/>
      <c r="AN53" s="253">
        <v>0.31295689999999998</v>
      </c>
      <c r="AO53" s="380"/>
      <c r="AP53" s="253">
        <v>0.2962784</v>
      </c>
      <c r="AQ53" s="380"/>
      <c r="AR53" s="253">
        <v>0.3101642</v>
      </c>
      <c r="AS53" s="380"/>
      <c r="AT53" s="253">
        <v>0.29310009999999997</v>
      </c>
      <c r="AU53" s="380"/>
      <c r="AV53" s="253">
        <v>0.29775600000000002</v>
      </c>
      <c r="AW53" s="380"/>
      <c r="AX53" s="253">
        <v>0.28924359999999999</v>
      </c>
      <c r="AY53" s="380"/>
      <c r="AZ53" s="253">
        <v>0.29633330000000002</v>
      </c>
      <c r="BA53" s="380"/>
      <c r="BB53" s="253">
        <v>0.28146349999999998</v>
      </c>
      <c r="BC53" s="380"/>
      <c r="BD53" s="253">
        <v>0.24258350000000001</v>
      </c>
      <c r="BE53" s="380"/>
      <c r="BF53" s="253">
        <v>0.226775</v>
      </c>
      <c r="BG53" s="380"/>
      <c r="BH53" s="253"/>
      <c r="BI53" s="254"/>
      <c r="CJ53" s="150"/>
      <c r="CK53" s="150"/>
      <c r="CL53" s="150"/>
      <c r="CM53" s="151"/>
      <c r="CN53" s="150"/>
      <c r="CO53" s="150"/>
      <c r="CP53" s="150"/>
      <c r="CQ53" s="150"/>
      <c r="CR53" s="150"/>
      <c r="CS53" s="150"/>
      <c r="CT53" s="150"/>
    </row>
    <row r="54" spans="1:98" s="11" customFormat="1" ht="12.75" customHeight="1">
      <c r="A54" s="310"/>
      <c r="B54" s="308" t="str">
        <f>Parameters!Q53</f>
        <v>J58</v>
      </c>
      <c r="C54" s="309"/>
      <c r="D54" s="495" t="str">
        <f>Parameters!S53</f>
        <v>Publishing activities</v>
      </c>
      <c r="E54" s="510"/>
      <c r="F54" s="224"/>
      <c r="G54" s="379"/>
      <c r="H54" s="225"/>
      <c r="I54" s="379"/>
      <c r="J54" s="225"/>
      <c r="K54" s="379"/>
      <c r="L54" s="225"/>
      <c r="M54" s="379"/>
      <c r="N54" s="225"/>
      <c r="O54" s="379"/>
      <c r="P54" s="225"/>
      <c r="Q54" s="379"/>
      <c r="R54" s="225"/>
      <c r="S54" s="379"/>
      <c r="T54" s="225"/>
      <c r="U54" s="379"/>
      <c r="V54" s="225"/>
      <c r="W54" s="379"/>
      <c r="X54" s="225"/>
      <c r="Y54" s="379"/>
      <c r="Z54" s="225"/>
      <c r="AA54" s="379"/>
      <c r="AB54" s="225"/>
      <c r="AC54" s="379"/>
      <c r="AD54" s="225"/>
      <c r="AE54" s="379"/>
      <c r="AF54" s="165">
        <v>0.1084763</v>
      </c>
      <c r="AG54" s="379"/>
      <c r="AH54" s="165">
        <v>0.1113408</v>
      </c>
      <c r="AI54" s="379"/>
      <c r="AJ54" s="165">
        <v>0.170514</v>
      </c>
      <c r="AK54" s="379"/>
      <c r="AL54" s="165">
        <v>0.16409199999999999</v>
      </c>
      <c r="AM54" s="379"/>
      <c r="AN54" s="165">
        <v>0.18330540000000001</v>
      </c>
      <c r="AO54" s="379"/>
      <c r="AP54" s="165">
        <v>0.18860589999999999</v>
      </c>
      <c r="AQ54" s="379"/>
      <c r="AR54" s="165">
        <v>0.199352</v>
      </c>
      <c r="AS54" s="379"/>
      <c r="AT54" s="165">
        <v>0.19047430000000001</v>
      </c>
      <c r="AU54" s="379"/>
      <c r="AV54" s="165">
        <v>0.18284500000000001</v>
      </c>
      <c r="AW54" s="379"/>
      <c r="AX54" s="165">
        <v>0.18613009999999999</v>
      </c>
      <c r="AY54" s="379"/>
      <c r="AZ54" s="165">
        <v>0.1903638</v>
      </c>
      <c r="BA54" s="379"/>
      <c r="BB54" s="165">
        <v>0.1874576</v>
      </c>
      <c r="BC54" s="379"/>
      <c r="BD54" s="165">
        <v>0.15410199999999999</v>
      </c>
      <c r="BE54" s="379"/>
      <c r="BF54" s="165">
        <v>0.13122600000000001</v>
      </c>
      <c r="BG54" s="379"/>
      <c r="BH54" s="225"/>
      <c r="BI54" s="184"/>
      <c r="CJ54" s="150"/>
      <c r="CK54" s="150"/>
      <c r="CL54" s="150"/>
      <c r="CM54" s="151" t="s">
        <v>926</v>
      </c>
      <c r="CN54" s="150" t="s">
        <v>1130</v>
      </c>
      <c r="CO54" s="151"/>
      <c r="CP54" s="150"/>
      <c r="CQ54" s="150"/>
      <c r="CR54" s="150"/>
      <c r="CS54" s="150"/>
      <c r="CT54" s="150"/>
    </row>
    <row r="55" spans="1:98" s="11" customFormat="1">
      <c r="A55" s="310"/>
      <c r="B55" s="308" t="str">
        <f>Parameters!Q54</f>
        <v>J59_J60</v>
      </c>
      <c r="C55" s="309"/>
      <c r="D55" s="495" t="str">
        <f>Parameters!S54</f>
        <v>Motion picture, video, television programme production; programming and broadcasting activities</v>
      </c>
      <c r="E55" s="510"/>
      <c r="F55" s="224"/>
      <c r="G55" s="379"/>
      <c r="H55" s="225"/>
      <c r="I55" s="379"/>
      <c r="J55" s="225"/>
      <c r="K55" s="379"/>
      <c r="L55" s="225"/>
      <c r="M55" s="379"/>
      <c r="N55" s="225"/>
      <c r="O55" s="379"/>
      <c r="P55" s="225"/>
      <c r="Q55" s="379"/>
      <c r="R55" s="225"/>
      <c r="S55" s="379"/>
      <c r="T55" s="225"/>
      <c r="U55" s="379"/>
      <c r="V55" s="225"/>
      <c r="W55" s="379"/>
      <c r="X55" s="225"/>
      <c r="Y55" s="379"/>
      <c r="Z55" s="225"/>
      <c r="AA55" s="379"/>
      <c r="AB55" s="225"/>
      <c r="AC55" s="379"/>
      <c r="AD55" s="225"/>
      <c r="AE55" s="379"/>
      <c r="AF55" s="165">
        <v>7.4444700000000003E-2</v>
      </c>
      <c r="AG55" s="379"/>
      <c r="AH55" s="165">
        <v>7.8751100000000004E-2</v>
      </c>
      <c r="AI55" s="379"/>
      <c r="AJ55" s="165">
        <v>0.1240666</v>
      </c>
      <c r="AK55" s="379"/>
      <c r="AL55" s="165">
        <v>0.1116592</v>
      </c>
      <c r="AM55" s="379"/>
      <c r="AN55" s="165">
        <v>0.1296515</v>
      </c>
      <c r="AO55" s="379"/>
      <c r="AP55" s="165">
        <v>0.1076725</v>
      </c>
      <c r="AQ55" s="379"/>
      <c r="AR55" s="165">
        <v>0.1108122</v>
      </c>
      <c r="AS55" s="379"/>
      <c r="AT55" s="165">
        <v>0.1026258</v>
      </c>
      <c r="AU55" s="379"/>
      <c r="AV55" s="165">
        <v>0.114911</v>
      </c>
      <c r="AW55" s="379"/>
      <c r="AX55" s="165">
        <v>0.1031135</v>
      </c>
      <c r="AY55" s="379"/>
      <c r="AZ55" s="165">
        <v>0.10596949999999999</v>
      </c>
      <c r="BA55" s="379"/>
      <c r="BB55" s="165">
        <v>9.4005900000000003E-2</v>
      </c>
      <c r="BC55" s="379"/>
      <c r="BD55" s="165">
        <v>8.8481500000000005E-2</v>
      </c>
      <c r="BE55" s="379"/>
      <c r="BF55" s="165">
        <v>9.5549099999999998E-2</v>
      </c>
      <c r="BG55" s="379"/>
      <c r="BH55" s="225"/>
      <c r="BI55" s="184"/>
      <c r="CJ55" s="150"/>
      <c r="CK55" s="150"/>
      <c r="CL55" s="150"/>
      <c r="CM55" s="151" t="s">
        <v>1139</v>
      </c>
      <c r="CN55" s="150" t="s">
        <v>1130</v>
      </c>
      <c r="CO55" s="150"/>
      <c r="CP55" s="150"/>
      <c r="CQ55" s="150"/>
      <c r="CR55" s="150"/>
      <c r="CS55" s="150"/>
      <c r="CT55" s="150"/>
    </row>
    <row r="56" spans="1:98" s="11" customFormat="1" ht="12.75" customHeight="1">
      <c r="A56" s="26"/>
      <c r="B56" s="89" t="str">
        <f>Parameters!Q55</f>
        <v>J61</v>
      </c>
      <c r="C56" s="90"/>
      <c r="D56" s="504" t="str">
        <f>Parameters!S55</f>
        <v>Telecommunications</v>
      </c>
      <c r="E56" s="505"/>
      <c r="F56" s="226"/>
      <c r="G56" s="379"/>
      <c r="H56" s="227"/>
      <c r="I56" s="379"/>
      <c r="J56" s="227"/>
      <c r="K56" s="379"/>
      <c r="L56" s="227"/>
      <c r="M56" s="379"/>
      <c r="N56" s="227"/>
      <c r="O56" s="379"/>
      <c r="P56" s="227"/>
      <c r="Q56" s="379"/>
      <c r="R56" s="227"/>
      <c r="S56" s="379"/>
      <c r="T56" s="227"/>
      <c r="U56" s="379"/>
      <c r="V56" s="227"/>
      <c r="W56" s="379"/>
      <c r="X56" s="227"/>
      <c r="Y56" s="379"/>
      <c r="Z56" s="227"/>
      <c r="AA56" s="379"/>
      <c r="AB56" s="227"/>
      <c r="AC56" s="379"/>
      <c r="AD56" s="227"/>
      <c r="AE56" s="379"/>
      <c r="AF56" s="166">
        <v>0</v>
      </c>
      <c r="AG56" s="379" t="s">
        <v>420</v>
      </c>
      <c r="AH56" s="166">
        <v>0</v>
      </c>
      <c r="AI56" s="379" t="s">
        <v>420</v>
      </c>
      <c r="AJ56" s="166">
        <v>0</v>
      </c>
      <c r="AK56" s="379" t="s">
        <v>420</v>
      </c>
      <c r="AL56" s="166">
        <v>0</v>
      </c>
      <c r="AM56" s="379" t="s">
        <v>420</v>
      </c>
      <c r="AN56" s="166">
        <v>0</v>
      </c>
      <c r="AO56" s="379" t="s">
        <v>420</v>
      </c>
      <c r="AP56" s="166">
        <v>0</v>
      </c>
      <c r="AQ56" s="379" t="s">
        <v>420</v>
      </c>
      <c r="AR56" s="166">
        <v>0</v>
      </c>
      <c r="AS56" s="379" t="s">
        <v>420</v>
      </c>
      <c r="AT56" s="166">
        <v>0</v>
      </c>
      <c r="AU56" s="379" t="s">
        <v>420</v>
      </c>
      <c r="AV56" s="166">
        <v>0</v>
      </c>
      <c r="AW56" s="379" t="s">
        <v>420</v>
      </c>
      <c r="AX56" s="166">
        <v>0</v>
      </c>
      <c r="AY56" s="379" t="s">
        <v>420</v>
      </c>
      <c r="AZ56" s="166">
        <v>0</v>
      </c>
      <c r="BA56" s="379" t="s">
        <v>420</v>
      </c>
      <c r="BB56" s="166">
        <v>0</v>
      </c>
      <c r="BC56" s="379" t="s">
        <v>420</v>
      </c>
      <c r="BD56" s="166">
        <v>0</v>
      </c>
      <c r="BE56" s="379" t="s">
        <v>420</v>
      </c>
      <c r="BF56" s="166">
        <v>0</v>
      </c>
      <c r="BG56" s="379" t="s">
        <v>420</v>
      </c>
      <c r="BH56" s="227"/>
      <c r="BI56" s="184"/>
      <c r="CJ56" s="150"/>
      <c r="CK56" s="150"/>
      <c r="CL56" s="150"/>
      <c r="CM56" s="151" t="s">
        <v>939</v>
      </c>
      <c r="CN56" s="150" t="s">
        <v>1130</v>
      </c>
      <c r="CO56" s="150"/>
      <c r="CP56" s="150"/>
      <c r="CQ56" s="150"/>
      <c r="CR56" s="150"/>
      <c r="CS56" s="150"/>
      <c r="CT56" s="150"/>
    </row>
    <row r="57" spans="1:98" s="10" customFormat="1" ht="12.75" customHeight="1">
      <c r="A57" s="26"/>
      <c r="B57" s="89" t="str">
        <f>Parameters!Q56</f>
        <v>J62_J63</v>
      </c>
      <c r="C57" s="90"/>
      <c r="D57" s="504" t="str">
        <f>Parameters!S56</f>
        <v>Computer programming, consultancy, and information service activities</v>
      </c>
      <c r="E57" s="505"/>
      <c r="F57" s="226"/>
      <c r="G57" s="379"/>
      <c r="H57" s="227"/>
      <c r="I57" s="379"/>
      <c r="J57" s="227"/>
      <c r="K57" s="379"/>
      <c r="L57" s="227"/>
      <c r="M57" s="379"/>
      <c r="N57" s="227"/>
      <c r="O57" s="379"/>
      <c r="P57" s="227"/>
      <c r="Q57" s="379"/>
      <c r="R57" s="227"/>
      <c r="S57" s="379"/>
      <c r="T57" s="227"/>
      <c r="U57" s="379"/>
      <c r="V57" s="227"/>
      <c r="W57" s="379"/>
      <c r="X57" s="227"/>
      <c r="Y57" s="379"/>
      <c r="Z57" s="227"/>
      <c r="AA57" s="379"/>
      <c r="AB57" s="227"/>
      <c r="AC57" s="379"/>
      <c r="AD57" s="227"/>
      <c r="AE57" s="379"/>
      <c r="AF57" s="166">
        <v>0.26224779999999998</v>
      </c>
      <c r="AG57" s="379"/>
      <c r="AH57" s="166">
        <v>0.26781630000000001</v>
      </c>
      <c r="AI57" s="379"/>
      <c r="AJ57" s="166">
        <v>0.37903769999999998</v>
      </c>
      <c r="AK57" s="379"/>
      <c r="AL57" s="166">
        <v>0.41144049999999999</v>
      </c>
      <c r="AM57" s="379"/>
      <c r="AN57" s="166">
        <v>0.46474310000000002</v>
      </c>
      <c r="AO57" s="379"/>
      <c r="AP57" s="166">
        <v>0.52264500000000003</v>
      </c>
      <c r="AQ57" s="379"/>
      <c r="AR57" s="166">
        <v>0.48942600000000003</v>
      </c>
      <c r="AS57" s="379"/>
      <c r="AT57" s="166">
        <v>0.50303880000000001</v>
      </c>
      <c r="AU57" s="379"/>
      <c r="AV57" s="166">
        <v>0.48399300000000001</v>
      </c>
      <c r="AW57" s="379"/>
      <c r="AX57" s="166">
        <v>0.41150910000000002</v>
      </c>
      <c r="AY57" s="379"/>
      <c r="AZ57" s="166">
        <v>0.41961910000000002</v>
      </c>
      <c r="BA57" s="379"/>
      <c r="BB57" s="166">
        <v>0.46894449999999999</v>
      </c>
      <c r="BC57" s="379"/>
      <c r="BD57" s="166">
        <v>0.41323359999999998</v>
      </c>
      <c r="BE57" s="379"/>
      <c r="BF57" s="166">
        <v>0.41322429999999999</v>
      </c>
      <c r="BG57" s="379"/>
      <c r="BH57" s="227"/>
      <c r="BI57" s="184"/>
      <c r="CJ57" s="158"/>
      <c r="CK57" s="150"/>
      <c r="CL57" s="158"/>
      <c r="CM57" s="151" t="s">
        <v>1140</v>
      </c>
      <c r="CN57" s="150" t="s">
        <v>1130</v>
      </c>
      <c r="CO57" s="150"/>
      <c r="CP57" s="158"/>
      <c r="CQ57" s="158"/>
      <c r="CR57" s="158"/>
      <c r="CS57" s="158"/>
      <c r="CT57" s="158"/>
    </row>
    <row r="58" spans="1:98" s="10" customFormat="1" ht="12.75" customHeight="1">
      <c r="A58" s="25"/>
      <c r="B58" s="87" t="str">
        <f>Parameters!Q57</f>
        <v>K</v>
      </c>
      <c r="C58" s="88"/>
      <c r="D58" s="498" t="str">
        <f>Parameters!S57</f>
        <v>Financial and insurance activities</v>
      </c>
      <c r="E58" s="499"/>
      <c r="F58" s="222"/>
      <c r="G58" s="379"/>
      <c r="H58" s="223"/>
      <c r="I58" s="379"/>
      <c r="J58" s="223"/>
      <c r="K58" s="379"/>
      <c r="L58" s="223"/>
      <c r="M58" s="379"/>
      <c r="N58" s="223"/>
      <c r="O58" s="379"/>
      <c r="P58" s="223"/>
      <c r="Q58" s="379"/>
      <c r="R58" s="223"/>
      <c r="S58" s="379"/>
      <c r="T58" s="223"/>
      <c r="U58" s="379"/>
      <c r="V58" s="223"/>
      <c r="W58" s="379"/>
      <c r="X58" s="223"/>
      <c r="Y58" s="379"/>
      <c r="Z58" s="223"/>
      <c r="AA58" s="379"/>
      <c r="AB58" s="223"/>
      <c r="AC58" s="379"/>
      <c r="AD58" s="223"/>
      <c r="AE58" s="379"/>
      <c r="AF58" s="164">
        <v>2.3585499999999999E-2</v>
      </c>
      <c r="AG58" s="379"/>
      <c r="AH58" s="164">
        <v>2.74188E-2</v>
      </c>
      <c r="AI58" s="379"/>
      <c r="AJ58" s="164">
        <v>8.3998400000000001E-2</v>
      </c>
      <c r="AK58" s="379"/>
      <c r="AL58" s="164">
        <v>9.0095000000000001E-3</v>
      </c>
      <c r="AM58" s="379"/>
      <c r="AN58" s="164">
        <v>7.3130000000000001E-3</v>
      </c>
      <c r="AO58" s="379"/>
      <c r="AP58" s="164">
        <v>4.0368000000000001E-3</v>
      </c>
      <c r="AQ58" s="379"/>
      <c r="AR58" s="164">
        <v>7.0439999999999999E-4</v>
      </c>
      <c r="AS58" s="379"/>
      <c r="AT58" s="164">
        <v>1.505E-3</v>
      </c>
      <c r="AU58" s="379"/>
      <c r="AV58" s="164">
        <v>4.1310000000000001E-4</v>
      </c>
      <c r="AW58" s="379"/>
      <c r="AX58" s="164">
        <v>7.2646000000000004E-3</v>
      </c>
      <c r="AY58" s="379"/>
      <c r="AZ58" s="164">
        <v>1.0049E-3</v>
      </c>
      <c r="BA58" s="379"/>
      <c r="BB58" s="164">
        <v>4.5329700000000001E-2</v>
      </c>
      <c r="BC58" s="379"/>
      <c r="BD58" s="164">
        <v>2.44546E-2</v>
      </c>
      <c r="BE58" s="379"/>
      <c r="BF58" s="164">
        <v>2.1809999999999999E-4</v>
      </c>
      <c r="BG58" s="379"/>
      <c r="BH58" s="223"/>
      <c r="BI58" s="184"/>
      <c r="CJ58" s="150"/>
      <c r="CK58" s="150"/>
      <c r="CL58" s="150"/>
      <c r="CM58" s="151" t="s">
        <v>951</v>
      </c>
      <c r="CN58" s="150" t="s">
        <v>1130</v>
      </c>
      <c r="CO58" s="150"/>
      <c r="CP58" s="150"/>
      <c r="CQ58" s="150"/>
      <c r="CR58" s="150"/>
      <c r="CS58" s="150"/>
      <c r="CT58" s="150"/>
    </row>
    <row r="59" spans="1:98" s="11" customFormat="1" ht="12.75" customHeight="1">
      <c r="A59" s="310"/>
      <c r="B59" s="308" t="str">
        <f>Parameters!Q58</f>
        <v>K64</v>
      </c>
      <c r="C59" s="309"/>
      <c r="D59" s="495" t="str">
        <f>Parameters!S58</f>
        <v>Financial service activities, except insurance and pension funding</v>
      </c>
      <c r="E59" s="496"/>
      <c r="F59" s="224"/>
      <c r="G59" s="379"/>
      <c r="H59" s="225"/>
      <c r="I59" s="379"/>
      <c r="J59" s="225"/>
      <c r="K59" s="379"/>
      <c r="L59" s="225"/>
      <c r="M59" s="379"/>
      <c r="N59" s="225"/>
      <c r="O59" s="379"/>
      <c r="P59" s="225"/>
      <c r="Q59" s="379"/>
      <c r="R59" s="225"/>
      <c r="S59" s="379"/>
      <c r="T59" s="225"/>
      <c r="U59" s="379"/>
      <c r="V59" s="225"/>
      <c r="W59" s="379"/>
      <c r="X59" s="225"/>
      <c r="Y59" s="379"/>
      <c r="Z59" s="225"/>
      <c r="AA59" s="379"/>
      <c r="AB59" s="225"/>
      <c r="AC59" s="379"/>
      <c r="AD59" s="225"/>
      <c r="AE59" s="379"/>
      <c r="AF59" s="165">
        <v>2.3295300000000001E-2</v>
      </c>
      <c r="AG59" s="379"/>
      <c r="AH59" s="165">
        <v>2.6998399999999999E-2</v>
      </c>
      <c r="AI59" s="379"/>
      <c r="AJ59" s="165">
        <v>8.2579700000000006E-2</v>
      </c>
      <c r="AK59" s="379"/>
      <c r="AL59" s="165">
        <v>8.6020000000000003E-3</v>
      </c>
      <c r="AM59" s="379"/>
      <c r="AN59" s="165">
        <v>7.1774999999999999E-3</v>
      </c>
      <c r="AO59" s="379"/>
      <c r="AP59" s="165">
        <v>3.8218000000000002E-3</v>
      </c>
      <c r="AQ59" s="379"/>
      <c r="AR59" s="165">
        <v>4.4180000000000001E-4</v>
      </c>
      <c r="AS59" s="379"/>
      <c r="AT59" s="165">
        <v>4.8930000000000002E-4</v>
      </c>
      <c r="AU59" s="379"/>
      <c r="AV59" s="165">
        <v>1.5679999999999999E-4</v>
      </c>
      <c r="AW59" s="379"/>
      <c r="AX59" s="165">
        <v>6.0959999999999999E-3</v>
      </c>
      <c r="AY59" s="379"/>
      <c r="AZ59" s="165">
        <v>5.91E-5</v>
      </c>
      <c r="BA59" s="379"/>
      <c r="BB59" s="165">
        <v>4.51943E-2</v>
      </c>
      <c r="BC59" s="379"/>
      <c r="BD59" s="165">
        <v>2.42928E-2</v>
      </c>
      <c r="BE59" s="379"/>
      <c r="BF59" s="165">
        <v>5.4500000000000003E-5</v>
      </c>
      <c r="BG59" s="379"/>
      <c r="BH59" s="225"/>
      <c r="BI59" s="184"/>
      <c r="CJ59" s="150"/>
      <c r="CK59" s="150"/>
      <c r="CL59" s="150"/>
      <c r="CM59" s="151" t="s">
        <v>957</v>
      </c>
      <c r="CN59" s="150" t="s">
        <v>1130</v>
      </c>
      <c r="CO59" s="150"/>
      <c r="CP59" s="150"/>
      <c r="CQ59" s="150"/>
      <c r="CR59" s="150"/>
      <c r="CS59" s="150"/>
      <c r="CT59" s="150"/>
    </row>
    <row r="60" spans="1:98" s="11" customFormat="1" ht="12.75" customHeight="1">
      <c r="A60" s="310"/>
      <c r="B60" s="308" t="str">
        <f>Parameters!Q59</f>
        <v>K65</v>
      </c>
      <c r="C60" s="309"/>
      <c r="D60" s="495" t="str">
        <f>Parameters!S59</f>
        <v>Insurance, reinsurance and pension funding, except compulsory social security</v>
      </c>
      <c r="E60" s="496"/>
      <c r="F60" s="224"/>
      <c r="G60" s="379"/>
      <c r="H60" s="225"/>
      <c r="I60" s="379"/>
      <c r="J60" s="225"/>
      <c r="K60" s="379"/>
      <c r="L60" s="225"/>
      <c r="M60" s="379"/>
      <c r="N60" s="225"/>
      <c r="O60" s="379"/>
      <c r="P60" s="225"/>
      <c r="Q60" s="379"/>
      <c r="R60" s="225"/>
      <c r="S60" s="379"/>
      <c r="T60" s="225"/>
      <c r="U60" s="379"/>
      <c r="V60" s="225"/>
      <c r="W60" s="379"/>
      <c r="X60" s="225"/>
      <c r="Y60" s="379"/>
      <c r="Z60" s="225"/>
      <c r="AA60" s="379"/>
      <c r="AB60" s="225"/>
      <c r="AC60" s="379"/>
      <c r="AD60" s="225"/>
      <c r="AE60" s="379"/>
      <c r="AF60" s="165">
        <v>1.5119999999999999E-4</v>
      </c>
      <c r="AG60" s="379"/>
      <c r="AH60" s="165">
        <v>2.699E-4</v>
      </c>
      <c r="AI60" s="379"/>
      <c r="AJ60" s="165">
        <v>1.0826E-3</v>
      </c>
      <c r="AK60" s="379"/>
      <c r="AL60" s="165">
        <v>1.041E-4</v>
      </c>
      <c r="AM60" s="379"/>
      <c r="AN60" s="165">
        <v>0</v>
      </c>
      <c r="AO60" s="379"/>
      <c r="AP60" s="165">
        <v>0</v>
      </c>
      <c r="AQ60" s="379"/>
      <c r="AR60" s="165">
        <v>0</v>
      </c>
      <c r="AS60" s="379"/>
      <c r="AT60" s="165">
        <v>0</v>
      </c>
      <c r="AU60" s="379"/>
      <c r="AV60" s="165">
        <v>0</v>
      </c>
      <c r="AW60" s="379"/>
      <c r="AX60" s="165">
        <v>2.4570000000000001E-4</v>
      </c>
      <c r="AY60" s="379"/>
      <c r="AZ60" s="165">
        <v>1.225E-4</v>
      </c>
      <c r="BA60" s="379"/>
      <c r="BB60" s="165">
        <v>0</v>
      </c>
      <c r="BC60" s="379"/>
      <c r="BD60" s="165">
        <v>0</v>
      </c>
      <c r="BE60" s="379"/>
      <c r="BF60" s="165">
        <v>0</v>
      </c>
      <c r="BG60" s="379"/>
      <c r="BH60" s="225"/>
      <c r="BI60" s="184"/>
      <c r="CJ60" s="150"/>
      <c r="CK60" s="150"/>
      <c r="CL60" s="150"/>
      <c r="CM60" s="151" t="s">
        <v>963</v>
      </c>
      <c r="CN60" s="150" t="s">
        <v>1130</v>
      </c>
      <c r="CO60" s="150"/>
      <c r="CP60" s="150"/>
      <c r="CQ60" s="150"/>
      <c r="CR60" s="150"/>
      <c r="CS60" s="150"/>
      <c r="CT60" s="150"/>
    </row>
    <row r="61" spans="1:98" s="11" customFormat="1" ht="12.75" customHeight="1">
      <c r="A61" s="310"/>
      <c r="B61" s="308" t="str">
        <f>Parameters!Q60</f>
        <v>K66</v>
      </c>
      <c r="C61" s="309"/>
      <c r="D61" s="495" t="str">
        <f>Parameters!S60</f>
        <v>Activities auxiliary to financial services and insurance activities</v>
      </c>
      <c r="E61" s="510"/>
      <c r="F61" s="224"/>
      <c r="G61" s="379"/>
      <c r="H61" s="225"/>
      <c r="I61" s="379"/>
      <c r="J61" s="225"/>
      <c r="K61" s="379"/>
      <c r="L61" s="225"/>
      <c r="M61" s="379"/>
      <c r="N61" s="225"/>
      <c r="O61" s="379"/>
      <c r="P61" s="225"/>
      <c r="Q61" s="379"/>
      <c r="R61" s="225"/>
      <c r="S61" s="379"/>
      <c r="T61" s="225"/>
      <c r="U61" s="379"/>
      <c r="V61" s="225"/>
      <c r="W61" s="379"/>
      <c r="X61" s="225"/>
      <c r="Y61" s="379"/>
      <c r="Z61" s="225"/>
      <c r="AA61" s="379"/>
      <c r="AB61" s="225"/>
      <c r="AC61" s="379"/>
      <c r="AD61" s="225"/>
      <c r="AE61" s="379"/>
      <c r="AF61" s="165">
        <v>1.3899999999999999E-4</v>
      </c>
      <c r="AG61" s="379"/>
      <c r="AH61" s="165">
        <v>1.505E-4</v>
      </c>
      <c r="AI61" s="379"/>
      <c r="AJ61" s="165">
        <v>3.3609999999999998E-4</v>
      </c>
      <c r="AK61" s="379"/>
      <c r="AL61" s="165">
        <v>3.033E-4</v>
      </c>
      <c r="AM61" s="379"/>
      <c r="AN61" s="165">
        <v>1.3549999999999999E-4</v>
      </c>
      <c r="AO61" s="379"/>
      <c r="AP61" s="165">
        <v>2.151E-4</v>
      </c>
      <c r="AQ61" s="379"/>
      <c r="AR61" s="165">
        <v>2.6269999999999999E-4</v>
      </c>
      <c r="AS61" s="379"/>
      <c r="AT61" s="165">
        <v>1.0157E-3</v>
      </c>
      <c r="AU61" s="379"/>
      <c r="AV61" s="165">
        <v>2.563E-4</v>
      </c>
      <c r="AW61" s="379"/>
      <c r="AX61" s="165">
        <v>9.2290000000000004E-4</v>
      </c>
      <c r="AY61" s="379"/>
      <c r="AZ61" s="165">
        <v>8.2330000000000001E-4</v>
      </c>
      <c r="BA61" s="379"/>
      <c r="BB61" s="165">
        <v>1.3540000000000001E-4</v>
      </c>
      <c r="BC61" s="379"/>
      <c r="BD61" s="165">
        <v>1.617E-4</v>
      </c>
      <c r="BE61" s="379"/>
      <c r="BF61" s="165">
        <v>1.6359999999999999E-4</v>
      </c>
      <c r="BG61" s="379"/>
      <c r="BH61" s="225"/>
      <c r="BI61" s="184"/>
      <c r="CJ61" s="150"/>
      <c r="CK61" s="150"/>
      <c r="CL61" s="150"/>
      <c r="CM61" s="151" t="s">
        <v>969</v>
      </c>
      <c r="CN61" s="150" t="s">
        <v>1130</v>
      </c>
      <c r="CO61" s="150"/>
      <c r="CP61" s="150"/>
      <c r="CQ61" s="150"/>
      <c r="CR61" s="150"/>
      <c r="CS61" s="150"/>
      <c r="CT61" s="150"/>
    </row>
    <row r="62" spans="1:98" s="11" customFormat="1" ht="12.75" customHeight="1">
      <c r="A62" s="25"/>
      <c r="B62" s="87" t="str">
        <f>Parameters!Q61</f>
        <v>L</v>
      </c>
      <c r="C62" s="88"/>
      <c r="D62" s="498" t="str">
        <f>Parameters!S61</f>
        <v>Real estate activities</v>
      </c>
      <c r="E62" s="507"/>
      <c r="F62" s="222"/>
      <c r="G62" s="379"/>
      <c r="H62" s="223"/>
      <c r="I62" s="379"/>
      <c r="J62" s="223"/>
      <c r="K62" s="379"/>
      <c r="L62" s="223"/>
      <c r="M62" s="379"/>
      <c r="N62" s="223"/>
      <c r="O62" s="379"/>
      <c r="P62" s="223"/>
      <c r="Q62" s="379"/>
      <c r="R62" s="223"/>
      <c r="S62" s="379"/>
      <c r="T62" s="223"/>
      <c r="U62" s="379"/>
      <c r="V62" s="223"/>
      <c r="W62" s="379"/>
      <c r="X62" s="223"/>
      <c r="Y62" s="379"/>
      <c r="Z62" s="223"/>
      <c r="AA62" s="379"/>
      <c r="AB62" s="223"/>
      <c r="AC62" s="379"/>
      <c r="AD62" s="223"/>
      <c r="AE62" s="379"/>
      <c r="AF62" s="164">
        <v>1.7102965000000001</v>
      </c>
      <c r="AG62" s="379"/>
      <c r="AH62" s="164">
        <v>1.7702808999999999</v>
      </c>
      <c r="AI62" s="379"/>
      <c r="AJ62" s="164">
        <v>2.5635381000000002</v>
      </c>
      <c r="AK62" s="379"/>
      <c r="AL62" s="164">
        <v>2.1429228</v>
      </c>
      <c r="AM62" s="379"/>
      <c r="AN62" s="164">
        <v>1.9705154</v>
      </c>
      <c r="AO62" s="379"/>
      <c r="AP62" s="164">
        <v>2.3460459</v>
      </c>
      <c r="AQ62" s="379"/>
      <c r="AR62" s="164">
        <v>1.8125249000000001</v>
      </c>
      <c r="AS62" s="379"/>
      <c r="AT62" s="164">
        <v>2.0108784000000002</v>
      </c>
      <c r="AU62" s="379"/>
      <c r="AV62" s="164">
        <v>1.9919741</v>
      </c>
      <c r="AW62" s="379"/>
      <c r="AX62" s="164">
        <v>1.9395386999999999</v>
      </c>
      <c r="AY62" s="379"/>
      <c r="AZ62" s="164">
        <v>3.6235496</v>
      </c>
      <c r="BA62" s="379"/>
      <c r="BB62" s="164">
        <v>2.0504297</v>
      </c>
      <c r="BC62" s="379"/>
      <c r="BD62" s="164">
        <v>1.8371997</v>
      </c>
      <c r="BE62" s="379"/>
      <c r="BF62" s="164">
        <v>2.0166954000000001</v>
      </c>
      <c r="BG62" s="379"/>
      <c r="BH62" s="223"/>
      <c r="BI62" s="184"/>
      <c r="CJ62" s="150"/>
      <c r="CK62" s="150"/>
      <c r="CL62" s="150"/>
      <c r="CM62" s="151" t="s">
        <v>974</v>
      </c>
      <c r="CN62" s="150" t="s">
        <v>1130</v>
      </c>
      <c r="CO62" s="150"/>
      <c r="CP62" s="150"/>
      <c r="CQ62" s="150"/>
      <c r="CR62" s="150"/>
      <c r="CS62" s="150"/>
      <c r="CT62" s="150"/>
    </row>
    <row r="63" spans="1:98" s="11" customFormat="1" ht="12.75" customHeight="1">
      <c r="A63" s="310"/>
      <c r="B63" s="308" t="str">
        <f>Parameters!Q62</f>
        <v>L68A</v>
      </c>
      <c r="C63" s="309"/>
      <c r="D63" s="508" t="str">
        <f>Parameters!S62</f>
        <v>Imputed rents of owner-occupied dwellings</v>
      </c>
      <c r="E63" s="509"/>
      <c r="F63" s="229"/>
      <c r="G63" s="379"/>
      <c r="H63" s="230"/>
      <c r="I63" s="379"/>
      <c r="J63" s="230"/>
      <c r="K63" s="379"/>
      <c r="L63" s="230"/>
      <c r="M63" s="379"/>
      <c r="N63" s="230"/>
      <c r="O63" s="379"/>
      <c r="P63" s="230"/>
      <c r="Q63" s="379"/>
      <c r="R63" s="230"/>
      <c r="S63" s="379"/>
      <c r="T63" s="230"/>
      <c r="U63" s="379"/>
      <c r="V63" s="230"/>
      <c r="W63" s="379"/>
      <c r="X63" s="230"/>
      <c r="Y63" s="379"/>
      <c r="Z63" s="230"/>
      <c r="AA63" s="379"/>
      <c r="AB63" s="230"/>
      <c r="AC63" s="379"/>
      <c r="AD63" s="230"/>
      <c r="AE63" s="379"/>
      <c r="AF63" s="168">
        <v>1.7102965000000001</v>
      </c>
      <c r="AG63" s="379"/>
      <c r="AH63" s="168">
        <v>1.7702808999999999</v>
      </c>
      <c r="AI63" s="379"/>
      <c r="AJ63" s="168">
        <v>2.5635381000000002</v>
      </c>
      <c r="AK63" s="379"/>
      <c r="AL63" s="168">
        <v>2.1429228</v>
      </c>
      <c r="AM63" s="379"/>
      <c r="AN63" s="168">
        <v>1.9705154</v>
      </c>
      <c r="AO63" s="379"/>
      <c r="AP63" s="168">
        <v>2.3460459</v>
      </c>
      <c r="AQ63" s="379"/>
      <c r="AR63" s="168">
        <v>1.8125249000000001</v>
      </c>
      <c r="AS63" s="379"/>
      <c r="AT63" s="168">
        <v>2.0108784000000002</v>
      </c>
      <c r="AU63" s="379"/>
      <c r="AV63" s="168">
        <v>1.9919741</v>
      </c>
      <c r="AW63" s="379"/>
      <c r="AX63" s="168">
        <v>1.9395386999999999</v>
      </c>
      <c r="AY63" s="379"/>
      <c r="AZ63" s="168">
        <v>3.6235496</v>
      </c>
      <c r="BA63" s="379"/>
      <c r="BB63" s="168">
        <v>2.0504297</v>
      </c>
      <c r="BC63" s="379"/>
      <c r="BD63" s="168">
        <v>1.8371997</v>
      </c>
      <c r="BE63" s="379"/>
      <c r="BF63" s="168">
        <v>2.0166954000000001</v>
      </c>
      <c r="BG63" s="379"/>
      <c r="BH63" s="230"/>
      <c r="BI63" s="184"/>
      <c r="CJ63" s="150"/>
      <c r="CK63" s="150"/>
      <c r="CL63" s="150"/>
      <c r="CM63" s="151" t="s">
        <v>981</v>
      </c>
      <c r="CN63" s="150" t="s">
        <v>1130</v>
      </c>
      <c r="CO63" s="150"/>
      <c r="CP63" s="150"/>
      <c r="CQ63" s="150"/>
      <c r="CR63" s="150"/>
      <c r="CS63" s="150"/>
      <c r="CT63" s="150"/>
    </row>
    <row r="64" spans="1:98" s="11" customFormat="1" ht="12.75" customHeight="1">
      <c r="A64" s="25"/>
      <c r="B64" s="87" t="str">
        <f>Parameters!Q63</f>
        <v>M</v>
      </c>
      <c r="C64" s="88"/>
      <c r="D64" s="498" t="str">
        <f>Parameters!S63</f>
        <v>Professional, scientific and technical activities</v>
      </c>
      <c r="E64" s="499"/>
      <c r="F64" s="222"/>
      <c r="G64" s="379"/>
      <c r="H64" s="223"/>
      <c r="I64" s="379"/>
      <c r="J64" s="223"/>
      <c r="K64" s="379"/>
      <c r="L64" s="223"/>
      <c r="M64" s="379"/>
      <c r="N64" s="223"/>
      <c r="O64" s="379"/>
      <c r="P64" s="223"/>
      <c r="Q64" s="379"/>
      <c r="R64" s="223"/>
      <c r="S64" s="379"/>
      <c r="T64" s="223"/>
      <c r="U64" s="379"/>
      <c r="V64" s="223"/>
      <c r="W64" s="379"/>
      <c r="X64" s="223"/>
      <c r="Y64" s="379"/>
      <c r="Z64" s="223"/>
      <c r="AA64" s="379"/>
      <c r="AB64" s="223"/>
      <c r="AC64" s="379"/>
      <c r="AD64" s="223"/>
      <c r="AE64" s="379"/>
      <c r="AF64" s="164">
        <v>2.4146442000000001</v>
      </c>
      <c r="AG64" s="379"/>
      <c r="AH64" s="164">
        <v>2.4956293000000001</v>
      </c>
      <c r="AI64" s="379"/>
      <c r="AJ64" s="164">
        <v>2.8460353999999999</v>
      </c>
      <c r="AK64" s="379"/>
      <c r="AL64" s="164">
        <v>3.6599816000000001</v>
      </c>
      <c r="AM64" s="379"/>
      <c r="AN64" s="164">
        <v>4.2941681999999997</v>
      </c>
      <c r="AO64" s="379"/>
      <c r="AP64" s="164">
        <v>4.6789902999999997</v>
      </c>
      <c r="AQ64" s="379"/>
      <c r="AR64" s="164">
        <v>4.0345244999999998</v>
      </c>
      <c r="AS64" s="379"/>
      <c r="AT64" s="164">
        <v>3.7846568</v>
      </c>
      <c r="AU64" s="379"/>
      <c r="AV64" s="164">
        <v>3.7127387999999999</v>
      </c>
      <c r="AW64" s="379"/>
      <c r="AX64" s="164">
        <v>3.8282853000000001</v>
      </c>
      <c r="AY64" s="379"/>
      <c r="AZ64" s="164">
        <v>3.8048867999999998</v>
      </c>
      <c r="BA64" s="379"/>
      <c r="BB64" s="164">
        <v>3.3547410000000002</v>
      </c>
      <c r="BC64" s="379"/>
      <c r="BD64" s="164">
        <v>3.1275431</v>
      </c>
      <c r="BE64" s="379"/>
      <c r="BF64" s="164">
        <v>3.6226468999999999</v>
      </c>
      <c r="BG64" s="379"/>
      <c r="BH64" s="223"/>
      <c r="BI64" s="184"/>
      <c r="CJ64" s="150"/>
      <c r="CK64" s="150"/>
      <c r="CL64" s="150"/>
      <c r="CM64" s="151" t="s">
        <v>988</v>
      </c>
      <c r="CN64" s="150" t="s">
        <v>1130</v>
      </c>
      <c r="CO64" s="150"/>
      <c r="CP64" s="150"/>
      <c r="CQ64" s="150"/>
      <c r="CR64" s="150"/>
      <c r="CS64" s="150"/>
      <c r="CT64" s="150"/>
    </row>
    <row r="65" spans="1:98" s="11" customFormat="1" ht="26.25" customHeight="1">
      <c r="A65" s="26"/>
      <c r="B65" s="89" t="str">
        <f>Parameters!Q64</f>
        <v>M69-M71</v>
      </c>
      <c r="C65" s="90"/>
      <c r="D65" s="504" t="str">
        <f>Parameters!S64</f>
        <v>Legal and accounting activities; activities of head offices; management consultancy activities; architectural and engineering activities; technical testing and analysis</v>
      </c>
      <c r="E65" s="506"/>
      <c r="F65" s="252"/>
      <c r="G65" s="380"/>
      <c r="H65" s="253"/>
      <c r="I65" s="380"/>
      <c r="J65" s="253"/>
      <c r="K65" s="380"/>
      <c r="L65" s="253"/>
      <c r="M65" s="380"/>
      <c r="N65" s="253"/>
      <c r="O65" s="380"/>
      <c r="P65" s="253"/>
      <c r="Q65" s="380"/>
      <c r="R65" s="253"/>
      <c r="S65" s="380"/>
      <c r="T65" s="253"/>
      <c r="U65" s="380"/>
      <c r="V65" s="253"/>
      <c r="W65" s="380"/>
      <c r="X65" s="253"/>
      <c r="Y65" s="380"/>
      <c r="Z65" s="253"/>
      <c r="AA65" s="380"/>
      <c r="AB65" s="253"/>
      <c r="AC65" s="380"/>
      <c r="AD65" s="253"/>
      <c r="AE65" s="380"/>
      <c r="AF65" s="253">
        <v>0</v>
      </c>
      <c r="AG65" s="380"/>
      <c r="AH65" s="253">
        <v>0</v>
      </c>
      <c r="AI65" s="380"/>
      <c r="AJ65" s="253">
        <v>0</v>
      </c>
      <c r="AK65" s="380"/>
      <c r="AL65" s="253">
        <v>0</v>
      </c>
      <c r="AM65" s="380"/>
      <c r="AN65" s="253">
        <v>0</v>
      </c>
      <c r="AO65" s="380"/>
      <c r="AP65" s="253">
        <v>0</v>
      </c>
      <c r="AQ65" s="380"/>
      <c r="AR65" s="253">
        <v>0</v>
      </c>
      <c r="AS65" s="380"/>
      <c r="AT65" s="253">
        <v>0</v>
      </c>
      <c r="AU65" s="380"/>
      <c r="AV65" s="253">
        <v>0</v>
      </c>
      <c r="AW65" s="380"/>
      <c r="AX65" s="253">
        <v>0</v>
      </c>
      <c r="AY65" s="380"/>
      <c r="AZ65" s="253">
        <v>0</v>
      </c>
      <c r="BA65" s="380"/>
      <c r="BB65" s="253">
        <v>0</v>
      </c>
      <c r="BC65" s="380"/>
      <c r="BD65" s="253">
        <v>0</v>
      </c>
      <c r="BE65" s="380"/>
      <c r="BF65" s="253">
        <v>0</v>
      </c>
      <c r="BG65" s="380"/>
      <c r="BH65" s="253"/>
      <c r="BI65" s="254"/>
      <c r="CJ65" s="150"/>
      <c r="CK65" s="150"/>
      <c r="CL65" s="150"/>
      <c r="CM65" s="151"/>
      <c r="CN65" s="150"/>
      <c r="CO65" s="150"/>
      <c r="CP65" s="150"/>
      <c r="CQ65" s="150"/>
      <c r="CR65" s="150"/>
      <c r="CS65" s="150"/>
      <c r="CT65" s="150"/>
    </row>
    <row r="66" spans="1:98" s="10" customFormat="1">
      <c r="A66" s="310"/>
      <c r="B66" s="308" t="str">
        <f>Parameters!Q65</f>
        <v>M69_M70</v>
      </c>
      <c r="C66" s="309"/>
      <c r="D66" s="495" t="str">
        <f>Parameters!S65</f>
        <v>Legal and accounting activities; activities of head offices; management consultancy activities</v>
      </c>
      <c r="E66" s="496"/>
      <c r="F66" s="224"/>
      <c r="G66" s="379"/>
      <c r="H66" s="225"/>
      <c r="I66" s="379"/>
      <c r="J66" s="225"/>
      <c r="K66" s="379"/>
      <c r="L66" s="225"/>
      <c r="M66" s="379"/>
      <c r="N66" s="225"/>
      <c r="O66" s="379"/>
      <c r="P66" s="225"/>
      <c r="Q66" s="379"/>
      <c r="R66" s="225"/>
      <c r="S66" s="379"/>
      <c r="T66" s="225"/>
      <c r="U66" s="379"/>
      <c r="V66" s="225"/>
      <c r="W66" s="379"/>
      <c r="X66" s="225"/>
      <c r="Y66" s="379"/>
      <c r="Z66" s="225"/>
      <c r="AA66" s="379"/>
      <c r="AB66" s="225"/>
      <c r="AC66" s="379"/>
      <c r="AD66" s="225"/>
      <c r="AE66" s="379"/>
      <c r="AF66" s="165">
        <v>0.41518640000000001</v>
      </c>
      <c r="AG66" s="379"/>
      <c r="AH66" s="165">
        <v>0.42416880000000001</v>
      </c>
      <c r="AI66" s="379"/>
      <c r="AJ66" s="165">
        <v>0.57679530000000001</v>
      </c>
      <c r="AK66" s="379"/>
      <c r="AL66" s="165">
        <v>0.68397180000000002</v>
      </c>
      <c r="AM66" s="379"/>
      <c r="AN66" s="165">
        <v>0.72960400000000003</v>
      </c>
      <c r="AO66" s="379"/>
      <c r="AP66" s="165">
        <v>0.57209270000000001</v>
      </c>
      <c r="AQ66" s="379"/>
      <c r="AR66" s="165">
        <v>0.53850299999999995</v>
      </c>
      <c r="AS66" s="379"/>
      <c r="AT66" s="165">
        <v>0.61596969999999995</v>
      </c>
      <c r="AU66" s="379"/>
      <c r="AV66" s="165">
        <v>0.54874610000000001</v>
      </c>
      <c r="AW66" s="379"/>
      <c r="AX66" s="165">
        <v>0.55468709999999999</v>
      </c>
      <c r="AY66" s="379"/>
      <c r="AZ66" s="165">
        <v>0.63353590000000004</v>
      </c>
      <c r="BA66" s="379"/>
      <c r="BB66" s="165">
        <v>0.60858469999999998</v>
      </c>
      <c r="BC66" s="379"/>
      <c r="BD66" s="165">
        <v>0.4999595</v>
      </c>
      <c r="BE66" s="379"/>
      <c r="BF66" s="165">
        <v>0.58786130000000003</v>
      </c>
      <c r="BG66" s="379"/>
      <c r="BH66" s="225"/>
      <c r="BI66" s="184"/>
      <c r="CJ66" s="150"/>
      <c r="CK66" s="150"/>
      <c r="CL66" s="150"/>
      <c r="CM66" s="151" t="s">
        <v>1141</v>
      </c>
      <c r="CN66" s="150" t="s">
        <v>1130</v>
      </c>
      <c r="CO66" s="150"/>
      <c r="CP66" s="150"/>
      <c r="CQ66" s="150"/>
      <c r="CR66" s="150"/>
      <c r="CS66" s="150"/>
      <c r="CT66" s="150"/>
    </row>
    <row r="67" spans="1:98" s="10" customFormat="1" ht="12.75" customHeight="1">
      <c r="A67" s="310"/>
      <c r="B67" s="308" t="str">
        <f>Parameters!Q66</f>
        <v>M71</v>
      </c>
      <c r="C67" s="309"/>
      <c r="D67" s="495" t="str">
        <f>Parameters!S66</f>
        <v>Architectural and engineering activities; technical testing and analysis</v>
      </c>
      <c r="E67" s="496"/>
      <c r="F67" s="224"/>
      <c r="G67" s="379"/>
      <c r="H67" s="225"/>
      <c r="I67" s="379"/>
      <c r="J67" s="225"/>
      <c r="K67" s="379"/>
      <c r="L67" s="225"/>
      <c r="M67" s="379"/>
      <c r="N67" s="225"/>
      <c r="O67" s="379"/>
      <c r="P67" s="225"/>
      <c r="Q67" s="379"/>
      <c r="R67" s="225"/>
      <c r="S67" s="379"/>
      <c r="T67" s="225"/>
      <c r="U67" s="379"/>
      <c r="V67" s="225"/>
      <c r="W67" s="379"/>
      <c r="X67" s="225"/>
      <c r="Y67" s="379"/>
      <c r="Z67" s="225"/>
      <c r="AA67" s="379"/>
      <c r="AB67" s="225"/>
      <c r="AC67" s="379"/>
      <c r="AD67" s="225"/>
      <c r="AE67" s="379"/>
      <c r="AF67" s="165">
        <v>0.99247770000000002</v>
      </c>
      <c r="AG67" s="379"/>
      <c r="AH67" s="165">
        <v>1.0336392000000001</v>
      </c>
      <c r="AI67" s="379"/>
      <c r="AJ67" s="165">
        <v>1.1788875000000001</v>
      </c>
      <c r="AK67" s="379"/>
      <c r="AL67" s="165">
        <v>1.6013427</v>
      </c>
      <c r="AM67" s="379"/>
      <c r="AN67" s="165">
        <v>2.1143869</v>
      </c>
      <c r="AO67" s="379"/>
      <c r="AP67" s="165">
        <v>2.5396738999999999</v>
      </c>
      <c r="AQ67" s="379"/>
      <c r="AR67" s="165">
        <v>2.0173329</v>
      </c>
      <c r="AS67" s="379"/>
      <c r="AT67" s="165">
        <v>1.6876420999999999</v>
      </c>
      <c r="AU67" s="379"/>
      <c r="AV67" s="165">
        <v>1.6971228</v>
      </c>
      <c r="AW67" s="379"/>
      <c r="AX67" s="165">
        <v>1.6997708</v>
      </c>
      <c r="AY67" s="379"/>
      <c r="AZ67" s="165">
        <v>1.6825853</v>
      </c>
      <c r="BA67" s="379"/>
      <c r="BB67" s="165">
        <v>1.4281434</v>
      </c>
      <c r="BC67" s="379"/>
      <c r="BD67" s="165">
        <v>1.3907514000000001</v>
      </c>
      <c r="BE67" s="379"/>
      <c r="BF67" s="165">
        <v>1.8225541000000001</v>
      </c>
      <c r="BG67" s="379"/>
      <c r="BH67" s="225"/>
      <c r="BI67" s="184"/>
      <c r="CJ67" s="150"/>
      <c r="CK67" s="150"/>
      <c r="CL67" s="150"/>
      <c r="CM67" s="151" t="s">
        <v>1007</v>
      </c>
      <c r="CN67" s="150" t="s">
        <v>1130</v>
      </c>
      <c r="CO67" s="150"/>
      <c r="CP67" s="150"/>
      <c r="CQ67" s="150"/>
      <c r="CR67" s="150"/>
      <c r="CS67" s="150"/>
      <c r="CT67" s="150"/>
    </row>
    <row r="68" spans="1:98" s="10" customFormat="1" ht="12.75" customHeight="1">
      <c r="A68" s="26"/>
      <c r="B68" s="89" t="str">
        <f>Parameters!Q67</f>
        <v>M72</v>
      </c>
      <c r="C68" s="90"/>
      <c r="D68" s="504" t="str">
        <f>Parameters!S67</f>
        <v>Scientific research and development</v>
      </c>
      <c r="E68" s="505"/>
      <c r="F68" s="226"/>
      <c r="G68" s="379"/>
      <c r="H68" s="227"/>
      <c r="I68" s="379"/>
      <c r="J68" s="227"/>
      <c r="K68" s="379"/>
      <c r="L68" s="227"/>
      <c r="M68" s="379"/>
      <c r="N68" s="227"/>
      <c r="O68" s="379"/>
      <c r="P68" s="227"/>
      <c r="Q68" s="379"/>
      <c r="R68" s="227"/>
      <c r="S68" s="379"/>
      <c r="T68" s="227"/>
      <c r="U68" s="379"/>
      <c r="V68" s="227"/>
      <c r="W68" s="379"/>
      <c r="X68" s="227"/>
      <c r="Y68" s="379"/>
      <c r="Z68" s="227"/>
      <c r="AA68" s="379"/>
      <c r="AB68" s="227"/>
      <c r="AC68" s="379"/>
      <c r="AD68" s="227"/>
      <c r="AE68" s="379"/>
      <c r="AF68" s="166">
        <v>0.67966769999999999</v>
      </c>
      <c r="AG68" s="379"/>
      <c r="AH68" s="166">
        <v>0.70570409999999995</v>
      </c>
      <c r="AI68" s="379"/>
      <c r="AJ68" s="166">
        <v>0.64484379999999997</v>
      </c>
      <c r="AK68" s="379"/>
      <c r="AL68" s="166">
        <v>0.84790790000000005</v>
      </c>
      <c r="AM68" s="379"/>
      <c r="AN68" s="166">
        <v>0.84070009999999995</v>
      </c>
      <c r="AO68" s="379"/>
      <c r="AP68" s="166">
        <v>0.89174390000000003</v>
      </c>
      <c r="AQ68" s="379"/>
      <c r="AR68" s="166">
        <v>0.85428440000000005</v>
      </c>
      <c r="AS68" s="379"/>
      <c r="AT68" s="166">
        <v>0.74886169999999996</v>
      </c>
      <c r="AU68" s="379"/>
      <c r="AV68" s="166">
        <v>0.76964770000000005</v>
      </c>
      <c r="AW68" s="379"/>
      <c r="AX68" s="166">
        <v>0.81892759999999998</v>
      </c>
      <c r="AY68" s="379"/>
      <c r="AZ68" s="166">
        <v>0.72894270000000005</v>
      </c>
      <c r="BA68" s="379"/>
      <c r="BB68" s="166">
        <v>0.4937762</v>
      </c>
      <c r="BC68" s="379"/>
      <c r="BD68" s="166">
        <v>0.50263199999999997</v>
      </c>
      <c r="BE68" s="379"/>
      <c r="BF68" s="166">
        <v>0.49874879999999999</v>
      </c>
      <c r="BG68" s="379"/>
      <c r="BH68" s="227"/>
      <c r="BI68" s="184"/>
      <c r="CJ68" s="150"/>
      <c r="CK68" s="150"/>
      <c r="CL68" s="150"/>
      <c r="CM68" s="151" t="s">
        <v>1011</v>
      </c>
      <c r="CN68" s="150" t="s">
        <v>1130</v>
      </c>
      <c r="CO68" s="150"/>
      <c r="CP68" s="150"/>
      <c r="CQ68" s="150"/>
      <c r="CR68" s="150"/>
      <c r="CS68" s="150"/>
      <c r="CT68" s="150"/>
    </row>
    <row r="69" spans="1:98" s="10" customFormat="1" ht="24" customHeight="1">
      <c r="A69" s="26"/>
      <c r="B69" s="89" t="str">
        <f>Parameters!Q68</f>
        <v>M73-M75</v>
      </c>
      <c r="C69" s="90"/>
      <c r="D69" s="504" t="str">
        <f>Parameters!S68</f>
        <v>Advertising and market research; other professional, scientific and technical activities; veterinary activities</v>
      </c>
      <c r="E69" s="506"/>
      <c r="F69" s="252"/>
      <c r="G69" s="380"/>
      <c r="H69" s="253"/>
      <c r="I69" s="380"/>
      <c r="J69" s="253"/>
      <c r="K69" s="380"/>
      <c r="L69" s="253"/>
      <c r="M69" s="380"/>
      <c r="N69" s="253"/>
      <c r="O69" s="380"/>
      <c r="P69" s="253"/>
      <c r="Q69" s="380"/>
      <c r="R69" s="253"/>
      <c r="S69" s="380"/>
      <c r="T69" s="253"/>
      <c r="U69" s="380"/>
      <c r="V69" s="253"/>
      <c r="W69" s="380"/>
      <c r="X69" s="253"/>
      <c r="Y69" s="380"/>
      <c r="Z69" s="253"/>
      <c r="AA69" s="380"/>
      <c r="AB69" s="253"/>
      <c r="AC69" s="380"/>
      <c r="AD69" s="253"/>
      <c r="AE69" s="380"/>
      <c r="AF69" s="253">
        <v>0</v>
      </c>
      <c r="AG69" s="380"/>
      <c r="AH69" s="253">
        <v>0</v>
      </c>
      <c r="AI69" s="380"/>
      <c r="AJ69" s="253">
        <v>0</v>
      </c>
      <c r="AK69" s="380"/>
      <c r="AL69" s="253">
        <v>0</v>
      </c>
      <c r="AM69" s="380"/>
      <c r="AN69" s="253">
        <v>0</v>
      </c>
      <c r="AO69" s="380"/>
      <c r="AP69" s="253">
        <v>0</v>
      </c>
      <c r="AQ69" s="380"/>
      <c r="AR69" s="253">
        <v>0</v>
      </c>
      <c r="AS69" s="380"/>
      <c r="AT69" s="253">
        <v>0</v>
      </c>
      <c r="AU69" s="380"/>
      <c r="AV69" s="253">
        <v>0</v>
      </c>
      <c r="AW69" s="380"/>
      <c r="AX69" s="253">
        <v>0</v>
      </c>
      <c r="AY69" s="380"/>
      <c r="AZ69" s="253">
        <v>0</v>
      </c>
      <c r="BA69" s="380"/>
      <c r="BB69" s="253">
        <v>0</v>
      </c>
      <c r="BC69" s="380"/>
      <c r="BD69" s="253">
        <v>0</v>
      </c>
      <c r="BE69" s="380"/>
      <c r="BF69" s="253">
        <v>0</v>
      </c>
      <c r="BG69" s="380"/>
      <c r="BH69" s="253"/>
      <c r="BI69" s="254"/>
      <c r="CJ69" s="150"/>
      <c r="CK69" s="150"/>
      <c r="CL69" s="150"/>
      <c r="CM69" s="151"/>
      <c r="CN69" s="150"/>
      <c r="CO69" s="150"/>
      <c r="CP69" s="150"/>
      <c r="CQ69" s="150"/>
      <c r="CR69" s="150"/>
      <c r="CS69" s="150"/>
      <c r="CT69" s="150"/>
    </row>
    <row r="70" spans="1:98" s="10" customFormat="1" ht="12.75" customHeight="1">
      <c r="A70" s="310"/>
      <c r="B70" s="308" t="str">
        <f>Parameters!Q69</f>
        <v>M73</v>
      </c>
      <c r="C70" s="309"/>
      <c r="D70" s="495" t="str">
        <f>Parameters!S69</f>
        <v>Advertising and market research</v>
      </c>
      <c r="E70" s="496"/>
      <c r="F70" s="224"/>
      <c r="G70" s="379"/>
      <c r="H70" s="225"/>
      <c r="I70" s="379"/>
      <c r="J70" s="225"/>
      <c r="K70" s="379"/>
      <c r="L70" s="225"/>
      <c r="M70" s="379"/>
      <c r="N70" s="225"/>
      <c r="O70" s="379"/>
      <c r="P70" s="225"/>
      <c r="Q70" s="379"/>
      <c r="R70" s="225"/>
      <c r="S70" s="379"/>
      <c r="T70" s="225"/>
      <c r="U70" s="379"/>
      <c r="V70" s="225"/>
      <c r="W70" s="379"/>
      <c r="X70" s="225"/>
      <c r="Y70" s="379"/>
      <c r="Z70" s="225"/>
      <c r="AA70" s="379"/>
      <c r="AB70" s="225"/>
      <c r="AC70" s="379"/>
      <c r="AD70" s="225"/>
      <c r="AE70" s="379"/>
      <c r="AF70" s="165">
        <v>0.1254316</v>
      </c>
      <c r="AG70" s="379"/>
      <c r="AH70" s="165">
        <v>0.12625339999999999</v>
      </c>
      <c r="AI70" s="379"/>
      <c r="AJ70" s="165">
        <v>0.15482480000000001</v>
      </c>
      <c r="AK70" s="379"/>
      <c r="AL70" s="165">
        <v>0.19376930000000001</v>
      </c>
      <c r="AM70" s="379"/>
      <c r="AN70" s="165">
        <v>0.22578280000000001</v>
      </c>
      <c r="AO70" s="379"/>
      <c r="AP70" s="165">
        <v>0.26942670000000002</v>
      </c>
      <c r="AQ70" s="379"/>
      <c r="AR70" s="165">
        <v>0.21553659999999999</v>
      </c>
      <c r="AS70" s="379"/>
      <c r="AT70" s="165">
        <v>0.23296449999999999</v>
      </c>
      <c r="AU70" s="379"/>
      <c r="AV70" s="165">
        <v>0.2045429</v>
      </c>
      <c r="AW70" s="379"/>
      <c r="AX70" s="165">
        <v>0.22416420000000001</v>
      </c>
      <c r="AY70" s="379"/>
      <c r="AZ70" s="165">
        <v>0.22828599999999999</v>
      </c>
      <c r="BA70" s="379"/>
      <c r="BB70" s="165">
        <v>0.24494879999999999</v>
      </c>
      <c r="BC70" s="379"/>
      <c r="BD70" s="165">
        <v>0.2095909</v>
      </c>
      <c r="BE70" s="379"/>
      <c r="BF70" s="165">
        <v>0.2088112</v>
      </c>
      <c r="BG70" s="379"/>
      <c r="BH70" s="225"/>
      <c r="BI70" s="184"/>
      <c r="CJ70" s="150"/>
      <c r="CK70" s="150"/>
      <c r="CL70" s="150"/>
      <c r="CM70" s="151" t="s">
        <v>1022</v>
      </c>
      <c r="CN70" s="150" t="s">
        <v>1130</v>
      </c>
      <c r="CO70" s="150"/>
      <c r="CP70" s="150"/>
      <c r="CQ70" s="150"/>
      <c r="CR70" s="150"/>
      <c r="CS70" s="150"/>
      <c r="CT70" s="150"/>
    </row>
    <row r="71" spans="1:98" s="11" customFormat="1" ht="12.75" customHeight="1">
      <c r="A71" s="310"/>
      <c r="B71" s="308" t="str">
        <f>Parameters!Q70</f>
        <v>M74_M75</v>
      </c>
      <c r="C71" s="309"/>
      <c r="D71" s="495" t="str">
        <f>Parameters!S70</f>
        <v>Other professional, scientific and technical activities; veterinary activities</v>
      </c>
      <c r="E71" s="496"/>
      <c r="F71" s="224"/>
      <c r="G71" s="379"/>
      <c r="H71" s="225"/>
      <c r="I71" s="379"/>
      <c r="J71" s="225"/>
      <c r="K71" s="379"/>
      <c r="L71" s="225"/>
      <c r="M71" s="379"/>
      <c r="N71" s="225"/>
      <c r="O71" s="379"/>
      <c r="P71" s="225"/>
      <c r="Q71" s="379"/>
      <c r="R71" s="225"/>
      <c r="S71" s="379"/>
      <c r="T71" s="225"/>
      <c r="U71" s="379"/>
      <c r="V71" s="225"/>
      <c r="W71" s="379"/>
      <c r="X71" s="225"/>
      <c r="Y71" s="379"/>
      <c r="Z71" s="225"/>
      <c r="AA71" s="379"/>
      <c r="AB71" s="225"/>
      <c r="AC71" s="379"/>
      <c r="AD71" s="225"/>
      <c r="AE71" s="379"/>
      <c r="AF71" s="165">
        <v>0.2018808</v>
      </c>
      <c r="AG71" s="379"/>
      <c r="AH71" s="165">
        <v>0.20586370000000001</v>
      </c>
      <c r="AI71" s="379"/>
      <c r="AJ71" s="165">
        <v>0.2906839</v>
      </c>
      <c r="AK71" s="379"/>
      <c r="AL71" s="165">
        <v>0.33298990000000001</v>
      </c>
      <c r="AM71" s="379"/>
      <c r="AN71" s="165">
        <v>0.38369449999999999</v>
      </c>
      <c r="AO71" s="379"/>
      <c r="AP71" s="165">
        <v>0.4060531</v>
      </c>
      <c r="AQ71" s="379"/>
      <c r="AR71" s="165">
        <v>0.40886749999999999</v>
      </c>
      <c r="AS71" s="379"/>
      <c r="AT71" s="165">
        <v>0.49921880000000002</v>
      </c>
      <c r="AU71" s="379"/>
      <c r="AV71" s="165">
        <v>0.49267929999999999</v>
      </c>
      <c r="AW71" s="379"/>
      <c r="AX71" s="165">
        <v>0.53073550000000003</v>
      </c>
      <c r="AY71" s="379"/>
      <c r="AZ71" s="165">
        <v>0.53153680000000003</v>
      </c>
      <c r="BA71" s="379"/>
      <c r="BB71" s="165">
        <v>0.57928789999999997</v>
      </c>
      <c r="BC71" s="379"/>
      <c r="BD71" s="165">
        <v>0.5246092</v>
      </c>
      <c r="BE71" s="379"/>
      <c r="BF71" s="165">
        <v>0.50467139999999999</v>
      </c>
      <c r="BG71" s="379"/>
      <c r="BH71" s="225"/>
      <c r="BI71" s="184"/>
      <c r="CJ71" s="150"/>
      <c r="CK71" s="150"/>
      <c r="CL71" s="150"/>
      <c r="CM71" s="151" t="s">
        <v>1142</v>
      </c>
      <c r="CN71" s="150" t="s">
        <v>1130</v>
      </c>
      <c r="CO71" s="150"/>
      <c r="CP71" s="150"/>
      <c r="CQ71" s="150"/>
      <c r="CR71" s="150"/>
      <c r="CS71" s="150"/>
      <c r="CT71" s="150"/>
    </row>
    <row r="72" spans="1:98" s="11" customFormat="1" ht="12.75" customHeight="1">
      <c r="A72" s="25"/>
      <c r="B72" s="87" t="str">
        <f>Parameters!Q71</f>
        <v>N</v>
      </c>
      <c r="C72" s="88"/>
      <c r="D72" s="498" t="str">
        <f>Parameters!S71</f>
        <v>Administrative and support service activities</v>
      </c>
      <c r="E72" s="499"/>
      <c r="F72" s="222"/>
      <c r="G72" s="379"/>
      <c r="H72" s="223"/>
      <c r="I72" s="379"/>
      <c r="J72" s="223"/>
      <c r="K72" s="379"/>
      <c r="L72" s="223"/>
      <c r="M72" s="379"/>
      <c r="N72" s="223"/>
      <c r="O72" s="379"/>
      <c r="P72" s="223"/>
      <c r="Q72" s="379"/>
      <c r="R72" s="223"/>
      <c r="S72" s="379"/>
      <c r="T72" s="223"/>
      <c r="U72" s="379"/>
      <c r="V72" s="223"/>
      <c r="W72" s="379"/>
      <c r="X72" s="223"/>
      <c r="Y72" s="379"/>
      <c r="Z72" s="223"/>
      <c r="AA72" s="379"/>
      <c r="AB72" s="223"/>
      <c r="AC72" s="379"/>
      <c r="AD72" s="223"/>
      <c r="AE72" s="379"/>
      <c r="AF72" s="164">
        <v>2.1480144000000001</v>
      </c>
      <c r="AG72" s="379"/>
      <c r="AH72" s="164">
        <v>2.2172627999999999</v>
      </c>
      <c r="AI72" s="379"/>
      <c r="AJ72" s="164">
        <v>2.7292325000000002</v>
      </c>
      <c r="AK72" s="379"/>
      <c r="AL72" s="164">
        <v>3.7823449</v>
      </c>
      <c r="AM72" s="379"/>
      <c r="AN72" s="164">
        <v>4.0963982999999997</v>
      </c>
      <c r="AO72" s="379"/>
      <c r="AP72" s="164">
        <v>4.6843450999999998</v>
      </c>
      <c r="AQ72" s="379"/>
      <c r="AR72" s="164">
        <v>4.7010702000000002</v>
      </c>
      <c r="AS72" s="379"/>
      <c r="AT72" s="164">
        <v>5.7418519999999997</v>
      </c>
      <c r="AU72" s="379"/>
      <c r="AV72" s="164">
        <v>9.4188361</v>
      </c>
      <c r="AW72" s="379"/>
      <c r="AX72" s="164">
        <v>11.9696753</v>
      </c>
      <c r="AY72" s="379"/>
      <c r="AZ72" s="164">
        <v>12.676676</v>
      </c>
      <c r="BA72" s="379"/>
      <c r="BB72" s="164">
        <v>7.4495161999999997</v>
      </c>
      <c r="BC72" s="379"/>
      <c r="BD72" s="164">
        <v>6.1036862000000003</v>
      </c>
      <c r="BE72" s="379"/>
      <c r="BF72" s="164">
        <v>6.3756716000000004</v>
      </c>
      <c r="BG72" s="379"/>
      <c r="BH72" s="223"/>
      <c r="BI72" s="184"/>
      <c r="CJ72" s="150"/>
      <c r="CK72" s="150"/>
      <c r="CL72" s="150"/>
      <c r="CM72" s="151" t="s">
        <v>1031</v>
      </c>
      <c r="CN72" s="150" t="s">
        <v>1130</v>
      </c>
      <c r="CO72" s="150"/>
      <c r="CP72" s="150"/>
      <c r="CQ72" s="150"/>
      <c r="CR72" s="150"/>
      <c r="CS72" s="150"/>
      <c r="CT72" s="150"/>
    </row>
    <row r="73" spans="1:98" s="11" customFormat="1" ht="12.75" customHeight="1">
      <c r="A73" s="310"/>
      <c r="B73" s="308" t="str">
        <f>Parameters!Q72</f>
        <v>N77</v>
      </c>
      <c r="C73" s="309"/>
      <c r="D73" s="495" t="str">
        <f>Parameters!S72</f>
        <v>Rental and leasing activities</v>
      </c>
      <c r="E73" s="496"/>
      <c r="F73" s="224"/>
      <c r="G73" s="379"/>
      <c r="H73" s="225"/>
      <c r="I73" s="379"/>
      <c r="J73" s="225"/>
      <c r="K73" s="379"/>
      <c r="L73" s="225"/>
      <c r="M73" s="379"/>
      <c r="N73" s="225"/>
      <c r="O73" s="379"/>
      <c r="P73" s="225"/>
      <c r="Q73" s="379"/>
      <c r="R73" s="225"/>
      <c r="S73" s="379"/>
      <c r="T73" s="225"/>
      <c r="U73" s="379"/>
      <c r="V73" s="225"/>
      <c r="W73" s="379"/>
      <c r="X73" s="225"/>
      <c r="Y73" s="379"/>
      <c r="Z73" s="225"/>
      <c r="AA73" s="379"/>
      <c r="AB73" s="225"/>
      <c r="AC73" s="379"/>
      <c r="AD73" s="225"/>
      <c r="AE73" s="379"/>
      <c r="AF73" s="165">
        <v>0.3544387</v>
      </c>
      <c r="AG73" s="379"/>
      <c r="AH73" s="165">
        <v>0.3611453</v>
      </c>
      <c r="AI73" s="379"/>
      <c r="AJ73" s="165">
        <v>0.4793674</v>
      </c>
      <c r="AK73" s="379"/>
      <c r="AL73" s="165">
        <v>0.68197189999999996</v>
      </c>
      <c r="AM73" s="379"/>
      <c r="AN73" s="165">
        <v>0.60794879999999996</v>
      </c>
      <c r="AO73" s="379"/>
      <c r="AP73" s="165">
        <v>0.86584249999999996</v>
      </c>
      <c r="AQ73" s="379"/>
      <c r="AR73" s="165">
        <v>1.1073822</v>
      </c>
      <c r="AS73" s="379"/>
      <c r="AT73" s="165">
        <v>1.3359416</v>
      </c>
      <c r="AU73" s="379"/>
      <c r="AV73" s="165">
        <v>1.3786944999999999</v>
      </c>
      <c r="AW73" s="379"/>
      <c r="AX73" s="165">
        <v>1.6018162</v>
      </c>
      <c r="AY73" s="379"/>
      <c r="AZ73" s="165">
        <v>3.5173703000000001</v>
      </c>
      <c r="BA73" s="379"/>
      <c r="BB73" s="165">
        <v>2.3474241</v>
      </c>
      <c r="BC73" s="379"/>
      <c r="BD73" s="165">
        <v>1.4266976</v>
      </c>
      <c r="BE73" s="379"/>
      <c r="BF73" s="165">
        <v>1.6318994</v>
      </c>
      <c r="BG73" s="379"/>
      <c r="BH73" s="225"/>
      <c r="BI73" s="184"/>
      <c r="CJ73" s="150"/>
      <c r="CK73" s="150"/>
      <c r="CL73" s="150"/>
      <c r="CM73" s="151" t="s">
        <v>1035</v>
      </c>
      <c r="CN73" s="150" t="s">
        <v>1130</v>
      </c>
      <c r="CO73" s="150"/>
      <c r="CP73" s="150"/>
      <c r="CQ73" s="150"/>
      <c r="CR73" s="150"/>
      <c r="CS73" s="150"/>
      <c r="CT73" s="150"/>
    </row>
    <row r="74" spans="1:98" s="11" customFormat="1" ht="12.75" customHeight="1">
      <c r="A74" s="310"/>
      <c r="B74" s="308" t="str">
        <f>Parameters!Q73</f>
        <v>N78</v>
      </c>
      <c r="C74" s="309"/>
      <c r="D74" s="495" t="str">
        <f>Parameters!S73</f>
        <v>Employment activities</v>
      </c>
      <c r="E74" s="496"/>
      <c r="F74" s="224"/>
      <c r="G74" s="379"/>
      <c r="H74" s="225"/>
      <c r="I74" s="379"/>
      <c r="J74" s="225"/>
      <c r="K74" s="379"/>
      <c r="L74" s="225"/>
      <c r="M74" s="379"/>
      <c r="N74" s="225"/>
      <c r="O74" s="379"/>
      <c r="P74" s="225"/>
      <c r="Q74" s="379"/>
      <c r="R74" s="225"/>
      <c r="S74" s="379"/>
      <c r="T74" s="225"/>
      <c r="U74" s="379"/>
      <c r="V74" s="225"/>
      <c r="W74" s="379"/>
      <c r="X74" s="225"/>
      <c r="Y74" s="379"/>
      <c r="Z74" s="225"/>
      <c r="AA74" s="379"/>
      <c r="AB74" s="225"/>
      <c r="AC74" s="379"/>
      <c r="AD74" s="225"/>
      <c r="AE74" s="379"/>
      <c r="AF74" s="165">
        <v>0.10400810000000001</v>
      </c>
      <c r="AG74" s="379"/>
      <c r="AH74" s="165">
        <v>0.10631930000000001</v>
      </c>
      <c r="AI74" s="379"/>
      <c r="AJ74" s="165">
        <v>0.1331503</v>
      </c>
      <c r="AK74" s="379"/>
      <c r="AL74" s="165">
        <v>0.16167400000000001</v>
      </c>
      <c r="AM74" s="379"/>
      <c r="AN74" s="165">
        <v>0.20933760000000001</v>
      </c>
      <c r="AO74" s="379"/>
      <c r="AP74" s="165">
        <v>0.34210180000000001</v>
      </c>
      <c r="AQ74" s="379"/>
      <c r="AR74" s="165">
        <v>0.32490780000000002</v>
      </c>
      <c r="AS74" s="379"/>
      <c r="AT74" s="165">
        <v>0.82922530000000005</v>
      </c>
      <c r="AU74" s="379"/>
      <c r="AV74" s="165">
        <v>4.0347644999999996</v>
      </c>
      <c r="AW74" s="379"/>
      <c r="AX74" s="165">
        <v>5.9839849000000003</v>
      </c>
      <c r="AY74" s="379"/>
      <c r="AZ74" s="165">
        <v>4.6216097999999999</v>
      </c>
      <c r="BA74" s="379"/>
      <c r="BB74" s="165">
        <v>0.43757040000000003</v>
      </c>
      <c r="BC74" s="379"/>
      <c r="BD74" s="165">
        <v>0.44374659999999999</v>
      </c>
      <c r="BE74" s="379"/>
      <c r="BF74" s="165">
        <v>0.3936846</v>
      </c>
      <c r="BG74" s="379"/>
      <c r="BH74" s="225"/>
      <c r="BI74" s="184"/>
      <c r="CJ74" s="150"/>
      <c r="CK74" s="150"/>
      <c r="CL74" s="150"/>
      <c r="CM74" s="151" t="s">
        <v>1039</v>
      </c>
      <c r="CN74" s="150" t="s">
        <v>1130</v>
      </c>
      <c r="CO74" s="150"/>
      <c r="CP74" s="150"/>
      <c r="CQ74" s="150"/>
      <c r="CR74" s="150"/>
      <c r="CS74" s="150"/>
      <c r="CT74" s="150"/>
    </row>
    <row r="75" spans="1:98" s="11" customFormat="1" ht="12.75" customHeight="1">
      <c r="A75" s="310"/>
      <c r="B75" s="308" t="str">
        <f>Parameters!Q74</f>
        <v>N79</v>
      </c>
      <c r="C75" s="309"/>
      <c r="D75" s="495" t="str">
        <f>Parameters!S74</f>
        <v>Travel agency, tour operator reservation service and related activities</v>
      </c>
      <c r="E75" s="496"/>
      <c r="F75" s="224"/>
      <c r="G75" s="379"/>
      <c r="H75" s="225"/>
      <c r="I75" s="379"/>
      <c r="J75" s="225"/>
      <c r="K75" s="379"/>
      <c r="L75" s="225"/>
      <c r="M75" s="379"/>
      <c r="N75" s="225"/>
      <c r="O75" s="379"/>
      <c r="P75" s="225"/>
      <c r="Q75" s="379"/>
      <c r="R75" s="225"/>
      <c r="S75" s="379"/>
      <c r="T75" s="225"/>
      <c r="U75" s="379"/>
      <c r="V75" s="225"/>
      <c r="W75" s="379"/>
      <c r="X75" s="225"/>
      <c r="Y75" s="379"/>
      <c r="Z75" s="225"/>
      <c r="AA75" s="379"/>
      <c r="AB75" s="225"/>
      <c r="AC75" s="379"/>
      <c r="AD75" s="225"/>
      <c r="AE75" s="379"/>
      <c r="AF75" s="165">
        <v>0.12313159999999999</v>
      </c>
      <c r="AG75" s="379"/>
      <c r="AH75" s="165">
        <v>0.12388970000000001</v>
      </c>
      <c r="AI75" s="379"/>
      <c r="AJ75" s="165">
        <v>0.1452852</v>
      </c>
      <c r="AK75" s="379"/>
      <c r="AL75" s="165">
        <v>0.21030560000000001</v>
      </c>
      <c r="AM75" s="379"/>
      <c r="AN75" s="165">
        <v>0.27209640000000002</v>
      </c>
      <c r="AO75" s="379"/>
      <c r="AP75" s="165">
        <v>0.2690419</v>
      </c>
      <c r="AQ75" s="379"/>
      <c r="AR75" s="165">
        <v>0.18882550000000001</v>
      </c>
      <c r="AS75" s="379"/>
      <c r="AT75" s="165">
        <v>0.28600710000000001</v>
      </c>
      <c r="AU75" s="379"/>
      <c r="AV75" s="165">
        <v>0.35669260000000003</v>
      </c>
      <c r="AW75" s="379"/>
      <c r="AX75" s="165">
        <v>0.27949249999999998</v>
      </c>
      <c r="AY75" s="379"/>
      <c r="AZ75" s="165">
        <v>0.28412389999999998</v>
      </c>
      <c r="BA75" s="379"/>
      <c r="BB75" s="165">
        <v>0.32635940000000002</v>
      </c>
      <c r="BC75" s="379"/>
      <c r="BD75" s="165">
        <v>0.27679140000000002</v>
      </c>
      <c r="BE75" s="379"/>
      <c r="BF75" s="165">
        <v>0.2155407</v>
      </c>
      <c r="BG75" s="379"/>
      <c r="BH75" s="225"/>
      <c r="BI75" s="184"/>
      <c r="CJ75" s="150"/>
      <c r="CK75" s="150"/>
      <c r="CL75" s="150"/>
      <c r="CM75" s="151" t="s">
        <v>1043</v>
      </c>
      <c r="CN75" s="150" t="s">
        <v>1130</v>
      </c>
      <c r="CO75" s="150"/>
      <c r="CP75" s="150"/>
      <c r="CQ75" s="150"/>
      <c r="CR75" s="150"/>
      <c r="CS75" s="150"/>
      <c r="CT75" s="150"/>
    </row>
    <row r="76" spans="1:98" s="11" customFormat="1">
      <c r="A76" s="310"/>
      <c r="B76" s="308" t="str">
        <f>Parameters!Q75</f>
        <v>N80-N82</v>
      </c>
      <c r="C76" s="309"/>
      <c r="D76" s="495" t="str">
        <f>Parameters!S75</f>
        <v>Security and investigation, service and landscape, office administrative and support activities</v>
      </c>
      <c r="E76" s="497"/>
      <c r="F76" s="224"/>
      <c r="G76" s="379"/>
      <c r="H76" s="225"/>
      <c r="I76" s="379"/>
      <c r="J76" s="225"/>
      <c r="K76" s="379"/>
      <c r="L76" s="225"/>
      <c r="M76" s="379"/>
      <c r="N76" s="225"/>
      <c r="O76" s="379"/>
      <c r="P76" s="225"/>
      <c r="Q76" s="379"/>
      <c r="R76" s="225"/>
      <c r="S76" s="379"/>
      <c r="T76" s="225"/>
      <c r="U76" s="379"/>
      <c r="V76" s="225"/>
      <c r="W76" s="379"/>
      <c r="X76" s="225"/>
      <c r="Y76" s="379"/>
      <c r="Z76" s="225"/>
      <c r="AA76" s="379"/>
      <c r="AB76" s="225"/>
      <c r="AC76" s="379"/>
      <c r="AD76" s="225"/>
      <c r="AE76" s="379"/>
      <c r="AF76" s="165">
        <v>1.5664359999999999</v>
      </c>
      <c r="AG76" s="379"/>
      <c r="AH76" s="165">
        <v>1.6259085</v>
      </c>
      <c r="AI76" s="379"/>
      <c r="AJ76" s="165">
        <v>1.9714296</v>
      </c>
      <c r="AK76" s="379"/>
      <c r="AL76" s="165">
        <v>2.7283933999999999</v>
      </c>
      <c r="AM76" s="379"/>
      <c r="AN76" s="165">
        <v>3.0070155000000001</v>
      </c>
      <c r="AO76" s="379"/>
      <c r="AP76" s="165">
        <v>3.2073589</v>
      </c>
      <c r="AQ76" s="379"/>
      <c r="AR76" s="165">
        <v>3.0799547999999999</v>
      </c>
      <c r="AS76" s="379"/>
      <c r="AT76" s="165">
        <v>3.2906778999999999</v>
      </c>
      <c r="AU76" s="379"/>
      <c r="AV76" s="165">
        <v>3.6486844</v>
      </c>
      <c r="AW76" s="379"/>
      <c r="AX76" s="165">
        <v>4.1043817000000002</v>
      </c>
      <c r="AY76" s="379"/>
      <c r="AZ76" s="165">
        <v>4.2535720000000001</v>
      </c>
      <c r="BA76" s="379"/>
      <c r="BB76" s="165">
        <v>4.3381623999999999</v>
      </c>
      <c r="BC76" s="379"/>
      <c r="BD76" s="165">
        <v>3.9564506000000002</v>
      </c>
      <c r="BE76" s="379"/>
      <c r="BF76" s="165">
        <v>4.1345469000000001</v>
      </c>
      <c r="BG76" s="379"/>
      <c r="BH76" s="225"/>
      <c r="BI76" s="184"/>
      <c r="CJ76" s="150"/>
      <c r="CK76" s="150"/>
      <c r="CL76" s="150"/>
      <c r="CM76" s="151" t="s">
        <v>1143</v>
      </c>
      <c r="CN76" s="150" t="s">
        <v>1130</v>
      </c>
      <c r="CO76" s="150"/>
      <c r="CP76" s="150"/>
      <c r="CQ76" s="150"/>
      <c r="CR76" s="150"/>
      <c r="CS76" s="150"/>
      <c r="CT76" s="150"/>
    </row>
    <row r="77" spans="1:98" s="11" customFormat="1" ht="12.75" customHeight="1">
      <c r="A77" s="25"/>
      <c r="B77" s="87" t="str">
        <f>Parameters!Q76</f>
        <v>O</v>
      </c>
      <c r="C77" s="88"/>
      <c r="D77" s="498" t="str">
        <f>Parameters!S76</f>
        <v>Public administration and defence; compulsory social security</v>
      </c>
      <c r="E77" s="499"/>
      <c r="F77" s="222"/>
      <c r="G77" s="379"/>
      <c r="H77" s="223"/>
      <c r="I77" s="379"/>
      <c r="J77" s="223"/>
      <c r="K77" s="379"/>
      <c r="L77" s="223"/>
      <c r="M77" s="379"/>
      <c r="N77" s="223"/>
      <c r="O77" s="379"/>
      <c r="P77" s="223"/>
      <c r="Q77" s="379"/>
      <c r="R77" s="223"/>
      <c r="S77" s="379"/>
      <c r="T77" s="223"/>
      <c r="U77" s="379"/>
      <c r="V77" s="223"/>
      <c r="W77" s="379"/>
      <c r="X77" s="223"/>
      <c r="Y77" s="379"/>
      <c r="Z77" s="223"/>
      <c r="AA77" s="379"/>
      <c r="AB77" s="223"/>
      <c r="AC77" s="379"/>
      <c r="AD77" s="223"/>
      <c r="AE77" s="379"/>
      <c r="AF77" s="164">
        <v>10.534787700000001</v>
      </c>
      <c r="AG77" s="379"/>
      <c r="AH77" s="164">
        <v>13.502145000000001</v>
      </c>
      <c r="AI77" s="379"/>
      <c r="AJ77" s="164">
        <v>10.677872900000001</v>
      </c>
      <c r="AK77" s="379"/>
      <c r="AL77" s="164">
        <v>12.253599899999999</v>
      </c>
      <c r="AM77" s="379"/>
      <c r="AN77" s="164">
        <v>11.8372166</v>
      </c>
      <c r="AO77" s="379"/>
      <c r="AP77" s="164">
        <v>12.5672765</v>
      </c>
      <c r="AQ77" s="379"/>
      <c r="AR77" s="164">
        <v>11.821759999999999</v>
      </c>
      <c r="AS77" s="379"/>
      <c r="AT77" s="164">
        <v>9.2337954</v>
      </c>
      <c r="AU77" s="379"/>
      <c r="AV77" s="164">
        <v>9.0928158000000003</v>
      </c>
      <c r="AW77" s="379"/>
      <c r="AX77" s="164">
        <v>9.1969501999999999</v>
      </c>
      <c r="AY77" s="379"/>
      <c r="AZ77" s="164">
        <v>8.7913373000000004</v>
      </c>
      <c r="BA77" s="379"/>
      <c r="BB77" s="164">
        <v>7.9049950000000004</v>
      </c>
      <c r="BC77" s="379"/>
      <c r="BD77" s="164">
        <v>6.9470752999999998</v>
      </c>
      <c r="BE77" s="379"/>
      <c r="BF77" s="164">
        <v>6.7673059999999996</v>
      </c>
      <c r="BG77" s="379"/>
      <c r="BH77" s="223"/>
      <c r="BI77" s="184"/>
      <c r="CJ77" s="150"/>
      <c r="CK77" s="150"/>
      <c r="CL77" s="150"/>
      <c r="CM77" s="151" t="s">
        <v>1051</v>
      </c>
      <c r="CN77" s="150" t="s">
        <v>1130</v>
      </c>
      <c r="CO77" s="150"/>
      <c r="CP77" s="150"/>
      <c r="CQ77" s="150"/>
      <c r="CR77" s="150"/>
      <c r="CS77" s="150"/>
      <c r="CT77" s="150"/>
    </row>
    <row r="78" spans="1:98" s="11" customFormat="1" ht="12.75" customHeight="1">
      <c r="A78" s="25"/>
      <c r="B78" s="87" t="str">
        <f>Parameters!Q77</f>
        <v>P</v>
      </c>
      <c r="C78" s="88"/>
      <c r="D78" s="498" t="str">
        <f>Parameters!S77</f>
        <v>Education</v>
      </c>
      <c r="E78" s="499"/>
      <c r="F78" s="222"/>
      <c r="G78" s="379"/>
      <c r="H78" s="223"/>
      <c r="I78" s="379"/>
      <c r="J78" s="223"/>
      <c r="K78" s="379"/>
      <c r="L78" s="223"/>
      <c r="M78" s="379"/>
      <c r="N78" s="223"/>
      <c r="O78" s="379"/>
      <c r="P78" s="223"/>
      <c r="Q78" s="379"/>
      <c r="R78" s="223"/>
      <c r="S78" s="379"/>
      <c r="T78" s="223"/>
      <c r="U78" s="379"/>
      <c r="V78" s="223"/>
      <c r="W78" s="379"/>
      <c r="X78" s="223"/>
      <c r="Y78" s="379"/>
      <c r="Z78" s="223"/>
      <c r="AA78" s="379"/>
      <c r="AB78" s="223"/>
      <c r="AC78" s="379"/>
      <c r="AD78" s="223"/>
      <c r="AE78" s="379"/>
      <c r="AF78" s="164">
        <v>0.86466180000000004</v>
      </c>
      <c r="AG78" s="379"/>
      <c r="AH78" s="164">
        <v>0.92928180000000005</v>
      </c>
      <c r="AI78" s="379"/>
      <c r="AJ78" s="164">
        <v>1.1945783000000001</v>
      </c>
      <c r="AK78" s="379"/>
      <c r="AL78" s="164">
        <v>1.2605712</v>
      </c>
      <c r="AM78" s="379"/>
      <c r="AN78" s="164">
        <v>1.4832167000000001</v>
      </c>
      <c r="AO78" s="379"/>
      <c r="AP78" s="164">
        <v>1.4102695999999999</v>
      </c>
      <c r="AQ78" s="379"/>
      <c r="AR78" s="164">
        <v>1.1370153999999999</v>
      </c>
      <c r="AS78" s="379"/>
      <c r="AT78" s="164">
        <v>1.0125119</v>
      </c>
      <c r="AU78" s="379"/>
      <c r="AV78" s="164">
        <v>1.0371912000000001</v>
      </c>
      <c r="AW78" s="379"/>
      <c r="AX78" s="164">
        <v>0.85531089999999999</v>
      </c>
      <c r="AY78" s="379"/>
      <c r="AZ78" s="164">
        <v>1.0042487</v>
      </c>
      <c r="BA78" s="379"/>
      <c r="BB78" s="164">
        <v>1.4280896000000001</v>
      </c>
      <c r="BC78" s="379"/>
      <c r="BD78" s="164">
        <v>1.4026646</v>
      </c>
      <c r="BE78" s="379"/>
      <c r="BF78" s="164">
        <v>2.4372220000000002</v>
      </c>
      <c r="BG78" s="379"/>
      <c r="BH78" s="223"/>
      <c r="BI78" s="184"/>
      <c r="CJ78" s="150"/>
      <c r="CK78" s="150"/>
      <c r="CL78" s="150"/>
      <c r="CM78" s="151" t="s">
        <v>271</v>
      </c>
      <c r="CN78" s="150" t="s">
        <v>1130</v>
      </c>
      <c r="CO78" s="150"/>
      <c r="CP78" s="150"/>
      <c r="CQ78" s="150"/>
      <c r="CR78" s="150"/>
      <c r="CS78" s="150"/>
      <c r="CT78" s="150"/>
    </row>
    <row r="79" spans="1:98" s="11" customFormat="1" ht="12.75" customHeight="1">
      <c r="A79" s="25"/>
      <c r="B79" s="87" t="str">
        <f>Parameters!Q78</f>
        <v>Q</v>
      </c>
      <c r="C79" s="88"/>
      <c r="D79" s="498" t="str">
        <f>Parameters!S78</f>
        <v>Human health and social work activities</v>
      </c>
      <c r="E79" s="499"/>
      <c r="F79" s="222"/>
      <c r="G79" s="379"/>
      <c r="H79" s="223"/>
      <c r="I79" s="379"/>
      <c r="J79" s="223"/>
      <c r="K79" s="379"/>
      <c r="L79" s="223"/>
      <c r="M79" s="379"/>
      <c r="N79" s="223"/>
      <c r="O79" s="379"/>
      <c r="P79" s="223"/>
      <c r="Q79" s="379"/>
      <c r="R79" s="223"/>
      <c r="S79" s="379"/>
      <c r="T79" s="223"/>
      <c r="U79" s="379"/>
      <c r="V79" s="223"/>
      <c r="W79" s="379"/>
      <c r="X79" s="223"/>
      <c r="Y79" s="379"/>
      <c r="Z79" s="223"/>
      <c r="AA79" s="379"/>
      <c r="AB79" s="223"/>
      <c r="AC79" s="379"/>
      <c r="AD79" s="223"/>
      <c r="AE79" s="379"/>
      <c r="AF79" s="164">
        <v>97.170615900000001</v>
      </c>
      <c r="AG79" s="379"/>
      <c r="AH79" s="164">
        <v>103.6014922</v>
      </c>
      <c r="AI79" s="379"/>
      <c r="AJ79" s="164">
        <v>89.453674000000007</v>
      </c>
      <c r="AK79" s="379"/>
      <c r="AL79" s="164">
        <v>84.229348999999999</v>
      </c>
      <c r="AM79" s="379"/>
      <c r="AN79" s="164">
        <v>82.191518599999995</v>
      </c>
      <c r="AO79" s="379"/>
      <c r="AP79" s="164">
        <v>84.951417599999999</v>
      </c>
      <c r="AQ79" s="379"/>
      <c r="AR79" s="164">
        <v>73.016919200000004</v>
      </c>
      <c r="AS79" s="379"/>
      <c r="AT79" s="164">
        <v>72.337462200000004</v>
      </c>
      <c r="AU79" s="379"/>
      <c r="AV79" s="164">
        <v>67.260080500000001</v>
      </c>
      <c r="AW79" s="379"/>
      <c r="AX79" s="164">
        <v>66.228864700000003</v>
      </c>
      <c r="AY79" s="379"/>
      <c r="AZ79" s="164">
        <v>57.574263500000001</v>
      </c>
      <c r="BA79" s="379"/>
      <c r="BB79" s="164">
        <v>46.694609399999997</v>
      </c>
      <c r="BC79" s="379"/>
      <c r="BD79" s="164">
        <v>42.245582499999998</v>
      </c>
      <c r="BE79" s="379"/>
      <c r="BF79" s="164">
        <v>46.836273400000003</v>
      </c>
      <c r="BG79" s="379"/>
      <c r="BH79" s="223"/>
      <c r="BI79" s="184"/>
      <c r="CJ79" s="150"/>
      <c r="CK79" s="150"/>
      <c r="CL79" s="150"/>
      <c r="CM79" s="151" t="s">
        <v>1059</v>
      </c>
      <c r="CN79" s="150" t="s">
        <v>1130</v>
      </c>
      <c r="CO79" s="150"/>
      <c r="CP79" s="150"/>
      <c r="CQ79" s="150"/>
      <c r="CR79" s="150"/>
      <c r="CS79" s="150"/>
      <c r="CT79" s="150"/>
    </row>
    <row r="80" spans="1:98" s="11" customFormat="1" ht="12.75" customHeight="1">
      <c r="A80" s="310"/>
      <c r="B80" s="308" t="str">
        <f>Parameters!Q79</f>
        <v>Q86</v>
      </c>
      <c r="C80" s="309"/>
      <c r="D80" s="495" t="str">
        <f>Parameters!S79</f>
        <v>Human health activities</v>
      </c>
      <c r="E80" s="497"/>
      <c r="F80" s="224"/>
      <c r="G80" s="379"/>
      <c r="H80" s="225"/>
      <c r="I80" s="379"/>
      <c r="J80" s="225"/>
      <c r="K80" s="379"/>
      <c r="L80" s="225"/>
      <c r="M80" s="379"/>
      <c r="N80" s="225"/>
      <c r="O80" s="379"/>
      <c r="P80" s="225"/>
      <c r="Q80" s="379"/>
      <c r="R80" s="225"/>
      <c r="S80" s="379"/>
      <c r="T80" s="225"/>
      <c r="U80" s="379"/>
      <c r="V80" s="225"/>
      <c r="W80" s="379"/>
      <c r="X80" s="225"/>
      <c r="Y80" s="379"/>
      <c r="Z80" s="225"/>
      <c r="AA80" s="379"/>
      <c r="AB80" s="225"/>
      <c r="AC80" s="379"/>
      <c r="AD80" s="225"/>
      <c r="AE80" s="379"/>
      <c r="AF80" s="165">
        <v>95.886568100000005</v>
      </c>
      <c r="AG80" s="379"/>
      <c r="AH80" s="165">
        <v>102.47920689999999</v>
      </c>
      <c r="AI80" s="379"/>
      <c r="AJ80" s="165">
        <v>88.963566</v>
      </c>
      <c r="AK80" s="379"/>
      <c r="AL80" s="165">
        <v>83.604503500000007</v>
      </c>
      <c r="AM80" s="379"/>
      <c r="AN80" s="165">
        <v>81.524008800000004</v>
      </c>
      <c r="AO80" s="379"/>
      <c r="AP80" s="165">
        <v>84.289078000000003</v>
      </c>
      <c r="AQ80" s="379"/>
      <c r="AR80" s="165">
        <v>72.422404900000004</v>
      </c>
      <c r="AS80" s="379"/>
      <c r="AT80" s="165">
        <v>71.792552400000005</v>
      </c>
      <c r="AU80" s="379"/>
      <c r="AV80" s="165">
        <v>66.991343299999997</v>
      </c>
      <c r="AW80" s="379"/>
      <c r="AX80" s="165">
        <v>65.971374400000002</v>
      </c>
      <c r="AY80" s="379"/>
      <c r="AZ80" s="165">
        <v>57.4505701</v>
      </c>
      <c r="BA80" s="379"/>
      <c r="BB80" s="165">
        <v>46.604967700000003</v>
      </c>
      <c r="BC80" s="379"/>
      <c r="BD80" s="165">
        <v>42.231150700000001</v>
      </c>
      <c r="BE80" s="379"/>
      <c r="BF80" s="165">
        <v>45.742722999999998</v>
      </c>
      <c r="BG80" s="379"/>
      <c r="BH80" s="225"/>
      <c r="BI80" s="184"/>
      <c r="CJ80" s="150"/>
      <c r="CK80" s="150"/>
      <c r="CL80" s="150"/>
      <c r="CM80" s="151" t="s">
        <v>1063</v>
      </c>
      <c r="CN80" s="150" t="s">
        <v>1130</v>
      </c>
      <c r="CO80" s="150"/>
      <c r="CP80" s="150"/>
      <c r="CQ80" s="150"/>
      <c r="CR80" s="150"/>
      <c r="CS80" s="150"/>
      <c r="CT80" s="150"/>
    </row>
    <row r="81" spans="1:98" s="11" customFormat="1" ht="12.75" customHeight="1">
      <c r="A81" s="310"/>
      <c r="B81" s="308" t="str">
        <f>Parameters!Q80</f>
        <v>Q87_Q88</v>
      </c>
      <c r="C81" s="309"/>
      <c r="D81" s="495" t="str">
        <f>Parameters!S80</f>
        <v>Residential care activities and social work activities without accommodation</v>
      </c>
      <c r="E81" s="497"/>
      <c r="F81" s="224"/>
      <c r="G81" s="379"/>
      <c r="H81" s="225"/>
      <c r="I81" s="379"/>
      <c r="J81" s="225"/>
      <c r="K81" s="379"/>
      <c r="L81" s="225"/>
      <c r="M81" s="379"/>
      <c r="N81" s="225"/>
      <c r="O81" s="379"/>
      <c r="P81" s="225"/>
      <c r="Q81" s="379"/>
      <c r="R81" s="225"/>
      <c r="S81" s="379"/>
      <c r="T81" s="225"/>
      <c r="U81" s="379"/>
      <c r="V81" s="225"/>
      <c r="W81" s="379"/>
      <c r="X81" s="225"/>
      <c r="Y81" s="379"/>
      <c r="Z81" s="225"/>
      <c r="AA81" s="379"/>
      <c r="AB81" s="225"/>
      <c r="AC81" s="379"/>
      <c r="AD81" s="225"/>
      <c r="AE81" s="379"/>
      <c r="AF81" s="165">
        <v>1.2840478</v>
      </c>
      <c r="AG81" s="379"/>
      <c r="AH81" s="165">
        <v>1.1222852999999999</v>
      </c>
      <c r="AI81" s="379"/>
      <c r="AJ81" s="165">
        <v>0.49010809999999999</v>
      </c>
      <c r="AK81" s="379"/>
      <c r="AL81" s="165">
        <v>0.62484550000000005</v>
      </c>
      <c r="AM81" s="379"/>
      <c r="AN81" s="165">
        <v>0.66750989999999999</v>
      </c>
      <c r="AO81" s="379"/>
      <c r="AP81" s="165">
        <v>0.66233969999999998</v>
      </c>
      <c r="AQ81" s="379"/>
      <c r="AR81" s="165">
        <v>0.59451430000000005</v>
      </c>
      <c r="AS81" s="379"/>
      <c r="AT81" s="165">
        <v>0.5449098</v>
      </c>
      <c r="AU81" s="379"/>
      <c r="AV81" s="165">
        <v>0.26873730000000001</v>
      </c>
      <c r="AW81" s="379"/>
      <c r="AX81" s="165">
        <v>0.25749030000000001</v>
      </c>
      <c r="AY81" s="379"/>
      <c r="AZ81" s="165">
        <v>0.1236934</v>
      </c>
      <c r="BA81" s="379"/>
      <c r="BB81" s="165">
        <v>8.9641700000000005E-2</v>
      </c>
      <c r="BC81" s="379"/>
      <c r="BD81" s="165">
        <v>1.44318E-2</v>
      </c>
      <c r="BE81" s="379"/>
      <c r="BF81" s="165">
        <v>1.0935504</v>
      </c>
      <c r="BG81" s="379"/>
      <c r="BH81" s="225"/>
      <c r="BI81" s="184"/>
      <c r="CJ81" s="157"/>
      <c r="CK81" s="150"/>
      <c r="CL81" s="157"/>
      <c r="CM81" s="151" t="s">
        <v>1144</v>
      </c>
      <c r="CN81" s="150" t="s">
        <v>1130</v>
      </c>
      <c r="CO81" s="157"/>
      <c r="CP81" s="157"/>
      <c r="CQ81" s="157"/>
      <c r="CR81" s="157"/>
      <c r="CS81" s="157"/>
      <c r="CT81" s="157"/>
    </row>
    <row r="82" spans="1:98" s="11" customFormat="1" ht="12.75" customHeight="1">
      <c r="A82" s="25"/>
      <c r="B82" s="87" t="str">
        <f>Parameters!Q81</f>
        <v>R</v>
      </c>
      <c r="C82" s="88"/>
      <c r="D82" s="498" t="str">
        <f>Parameters!S81</f>
        <v>Arts, entertainment and recreation</v>
      </c>
      <c r="E82" s="499"/>
      <c r="F82" s="222"/>
      <c r="G82" s="379"/>
      <c r="H82" s="223"/>
      <c r="I82" s="379"/>
      <c r="J82" s="223"/>
      <c r="K82" s="379"/>
      <c r="L82" s="223"/>
      <c r="M82" s="379"/>
      <c r="N82" s="223"/>
      <c r="O82" s="379"/>
      <c r="P82" s="223"/>
      <c r="Q82" s="379"/>
      <c r="R82" s="223"/>
      <c r="S82" s="379"/>
      <c r="T82" s="223"/>
      <c r="U82" s="379"/>
      <c r="V82" s="223"/>
      <c r="W82" s="379"/>
      <c r="X82" s="223"/>
      <c r="Y82" s="379"/>
      <c r="Z82" s="223"/>
      <c r="AA82" s="379"/>
      <c r="AB82" s="223"/>
      <c r="AC82" s="379"/>
      <c r="AD82" s="223"/>
      <c r="AE82" s="379"/>
      <c r="AF82" s="164">
        <v>1.1843551999999999</v>
      </c>
      <c r="AG82" s="379"/>
      <c r="AH82" s="164">
        <v>1.1942729999999999</v>
      </c>
      <c r="AI82" s="379"/>
      <c r="AJ82" s="164">
        <v>1.3785683</v>
      </c>
      <c r="AK82" s="379"/>
      <c r="AL82" s="164">
        <v>1.3068782000000001</v>
      </c>
      <c r="AM82" s="379"/>
      <c r="AN82" s="164">
        <v>1.3001387</v>
      </c>
      <c r="AO82" s="379"/>
      <c r="AP82" s="164">
        <v>1.3615739</v>
      </c>
      <c r="AQ82" s="379"/>
      <c r="AR82" s="164">
        <v>1.2761524</v>
      </c>
      <c r="AS82" s="379"/>
      <c r="AT82" s="164">
        <v>1.2355991</v>
      </c>
      <c r="AU82" s="379"/>
      <c r="AV82" s="164">
        <v>1.2302449</v>
      </c>
      <c r="AW82" s="379"/>
      <c r="AX82" s="164">
        <v>1.2538121</v>
      </c>
      <c r="AY82" s="379"/>
      <c r="AZ82" s="164">
        <v>1.4087592</v>
      </c>
      <c r="BA82" s="379"/>
      <c r="BB82" s="164">
        <v>1.3660809</v>
      </c>
      <c r="BC82" s="379"/>
      <c r="BD82" s="164">
        <v>1.1866676</v>
      </c>
      <c r="BE82" s="379"/>
      <c r="BF82" s="164">
        <v>1.8610933000000001</v>
      </c>
      <c r="BG82" s="379"/>
      <c r="BH82" s="223"/>
      <c r="BI82" s="184"/>
      <c r="CJ82" s="157"/>
      <c r="CK82" s="150"/>
      <c r="CL82" s="157"/>
      <c r="CM82" s="151" t="s">
        <v>1070</v>
      </c>
      <c r="CN82" s="150" t="s">
        <v>1130</v>
      </c>
      <c r="CO82" s="157"/>
      <c r="CP82" s="157"/>
      <c r="CQ82" s="157"/>
      <c r="CR82" s="157"/>
      <c r="CS82" s="157"/>
      <c r="CT82" s="157"/>
    </row>
    <row r="83" spans="1:98" s="11" customFormat="1" ht="25.5" customHeight="1">
      <c r="A83" s="310"/>
      <c r="B83" s="308" t="str">
        <f>Parameters!Q82</f>
        <v>R90-R92</v>
      </c>
      <c r="C83" s="309"/>
      <c r="D83" s="495" t="str">
        <f>Parameters!S82</f>
        <v>Creative, arts and entertainment activities; libraries, archives, museums and other cultural activities; gambling and betting activities</v>
      </c>
      <c r="E83" s="497"/>
      <c r="F83" s="224"/>
      <c r="G83" s="379"/>
      <c r="H83" s="225"/>
      <c r="I83" s="379"/>
      <c r="J83" s="225"/>
      <c r="K83" s="379"/>
      <c r="L83" s="225"/>
      <c r="M83" s="379"/>
      <c r="N83" s="225"/>
      <c r="O83" s="379"/>
      <c r="P83" s="225"/>
      <c r="Q83" s="379"/>
      <c r="R83" s="225"/>
      <c r="S83" s="379"/>
      <c r="T83" s="225"/>
      <c r="U83" s="379"/>
      <c r="V83" s="225"/>
      <c r="W83" s="379"/>
      <c r="X83" s="225"/>
      <c r="Y83" s="379"/>
      <c r="Z83" s="225"/>
      <c r="AA83" s="379"/>
      <c r="AB83" s="225"/>
      <c r="AC83" s="379"/>
      <c r="AD83" s="225"/>
      <c r="AE83" s="379"/>
      <c r="AF83" s="165">
        <v>2.55576E-2</v>
      </c>
      <c r="AG83" s="379"/>
      <c r="AH83" s="165">
        <v>2.8559999999999999E-2</v>
      </c>
      <c r="AI83" s="379"/>
      <c r="AJ83" s="165">
        <v>6.3376699999999994E-2</v>
      </c>
      <c r="AK83" s="379"/>
      <c r="AL83" s="165">
        <v>4.3977099999999998E-2</v>
      </c>
      <c r="AM83" s="379"/>
      <c r="AN83" s="165">
        <v>4.0033399999999997E-2</v>
      </c>
      <c r="AO83" s="379"/>
      <c r="AP83" s="165">
        <v>4.98387E-2</v>
      </c>
      <c r="AQ83" s="379"/>
      <c r="AR83" s="165">
        <v>5.3417899999999997E-2</v>
      </c>
      <c r="AS83" s="379"/>
      <c r="AT83" s="165">
        <v>4.3624499999999997E-2</v>
      </c>
      <c r="AU83" s="379"/>
      <c r="AV83" s="165">
        <v>3.2389000000000001E-2</v>
      </c>
      <c r="AW83" s="379"/>
      <c r="AX83" s="165">
        <v>4.6213299999999999E-2</v>
      </c>
      <c r="AY83" s="379"/>
      <c r="AZ83" s="165">
        <v>3.6528699999999997E-2</v>
      </c>
      <c r="BA83" s="379"/>
      <c r="BB83" s="165">
        <v>3.6229600000000001E-2</v>
      </c>
      <c r="BC83" s="379"/>
      <c r="BD83" s="165">
        <v>2.7702600000000001E-2</v>
      </c>
      <c r="BE83" s="379"/>
      <c r="BF83" s="165">
        <v>0.25191859999999999</v>
      </c>
      <c r="BG83" s="379"/>
      <c r="BH83" s="225"/>
      <c r="BI83" s="184"/>
      <c r="CJ83" s="157"/>
      <c r="CK83" s="150"/>
      <c r="CL83" s="157"/>
      <c r="CM83" s="151" t="s">
        <v>1145</v>
      </c>
      <c r="CN83" s="150" t="s">
        <v>1130</v>
      </c>
      <c r="CO83" s="157"/>
      <c r="CP83" s="157"/>
      <c r="CQ83" s="157"/>
      <c r="CR83" s="157"/>
      <c r="CS83" s="157"/>
      <c r="CT83" s="157"/>
    </row>
    <row r="84" spans="1:98" s="11" customFormat="1" ht="12.75" customHeight="1">
      <c r="A84" s="310"/>
      <c r="B84" s="308" t="str">
        <f>Parameters!Q83</f>
        <v>R93</v>
      </c>
      <c r="C84" s="309"/>
      <c r="D84" s="495" t="str">
        <f>Parameters!S83</f>
        <v>Sports activities and amusement and recreation activities</v>
      </c>
      <c r="E84" s="497"/>
      <c r="F84" s="224"/>
      <c r="G84" s="379"/>
      <c r="H84" s="225"/>
      <c r="I84" s="379"/>
      <c r="J84" s="225"/>
      <c r="K84" s="379"/>
      <c r="L84" s="225"/>
      <c r="M84" s="379"/>
      <c r="N84" s="225"/>
      <c r="O84" s="379"/>
      <c r="P84" s="225"/>
      <c r="Q84" s="379"/>
      <c r="R84" s="225"/>
      <c r="S84" s="379"/>
      <c r="T84" s="225"/>
      <c r="U84" s="379"/>
      <c r="V84" s="225"/>
      <c r="W84" s="379"/>
      <c r="X84" s="225"/>
      <c r="Y84" s="379"/>
      <c r="Z84" s="225"/>
      <c r="AA84" s="379"/>
      <c r="AB84" s="225"/>
      <c r="AC84" s="379"/>
      <c r="AD84" s="225"/>
      <c r="AE84" s="379"/>
      <c r="AF84" s="165">
        <v>1.1587976</v>
      </c>
      <c r="AG84" s="379"/>
      <c r="AH84" s="165">
        <v>1.165713</v>
      </c>
      <c r="AI84" s="379"/>
      <c r="AJ84" s="165">
        <v>1.3151915999999999</v>
      </c>
      <c r="AK84" s="379"/>
      <c r="AL84" s="165">
        <v>1.2629011000000001</v>
      </c>
      <c r="AM84" s="379"/>
      <c r="AN84" s="165">
        <v>1.2601053</v>
      </c>
      <c r="AO84" s="379"/>
      <c r="AP84" s="165">
        <v>1.3117352</v>
      </c>
      <c r="AQ84" s="379"/>
      <c r="AR84" s="165">
        <v>1.2227345000000001</v>
      </c>
      <c r="AS84" s="379"/>
      <c r="AT84" s="165">
        <v>1.1919746</v>
      </c>
      <c r="AU84" s="379"/>
      <c r="AV84" s="165">
        <v>1.1978557999999999</v>
      </c>
      <c r="AW84" s="379"/>
      <c r="AX84" s="165">
        <v>1.2075988</v>
      </c>
      <c r="AY84" s="379"/>
      <c r="AZ84" s="165">
        <v>1.3722304999999999</v>
      </c>
      <c r="BA84" s="379"/>
      <c r="BB84" s="165">
        <v>1.3298513000000001</v>
      </c>
      <c r="BC84" s="379"/>
      <c r="BD84" s="165">
        <v>1.158965</v>
      </c>
      <c r="BE84" s="379"/>
      <c r="BF84" s="165">
        <v>1.6091747000000001</v>
      </c>
      <c r="BG84" s="379"/>
      <c r="BH84" s="225"/>
      <c r="BI84" s="184"/>
      <c r="CJ84" s="157"/>
      <c r="CK84" s="150"/>
      <c r="CL84" s="157"/>
      <c r="CM84" s="151" t="s">
        <v>1074</v>
      </c>
      <c r="CN84" s="150" t="s">
        <v>1130</v>
      </c>
      <c r="CO84" s="157"/>
      <c r="CP84" s="157"/>
      <c r="CQ84" s="157"/>
      <c r="CR84" s="157"/>
      <c r="CS84" s="157"/>
      <c r="CT84" s="157"/>
    </row>
    <row r="85" spans="1:98" s="11" customFormat="1" ht="12.75" customHeight="1">
      <c r="A85" s="25"/>
      <c r="B85" s="87" t="str">
        <f>Parameters!Q84</f>
        <v>S</v>
      </c>
      <c r="C85" s="88"/>
      <c r="D85" s="498" t="str">
        <f>Parameters!S84</f>
        <v>Other service activities</v>
      </c>
      <c r="E85" s="499"/>
      <c r="F85" s="222"/>
      <c r="G85" s="379"/>
      <c r="H85" s="223"/>
      <c r="I85" s="379"/>
      <c r="J85" s="223"/>
      <c r="K85" s="379"/>
      <c r="L85" s="223"/>
      <c r="M85" s="379"/>
      <c r="N85" s="223"/>
      <c r="O85" s="379"/>
      <c r="P85" s="223"/>
      <c r="Q85" s="379"/>
      <c r="R85" s="223"/>
      <c r="S85" s="379"/>
      <c r="T85" s="223"/>
      <c r="U85" s="379"/>
      <c r="V85" s="223"/>
      <c r="W85" s="379"/>
      <c r="X85" s="223"/>
      <c r="Y85" s="379"/>
      <c r="Z85" s="223"/>
      <c r="AA85" s="379"/>
      <c r="AB85" s="223"/>
      <c r="AC85" s="379"/>
      <c r="AD85" s="223"/>
      <c r="AE85" s="379"/>
      <c r="AF85" s="164">
        <v>0.33838869999999999</v>
      </c>
      <c r="AG85" s="379"/>
      <c r="AH85" s="164">
        <v>0.37934639999999997</v>
      </c>
      <c r="AI85" s="379"/>
      <c r="AJ85" s="164">
        <v>0.6091607</v>
      </c>
      <c r="AK85" s="379"/>
      <c r="AL85" s="164">
        <v>0.59515949999999995</v>
      </c>
      <c r="AM85" s="379"/>
      <c r="AN85" s="164">
        <v>0.59941460000000002</v>
      </c>
      <c r="AO85" s="379"/>
      <c r="AP85" s="164">
        <v>0.61553429999999998</v>
      </c>
      <c r="AQ85" s="379"/>
      <c r="AR85" s="164">
        <v>0.61859229999999998</v>
      </c>
      <c r="AS85" s="379"/>
      <c r="AT85" s="164">
        <v>0.6880307</v>
      </c>
      <c r="AU85" s="379"/>
      <c r="AV85" s="164">
        <v>0.73996830000000002</v>
      </c>
      <c r="AW85" s="379"/>
      <c r="AX85" s="164">
        <v>0.74773880000000004</v>
      </c>
      <c r="AY85" s="379"/>
      <c r="AZ85" s="164">
        <v>0.75568409999999997</v>
      </c>
      <c r="BA85" s="379"/>
      <c r="BB85" s="164">
        <v>0.74299510000000002</v>
      </c>
      <c r="BC85" s="379"/>
      <c r="BD85" s="164">
        <v>0.77646340000000003</v>
      </c>
      <c r="BE85" s="379"/>
      <c r="BF85" s="164">
        <v>0.72085239999999995</v>
      </c>
      <c r="BG85" s="379"/>
      <c r="BH85" s="223"/>
      <c r="BI85" s="184"/>
      <c r="CJ85" s="157"/>
      <c r="CK85" s="150"/>
      <c r="CL85" s="157"/>
      <c r="CM85" s="151" t="s">
        <v>1076</v>
      </c>
      <c r="CN85" s="150" t="s">
        <v>1130</v>
      </c>
      <c r="CO85" s="157"/>
      <c r="CP85" s="157"/>
      <c r="CQ85" s="157"/>
      <c r="CR85" s="157"/>
      <c r="CS85" s="157"/>
      <c r="CT85" s="157"/>
    </row>
    <row r="86" spans="1:98" s="10" customFormat="1" ht="12.75" customHeight="1">
      <c r="A86" s="310"/>
      <c r="B86" s="308" t="str">
        <f>Parameters!Q85</f>
        <v>S94</v>
      </c>
      <c r="C86" s="309"/>
      <c r="D86" s="495" t="str">
        <f>Parameters!S85</f>
        <v>Activities of membership organisations</v>
      </c>
      <c r="E86" s="496"/>
      <c r="F86" s="224"/>
      <c r="G86" s="379"/>
      <c r="H86" s="225"/>
      <c r="I86" s="379"/>
      <c r="J86" s="225"/>
      <c r="K86" s="379"/>
      <c r="L86" s="225"/>
      <c r="M86" s="379"/>
      <c r="N86" s="225"/>
      <c r="O86" s="379"/>
      <c r="P86" s="225"/>
      <c r="Q86" s="379"/>
      <c r="R86" s="225"/>
      <c r="S86" s="379"/>
      <c r="T86" s="225"/>
      <c r="U86" s="379"/>
      <c r="V86" s="225"/>
      <c r="W86" s="379"/>
      <c r="X86" s="225"/>
      <c r="Y86" s="379"/>
      <c r="Z86" s="225"/>
      <c r="AA86" s="379"/>
      <c r="AB86" s="225"/>
      <c r="AC86" s="379"/>
      <c r="AD86" s="225"/>
      <c r="AE86" s="379"/>
      <c r="AF86" s="165">
        <v>4.0251000000000002E-2</v>
      </c>
      <c r="AG86" s="379"/>
      <c r="AH86" s="165">
        <v>5.0697800000000001E-2</v>
      </c>
      <c r="AI86" s="379"/>
      <c r="AJ86" s="165">
        <v>9.0801999999999994E-2</v>
      </c>
      <c r="AK86" s="379"/>
      <c r="AL86" s="165">
        <v>6.4453899999999995E-2</v>
      </c>
      <c r="AM86" s="379"/>
      <c r="AN86" s="165">
        <v>5.9089599999999999E-2</v>
      </c>
      <c r="AO86" s="379"/>
      <c r="AP86" s="165">
        <v>3.9511299999999999E-2</v>
      </c>
      <c r="AQ86" s="379"/>
      <c r="AR86" s="165">
        <v>2.9953E-2</v>
      </c>
      <c r="AS86" s="379"/>
      <c r="AT86" s="165">
        <v>3.84445E-2</v>
      </c>
      <c r="AU86" s="379"/>
      <c r="AV86" s="165">
        <v>3.4382799999999998E-2</v>
      </c>
      <c r="AW86" s="379"/>
      <c r="AX86" s="165">
        <v>3.0368800000000001E-2</v>
      </c>
      <c r="AY86" s="379"/>
      <c r="AZ86" s="165">
        <v>2.6716699999999999E-2</v>
      </c>
      <c r="BA86" s="379"/>
      <c r="BB86" s="165">
        <v>2.3018199999999999E-2</v>
      </c>
      <c r="BC86" s="379"/>
      <c r="BD86" s="165">
        <v>5.9814999999999998E-3</v>
      </c>
      <c r="BE86" s="379"/>
      <c r="BF86" s="165">
        <v>1.05787E-2</v>
      </c>
      <c r="BG86" s="379"/>
      <c r="BH86" s="225"/>
      <c r="BI86" s="184"/>
      <c r="CJ86" s="157"/>
      <c r="CK86" s="150"/>
      <c r="CL86" s="157"/>
      <c r="CM86" s="151" t="s">
        <v>1078</v>
      </c>
      <c r="CN86" s="150" t="s">
        <v>1130</v>
      </c>
      <c r="CO86" s="157"/>
      <c r="CP86" s="157"/>
      <c r="CQ86" s="157"/>
      <c r="CR86" s="157"/>
      <c r="CS86" s="157"/>
      <c r="CT86" s="157"/>
    </row>
    <row r="87" spans="1:98" s="10" customFormat="1" ht="12.75" customHeight="1">
      <c r="A87" s="310"/>
      <c r="B87" s="308" t="str">
        <f>Parameters!Q86</f>
        <v>S95</v>
      </c>
      <c r="C87" s="309"/>
      <c r="D87" s="495" t="str">
        <f>Parameters!S86</f>
        <v>Repair of computers and personal and household goods</v>
      </c>
      <c r="E87" s="497"/>
      <c r="F87" s="224"/>
      <c r="G87" s="379"/>
      <c r="H87" s="225"/>
      <c r="I87" s="379"/>
      <c r="J87" s="225"/>
      <c r="K87" s="379"/>
      <c r="L87" s="225"/>
      <c r="M87" s="379"/>
      <c r="N87" s="225"/>
      <c r="O87" s="379"/>
      <c r="P87" s="225"/>
      <c r="Q87" s="379"/>
      <c r="R87" s="225"/>
      <c r="S87" s="379"/>
      <c r="T87" s="225"/>
      <c r="U87" s="379"/>
      <c r="V87" s="225"/>
      <c r="W87" s="379"/>
      <c r="X87" s="225"/>
      <c r="Y87" s="379"/>
      <c r="Z87" s="225"/>
      <c r="AA87" s="379"/>
      <c r="AB87" s="225"/>
      <c r="AC87" s="379"/>
      <c r="AD87" s="225"/>
      <c r="AE87" s="379"/>
      <c r="AF87" s="165">
        <v>5.5322400000000001E-2</v>
      </c>
      <c r="AG87" s="379"/>
      <c r="AH87" s="165">
        <v>5.6393899999999997E-2</v>
      </c>
      <c r="AI87" s="379"/>
      <c r="AJ87" s="165">
        <v>7.7344200000000002E-2</v>
      </c>
      <c r="AK87" s="379"/>
      <c r="AL87" s="165">
        <v>8.4641800000000003E-2</v>
      </c>
      <c r="AM87" s="379"/>
      <c r="AN87" s="165">
        <v>0.1033467</v>
      </c>
      <c r="AO87" s="379"/>
      <c r="AP87" s="165">
        <v>0.1106244</v>
      </c>
      <c r="AQ87" s="379"/>
      <c r="AR87" s="165">
        <v>0.1131122</v>
      </c>
      <c r="AS87" s="379"/>
      <c r="AT87" s="165">
        <v>0.1314361</v>
      </c>
      <c r="AU87" s="379"/>
      <c r="AV87" s="165">
        <v>0.18510879999999999</v>
      </c>
      <c r="AW87" s="379"/>
      <c r="AX87" s="165">
        <v>0.18670110000000001</v>
      </c>
      <c r="AY87" s="379"/>
      <c r="AZ87" s="165">
        <v>0.1908609</v>
      </c>
      <c r="BA87" s="379"/>
      <c r="BB87" s="165">
        <v>0.21001990000000001</v>
      </c>
      <c r="BC87" s="379"/>
      <c r="BD87" s="165">
        <v>0.28332239999999997</v>
      </c>
      <c r="BE87" s="379"/>
      <c r="BF87" s="165">
        <v>0.18666430000000001</v>
      </c>
      <c r="BG87" s="379"/>
      <c r="BH87" s="225"/>
      <c r="BI87" s="184"/>
      <c r="CJ87" s="157"/>
      <c r="CK87" s="150"/>
      <c r="CL87" s="157"/>
      <c r="CM87" s="151" t="s">
        <v>1080</v>
      </c>
      <c r="CN87" s="150" t="s">
        <v>1130</v>
      </c>
      <c r="CO87" s="157"/>
      <c r="CP87" s="157"/>
      <c r="CQ87" s="157"/>
      <c r="CR87" s="157"/>
      <c r="CS87" s="157"/>
      <c r="CT87" s="157"/>
    </row>
    <row r="88" spans="1:98" s="10" customFormat="1" ht="12.75" customHeight="1">
      <c r="A88" s="310"/>
      <c r="B88" s="308" t="str">
        <f>Parameters!Q87</f>
        <v>S96</v>
      </c>
      <c r="C88" s="309"/>
      <c r="D88" s="495" t="str">
        <f>Parameters!S87</f>
        <v>Other personal service activities</v>
      </c>
      <c r="E88" s="497"/>
      <c r="F88" s="224"/>
      <c r="G88" s="379"/>
      <c r="H88" s="225"/>
      <c r="I88" s="379"/>
      <c r="J88" s="225"/>
      <c r="K88" s="379"/>
      <c r="L88" s="225"/>
      <c r="M88" s="379"/>
      <c r="N88" s="225"/>
      <c r="O88" s="379"/>
      <c r="P88" s="225"/>
      <c r="Q88" s="379"/>
      <c r="R88" s="225"/>
      <c r="S88" s="379"/>
      <c r="T88" s="225"/>
      <c r="U88" s="379"/>
      <c r="V88" s="225"/>
      <c r="W88" s="379"/>
      <c r="X88" s="225"/>
      <c r="Y88" s="379"/>
      <c r="Z88" s="225"/>
      <c r="AA88" s="379"/>
      <c r="AB88" s="225"/>
      <c r="AC88" s="379"/>
      <c r="AD88" s="225"/>
      <c r="AE88" s="379"/>
      <c r="AF88" s="165">
        <v>0.24281530000000001</v>
      </c>
      <c r="AG88" s="379"/>
      <c r="AH88" s="165">
        <v>0.27225470000000002</v>
      </c>
      <c r="AI88" s="379"/>
      <c r="AJ88" s="165">
        <v>0.44101449999999998</v>
      </c>
      <c r="AK88" s="379"/>
      <c r="AL88" s="165">
        <v>0.44606380000000001</v>
      </c>
      <c r="AM88" s="379"/>
      <c r="AN88" s="165">
        <v>0.43697829999999999</v>
      </c>
      <c r="AO88" s="379"/>
      <c r="AP88" s="165">
        <v>0.4653986</v>
      </c>
      <c r="AQ88" s="379"/>
      <c r="AR88" s="165">
        <v>0.47552699999999998</v>
      </c>
      <c r="AS88" s="379"/>
      <c r="AT88" s="165">
        <v>0.51815009999999995</v>
      </c>
      <c r="AU88" s="379"/>
      <c r="AV88" s="165">
        <v>0.52047679999999996</v>
      </c>
      <c r="AW88" s="379"/>
      <c r="AX88" s="165">
        <v>0.5306689</v>
      </c>
      <c r="AY88" s="379"/>
      <c r="AZ88" s="165">
        <v>0.53810650000000004</v>
      </c>
      <c r="BA88" s="379"/>
      <c r="BB88" s="165">
        <v>0.50995699999999999</v>
      </c>
      <c r="BC88" s="379"/>
      <c r="BD88" s="165">
        <v>0.48715950000000002</v>
      </c>
      <c r="BE88" s="379"/>
      <c r="BF88" s="165">
        <v>0.5236094</v>
      </c>
      <c r="BG88" s="379"/>
      <c r="BH88" s="225"/>
      <c r="BI88" s="184"/>
      <c r="CJ88" s="157"/>
      <c r="CK88" s="150"/>
      <c r="CL88" s="157"/>
      <c r="CM88" s="151" t="s">
        <v>1082</v>
      </c>
      <c r="CN88" s="150" t="s">
        <v>1130</v>
      </c>
      <c r="CO88" s="157"/>
      <c r="CP88" s="157"/>
      <c r="CQ88" s="157"/>
      <c r="CR88" s="157"/>
      <c r="CS88" s="157"/>
      <c r="CT88" s="157"/>
    </row>
    <row r="89" spans="1:98" s="10" customFormat="1" ht="30.75" customHeight="1">
      <c r="A89" s="25"/>
      <c r="B89" s="87" t="str">
        <f>Parameters!Q88</f>
        <v>T</v>
      </c>
      <c r="C89" s="88"/>
      <c r="D89" s="498" t="str">
        <f>Parameters!S88</f>
        <v>Activities of households as employers; undifferentiated goods- and services-producing activities of households for own use</v>
      </c>
      <c r="E89" s="499"/>
      <c r="F89" s="222"/>
      <c r="G89" s="379"/>
      <c r="H89" s="231"/>
      <c r="I89" s="379"/>
      <c r="J89" s="231"/>
      <c r="K89" s="379"/>
      <c r="L89" s="231"/>
      <c r="M89" s="379"/>
      <c r="N89" s="231"/>
      <c r="O89" s="379"/>
      <c r="P89" s="231"/>
      <c r="Q89" s="379"/>
      <c r="R89" s="231"/>
      <c r="S89" s="379"/>
      <c r="T89" s="231"/>
      <c r="U89" s="379"/>
      <c r="V89" s="231"/>
      <c r="W89" s="379"/>
      <c r="X89" s="231"/>
      <c r="Y89" s="379"/>
      <c r="Z89" s="231"/>
      <c r="AA89" s="379"/>
      <c r="AB89" s="231"/>
      <c r="AC89" s="379"/>
      <c r="AD89" s="231"/>
      <c r="AE89" s="379"/>
      <c r="AF89" s="169">
        <v>6.7527999999999998E-3</v>
      </c>
      <c r="AG89" s="379"/>
      <c r="AH89" s="169">
        <v>1.28784E-2</v>
      </c>
      <c r="AI89" s="379"/>
      <c r="AJ89" s="169">
        <v>3.1271599999999997E-2</v>
      </c>
      <c r="AK89" s="379"/>
      <c r="AL89" s="169">
        <v>1.4409699999999999E-2</v>
      </c>
      <c r="AM89" s="379"/>
      <c r="AN89" s="169">
        <v>9.6205000000000006E-3</v>
      </c>
      <c r="AO89" s="379"/>
      <c r="AP89" s="169">
        <v>7.3607000000000004E-3</v>
      </c>
      <c r="AQ89" s="379"/>
      <c r="AR89" s="169">
        <v>7.8531E-3</v>
      </c>
      <c r="AS89" s="379"/>
      <c r="AT89" s="169">
        <v>6.4333999999999997E-3</v>
      </c>
      <c r="AU89" s="379"/>
      <c r="AV89" s="164">
        <v>5.1608000000000001E-3</v>
      </c>
      <c r="AW89" s="379"/>
      <c r="AX89" s="164">
        <v>3.5829999999999998E-3</v>
      </c>
      <c r="AY89" s="379"/>
      <c r="AZ89" s="164">
        <v>3.666E-3</v>
      </c>
      <c r="BA89" s="379"/>
      <c r="BB89" s="164">
        <v>1.1581E-3</v>
      </c>
      <c r="BC89" s="379"/>
      <c r="BD89" s="164">
        <v>5.0250000000000002E-4</v>
      </c>
      <c r="BE89" s="379"/>
      <c r="BF89" s="164">
        <v>2.2599E-3</v>
      </c>
      <c r="BG89" s="379"/>
      <c r="BH89" s="223"/>
      <c r="BI89" s="184"/>
      <c r="CJ89" s="157"/>
      <c r="CK89" s="150"/>
      <c r="CL89" s="157"/>
      <c r="CM89" s="151" t="s">
        <v>647</v>
      </c>
      <c r="CN89" s="150" t="s">
        <v>1130</v>
      </c>
      <c r="CO89" s="157"/>
      <c r="CP89" s="157"/>
      <c r="CQ89" s="157"/>
      <c r="CR89" s="157"/>
      <c r="CS89" s="157"/>
      <c r="CT89" s="157"/>
    </row>
    <row r="90" spans="1:98" s="10" customFormat="1" ht="17.25" customHeight="1" thickBot="1">
      <c r="A90" s="25"/>
      <c r="B90" s="98" t="str">
        <f>Parameters!Q89</f>
        <v>U</v>
      </c>
      <c r="C90" s="14"/>
      <c r="D90" s="500" t="str">
        <f>Parameters!S89</f>
        <v>Activities of extraterritorial organisations and bodies</v>
      </c>
      <c r="E90" s="501"/>
      <c r="F90" s="222"/>
      <c r="G90" s="379"/>
      <c r="H90" s="223"/>
      <c r="I90" s="379"/>
      <c r="J90" s="223"/>
      <c r="K90" s="379"/>
      <c r="L90" s="223"/>
      <c r="M90" s="379"/>
      <c r="N90" s="223"/>
      <c r="O90" s="379"/>
      <c r="P90" s="223"/>
      <c r="Q90" s="379"/>
      <c r="R90" s="223"/>
      <c r="S90" s="379"/>
      <c r="T90" s="223"/>
      <c r="U90" s="379"/>
      <c r="V90" s="223"/>
      <c r="W90" s="379"/>
      <c r="X90" s="223"/>
      <c r="Y90" s="379"/>
      <c r="Z90" s="223"/>
      <c r="AA90" s="379"/>
      <c r="AB90" s="223"/>
      <c r="AC90" s="379"/>
      <c r="AD90" s="223"/>
      <c r="AE90" s="379"/>
      <c r="AF90" s="164">
        <v>0</v>
      </c>
      <c r="AG90" s="379" t="s">
        <v>422</v>
      </c>
      <c r="AH90" s="164">
        <v>0</v>
      </c>
      <c r="AI90" s="379" t="s">
        <v>422</v>
      </c>
      <c r="AJ90" s="164">
        <v>0</v>
      </c>
      <c r="AK90" s="379" t="s">
        <v>422</v>
      </c>
      <c r="AL90" s="164">
        <v>0</v>
      </c>
      <c r="AM90" s="379" t="s">
        <v>422</v>
      </c>
      <c r="AN90" s="164">
        <v>0</v>
      </c>
      <c r="AO90" s="379" t="s">
        <v>422</v>
      </c>
      <c r="AP90" s="164">
        <v>0</v>
      </c>
      <c r="AQ90" s="379" t="s">
        <v>422</v>
      </c>
      <c r="AR90" s="164">
        <v>0</v>
      </c>
      <c r="AS90" s="379" t="s">
        <v>422</v>
      </c>
      <c r="AT90" s="164">
        <v>0</v>
      </c>
      <c r="AU90" s="379" t="s">
        <v>422</v>
      </c>
      <c r="AV90" s="164">
        <v>0</v>
      </c>
      <c r="AW90" s="379" t="s">
        <v>422</v>
      </c>
      <c r="AX90" s="164">
        <v>0</v>
      </c>
      <c r="AY90" s="379" t="s">
        <v>422</v>
      </c>
      <c r="AZ90" s="164">
        <v>0</v>
      </c>
      <c r="BA90" s="379" t="s">
        <v>422</v>
      </c>
      <c r="BB90" s="164">
        <v>0</v>
      </c>
      <c r="BC90" s="379" t="s">
        <v>422</v>
      </c>
      <c r="BD90" s="164">
        <v>0</v>
      </c>
      <c r="BE90" s="379" t="s">
        <v>422</v>
      </c>
      <c r="BF90" s="164">
        <v>0</v>
      </c>
      <c r="BG90" s="379" t="s">
        <v>422</v>
      </c>
      <c r="BH90" s="223"/>
      <c r="BI90" s="184"/>
      <c r="CJ90" s="157"/>
      <c r="CK90" s="150"/>
      <c r="CL90" s="157"/>
      <c r="CM90" s="151" t="s">
        <v>1085</v>
      </c>
      <c r="CN90" s="150" t="s">
        <v>1130</v>
      </c>
      <c r="CO90" s="157"/>
      <c r="CP90" s="157"/>
      <c r="CQ90" s="157"/>
      <c r="CR90" s="157"/>
      <c r="CS90" s="157"/>
      <c r="CT90" s="157"/>
    </row>
    <row r="91" spans="1:98" ht="45" customHeight="1">
      <c r="A91" s="66"/>
      <c r="B91" s="492" t="s">
        <v>571</v>
      </c>
      <c r="C91" s="502"/>
      <c r="D91" s="502"/>
      <c r="E91" s="503"/>
      <c r="F91" s="232"/>
      <c r="G91" s="181"/>
      <c r="H91" s="233"/>
      <c r="I91" s="181"/>
      <c r="J91" s="233"/>
      <c r="K91" s="181"/>
      <c r="L91" s="233"/>
      <c r="M91" s="181"/>
      <c r="N91" s="233"/>
      <c r="O91" s="181"/>
      <c r="P91" s="233"/>
      <c r="Q91" s="181"/>
      <c r="R91" s="233"/>
      <c r="S91" s="181"/>
      <c r="T91" s="233"/>
      <c r="U91" s="181"/>
      <c r="V91" s="233"/>
      <c r="W91" s="181"/>
      <c r="X91" s="233"/>
      <c r="Y91" s="181"/>
      <c r="Z91" s="233"/>
      <c r="AA91" s="181"/>
      <c r="AB91" s="233"/>
      <c r="AC91" s="181"/>
      <c r="AD91" s="233"/>
      <c r="AE91" s="181"/>
      <c r="AF91" s="170">
        <v>286.99643049999997</v>
      </c>
      <c r="AG91" s="181"/>
      <c r="AH91" s="170">
        <v>276.108475</v>
      </c>
      <c r="AI91" s="181"/>
      <c r="AJ91" s="170">
        <v>284.07066680000003</v>
      </c>
      <c r="AK91" s="181"/>
      <c r="AL91" s="170">
        <v>261.6844461</v>
      </c>
      <c r="AM91" s="181"/>
      <c r="AN91" s="170">
        <v>293.08928559999998</v>
      </c>
      <c r="AO91" s="181"/>
      <c r="AP91" s="170">
        <v>290.53499970000001</v>
      </c>
      <c r="AQ91" s="181"/>
      <c r="AR91" s="170">
        <v>255.09085490000001</v>
      </c>
      <c r="AS91" s="181"/>
      <c r="AT91" s="170">
        <v>253.89521010000001</v>
      </c>
      <c r="AU91" s="181"/>
      <c r="AV91" s="171">
        <v>267.5997903</v>
      </c>
      <c r="AW91" s="181"/>
      <c r="AX91" s="171">
        <v>250.21335930000001</v>
      </c>
      <c r="AY91" s="181"/>
      <c r="AZ91" s="171">
        <v>257.96613769999999</v>
      </c>
      <c r="BA91" s="181"/>
      <c r="BB91" s="171">
        <v>225.3533759</v>
      </c>
      <c r="BC91" s="181"/>
      <c r="BD91" s="171">
        <v>230.418296</v>
      </c>
      <c r="BE91" s="181"/>
      <c r="BF91" s="171">
        <v>230.9955142</v>
      </c>
      <c r="BG91" s="181"/>
      <c r="BH91" s="234"/>
      <c r="BI91" s="183"/>
      <c r="CJ91" s="157"/>
      <c r="CK91" s="150"/>
      <c r="CL91" s="157"/>
      <c r="CM91" s="151" t="s">
        <v>1088</v>
      </c>
      <c r="CN91" s="150" t="s">
        <v>1130</v>
      </c>
      <c r="CO91" s="157"/>
      <c r="CP91" s="157"/>
      <c r="CQ91" s="157"/>
      <c r="CR91" s="157"/>
      <c r="CS91" s="157"/>
      <c r="CT91" s="157"/>
    </row>
    <row r="92" spans="1:98">
      <c r="A92" s="66"/>
      <c r="B92" s="3"/>
      <c r="C92" s="99"/>
      <c r="D92" s="488" t="s">
        <v>572</v>
      </c>
      <c r="E92" s="489"/>
      <c r="F92" s="235"/>
      <c r="G92" s="379"/>
      <c r="H92" s="236"/>
      <c r="I92" s="379"/>
      <c r="J92" s="236"/>
      <c r="K92" s="379"/>
      <c r="L92" s="236"/>
      <c r="M92" s="379"/>
      <c r="N92" s="236"/>
      <c r="O92" s="379"/>
      <c r="P92" s="236"/>
      <c r="Q92" s="379"/>
      <c r="R92" s="236"/>
      <c r="S92" s="379"/>
      <c r="T92" s="236"/>
      <c r="U92" s="379"/>
      <c r="V92" s="236"/>
      <c r="W92" s="379"/>
      <c r="X92" s="236"/>
      <c r="Y92" s="379"/>
      <c r="Z92" s="236"/>
      <c r="AA92" s="379"/>
      <c r="AB92" s="236"/>
      <c r="AC92" s="379"/>
      <c r="AD92" s="236"/>
      <c r="AE92" s="379"/>
      <c r="AF92" s="172">
        <v>131.9793526</v>
      </c>
      <c r="AG92" s="379"/>
      <c r="AH92" s="172">
        <v>129.89553889999999</v>
      </c>
      <c r="AI92" s="379"/>
      <c r="AJ92" s="172">
        <v>130.33236819999999</v>
      </c>
      <c r="AK92" s="379"/>
      <c r="AL92" s="172">
        <v>130.82904579999999</v>
      </c>
      <c r="AM92" s="379"/>
      <c r="AN92" s="172">
        <v>134.26282839999999</v>
      </c>
      <c r="AO92" s="379"/>
      <c r="AP92" s="172">
        <v>132.95404400000001</v>
      </c>
      <c r="AQ92" s="379"/>
      <c r="AR92" s="172">
        <v>130.23712560000001</v>
      </c>
      <c r="AS92" s="379"/>
      <c r="AT92" s="172">
        <v>131.76360270000001</v>
      </c>
      <c r="AU92" s="379"/>
      <c r="AV92" s="173">
        <v>134.71130830000001</v>
      </c>
      <c r="AW92" s="379"/>
      <c r="AX92" s="173">
        <v>135.87698570000001</v>
      </c>
      <c r="AY92" s="379"/>
      <c r="AZ92" s="173">
        <v>135.24855500000001</v>
      </c>
      <c r="BA92" s="379"/>
      <c r="BB92" s="173">
        <v>130.1791054</v>
      </c>
      <c r="BC92" s="379"/>
      <c r="BD92" s="173">
        <v>129.37802099999999</v>
      </c>
      <c r="BE92" s="379"/>
      <c r="BF92" s="173">
        <v>126.7456395</v>
      </c>
      <c r="BG92" s="379"/>
      <c r="BH92" s="237"/>
      <c r="BI92" s="184"/>
      <c r="CJ92" s="157"/>
      <c r="CK92" s="150"/>
      <c r="CL92" s="157"/>
      <c r="CM92" s="151" t="s">
        <v>1146</v>
      </c>
      <c r="CN92" s="150" t="s">
        <v>1130</v>
      </c>
      <c r="CO92" s="157"/>
      <c r="CP92" s="157"/>
      <c r="CQ92" s="157"/>
      <c r="CR92" s="157"/>
      <c r="CS92" s="157"/>
      <c r="CT92" s="157"/>
    </row>
    <row r="93" spans="1:98">
      <c r="A93" s="314"/>
      <c r="B93" s="3"/>
      <c r="C93" s="99"/>
      <c r="D93" s="488" t="s">
        <v>573</v>
      </c>
      <c r="E93" s="489"/>
      <c r="F93" s="235"/>
      <c r="G93" s="379"/>
      <c r="H93" s="236"/>
      <c r="I93" s="379"/>
      <c r="J93" s="236"/>
      <c r="K93" s="379"/>
      <c r="L93" s="236"/>
      <c r="M93" s="379"/>
      <c r="N93" s="236"/>
      <c r="O93" s="379"/>
      <c r="P93" s="236"/>
      <c r="Q93" s="379"/>
      <c r="R93" s="236"/>
      <c r="S93" s="379"/>
      <c r="T93" s="236"/>
      <c r="U93" s="379"/>
      <c r="V93" s="236"/>
      <c r="W93" s="379"/>
      <c r="X93" s="236"/>
      <c r="Y93" s="379"/>
      <c r="Z93" s="236"/>
      <c r="AA93" s="379"/>
      <c r="AB93" s="236"/>
      <c r="AC93" s="379"/>
      <c r="AD93" s="236"/>
      <c r="AE93" s="379"/>
      <c r="AF93" s="172">
        <v>45.911396099999997</v>
      </c>
      <c r="AG93" s="379"/>
      <c r="AH93" s="172">
        <v>46.6237256</v>
      </c>
      <c r="AI93" s="379"/>
      <c r="AJ93" s="172">
        <v>52.956488899999997</v>
      </c>
      <c r="AK93" s="379"/>
      <c r="AL93" s="172">
        <v>45.447675699999998</v>
      </c>
      <c r="AM93" s="379"/>
      <c r="AN93" s="172">
        <v>46.9993087</v>
      </c>
      <c r="AO93" s="379"/>
      <c r="AP93" s="172">
        <v>37.3159256</v>
      </c>
      <c r="AQ93" s="379"/>
      <c r="AR93" s="172">
        <v>31.702059299999998</v>
      </c>
      <c r="AS93" s="379"/>
      <c r="AT93" s="172">
        <v>33.492088699999996</v>
      </c>
      <c r="AU93" s="379"/>
      <c r="AV93" s="173">
        <v>32.708939700000002</v>
      </c>
      <c r="AW93" s="379"/>
      <c r="AX93" s="173">
        <v>34.333330199999999</v>
      </c>
      <c r="AY93" s="379"/>
      <c r="AZ93" s="173">
        <v>33.080281999999997</v>
      </c>
      <c r="BA93" s="379"/>
      <c r="BB93" s="173">
        <v>29.430752500000001</v>
      </c>
      <c r="BC93" s="379"/>
      <c r="BD93" s="173">
        <v>31.808990399999999</v>
      </c>
      <c r="BE93" s="379"/>
      <c r="BF93" s="173">
        <v>35.327729400000003</v>
      </c>
      <c r="BG93" s="379"/>
      <c r="BH93" s="237"/>
      <c r="BI93" s="184"/>
      <c r="CJ93" s="157"/>
      <c r="CK93" s="150"/>
      <c r="CL93" s="157"/>
      <c r="CM93" s="151" t="s">
        <v>1094</v>
      </c>
      <c r="CN93" s="150" t="s">
        <v>1130</v>
      </c>
      <c r="CO93" s="157"/>
      <c r="CP93" s="157"/>
      <c r="CQ93" s="157"/>
      <c r="CR93" s="157"/>
      <c r="CS93" s="157"/>
      <c r="CT93" s="157"/>
    </row>
    <row r="94" spans="1:98" ht="15" customHeight="1" thickBot="1">
      <c r="A94" s="314"/>
      <c r="B94" s="4"/>
      <c r="C94" s="2"/>
      <c r="D94" s="490" t="s">
        <v>574</v>
      </c>
      <c r="E94" s="491"/>
      <c r="F94" s="238"/>
      <c r="G94" s="182"/>
      <c r="H94" s="239"/>
      <c r="I94" s="182"/>
      <c r="J94" s="239"/>
      <c r="K94" s="182"/>
      <c r="L94" s="239"/>
      <c r="M94" s="182"/>
      <c r="N94" s="239"/>
      <c r="O94" s="182"/>
      <c r="P94" s="239"/>
      <c r="Q94" s="182"/>
      <c r="R94" s="239"/>
      <c r="S94" s="182"/>
      <c r="T94" s="239"/>
      <c r="U94" s="182"/>
      <c r="V94" s="239"/>
      <c r="W94" s="182"/>
      <c r="X94" s="239"/>
      <c r="Y94" s="182"/>
      <c r="Z94" s="239"/>
      <c r="AA94" s="182"/>
      <c r="AB94" s="239"/>
      <c r="AC94" s="182"/>
      <c r="AD94" s="239"/>
      <c r="AE94" s="182"/>
      <c r="AF94" s="174">
        <v>109.10568170000001</v>
      </c>
      <c r="AG94" s="182"/>
      <c r="AH94" s="174">
        <v>99.589210399999999</v>
      </c>
      <c r="AI94" s="182"/>
      <c r="AJ94" s="174">
        <v>100.7818097</v>
      </c>
      <c r="AK94" s="182"/>
      <c r="AL94" s="174">
        <v>85.407724599999995</v>
      </c>
      <c r="AM94" s="182"/>
      <c r="AN94" s="174">
        <v>111.82714850000001</v>
      </c>
      <c r="AO94" s="182"/>
      <c r="AP94" s="174">
        <v>120.2650301</v>
      </c>
      <c r="AQ94" s="182"/>
      <c r="AR94" s="174">
        <v>93.151669999999996</v>
      </c>
      <c r="AS94" s="182"/>
      <c r="AT94" s="174">
        <v>88.639518699999996</v>
      </c>
      <c r="AU94" s="182"/>
      <c r="AV94" s="175">
        <v>100.1795422</v>
      </c>
      <c r="AW94" s="182"/>
      <c r="AX94" s="175">
        <v>80.003043399999996</v>
      </c>
      <c r="AY94" s="182"/>
      <c r="AZ94" s="175">
        <v>89.637300699999997</v>
      </c>
      <c r="BA94" s="182"/>
      <c r="BB94" s="175">
        <v>65.743517999999995</v>
      </c>
      <c r="BC94" s="182"/>
      <c r="BD94" s="175">
        <v>69.231284599999995</v>
      </c>
      <c r="BE94" s="182"/>
      <c r="BF94" s="175">
        <v>68.922145299999997</v>
      </c>
      <c r="BG94" s="182"/>
      <c r="BH94" s="240"/>
      <c r="BI94" s="185"/>
      <c r="CJ94" s="157"/>
      <c r="CK94" s="150"/>
      <c r="CL94" s="157"/>
      <c r="CM94" s="151" t="s">
        <v>1097</v>
      </c>
      <c r="CN94" s="150" t="s">
        <v>1130</v>
      </c>
      <c r="CO94" s="157"/>
      <c r="CP94" s="157"/>
      <c r="CQ94" s="157"/>
      <c r="CR94" s="157"/>
      <c r="CS94" s="157"/>
      <c r="CT94" s="157"/>
    </row>
    <row r="95" spans="1:98" ht="55.5" customHeight="1">
      <c r="A95" s="314"/>
      <c r="B95" s="556" t="s">
        <v>1171</v>
      </c>
      <c r="C95" s="557"/>
      <c r="D95" s="557"/>
      <c r="E95" s="558"/>
      <c r="F95" s="235"/>
      <c r="G95" s="379"/>
      <c r="H95" s="236"/>
      <c r="I95" s="379"/>
      <c r="J95" s="236"/>
      <c r="K95" s="379"/>
      <c r="L95" s="236"/>
      <c r="M95" s="379"/>
      <c r="N95" s="236"/>
      <c r="O95" s="379"/>
      <c r="P95" s="236"/>
      <c r="Q95" s="379"/>
      <c r="R95" s="236"/>
      <c r="S95" s="379"/>
      <c r="T95" s="236"/>
      <c r="U95" s="379"/>
      <c r="V95" s="236"/>
      <c r="W95" s="379"/>
      <c r="X95" s="236"/>
      <c r="Y95" s="379"/>
      <c r="Z95" s="236"/>
      <c r="AA95" s="379"/>
      <c r="AB95" s="236"/>
      <c r="AC95" s="379"/>
      <c r="AD95" s="236"/>
      <c r="AE95" s="379"/>
      <c r="AF95" s="172">
        <v>10642.5944537</v>
      </c>
      <c r="AG95" s="379"/>
      <c r="AH95" s="172">
        <v>8770.1255533999993</v>
      </c>
      <c r="AI95" s="379"/>
      <c r="AJ95" s="172">
        <v>8490.6991276999997</v>
      </c>
      <c r="AK95" s="379"/>
      <c r="AL95" s="172">
        <v>8598.6844650999992</v>
      </c>
      <c r="AM95" s="379"/>
      <c r="AN95" s="172">
        <v>8630.6843468000006</v>
      </c>
      <c r="AO95" s="379"/>
      <c r="AP95" s="172">
        <v>8563.5271611999997</v>
      </c>
      <c r="AQ95" s="379"/>
      <c r="AR95" s="172">
        <v>8578.5628121999998</v>
      </c>
      <c r="AS95" s="379"/>
      <c r="AT95" s="172">
        <v>8872.4224140999995</v>
      </c>
      <c r="AU95" s="379"/>
      <c r="AV95" s="173">
        <v>8458.3185496000006</v>
      </c>
      <c r="AW95" s="379"/>
      <c r="AX95" s="173">
        <v>8365.9581510000007</v>
      </c>
      <c r="AY95" s="379"/>
      <c r="AZ95" s="173">
        <v>8363.2305648000001</v>
      </c>
      <c r="BA95" s="379"/>
      <c r="BB95" s="173">
        <v>8481.7348505000009</v>
      </c>
      <c r="BC95" s="379"/>
      <c r="BD95" s="173">
        <v>8186.9972340000004</v>
      </c>
      <c r="BE95" s="379"/>
      <c r="BF95" s="173">
        <v>8195.6811183000009</v>
      </c>
      <c r="BG95" s="379"/>
      <c r="BH95" s="237"/>
      <c r="BI95" s="184"/>
      <c r="CJ95" s="157"/>
      <c r="CK95" s="150"/>
      <c r="CL95" s="157"/>
      <c r="CM95" s="151" t="s">
        <v>1148</v>
      </c>
      <c r="CN95" s="150" t="s">
        <v>1130</v>
      </c>
      <c r="CO95" s="157"/>
      <c r="CP95" s="157"/>
      <c r="CQ95" s="157"/>
      <c r="CR95" s="157"/>
      <c r="CS95" s="157"/>
      <c r="CT95" s="157"/>
    </row>
    <row r="96" spans="1:98" ht="17.25" customHeight="1">
      <c r="A96" s="317"/>
      <c r="B96" s="200">
        <v>2</v>
      </c>
      <c r="C96" s="101"/>
      <c r="D96" s="482" t="s">
        <v>576</v>
      </c>
      <c r="E96" s="483"/>
      <c r="F96" s="235"/>
      <c r="G96" s="379"/>
      <c r="H96" s="236"/>
      <c r="I96" s="379"/>
      <c r="J96" s="236"/>
      <c r="K96" s="379"/>
      <c r="L96" s="236"/>
      <c r="M96" s="379"/>
      <c r="N96" s="236"/>
      <c r="O96" s="379"/>
      <c r="P96" s="236"/>
      <c r="Q96" s="379"/>
      <c r="R96" s="236"/>
      <c r="S96" s="379"/>
      <c r="T96" s="236"/>
      <c r="U96" s="379"/>
      <c r="V96" s="236"/>
      <c r="W96" s="379"/>
      <c r="X96" s="236"/>
      <c r="Y96" s="379"/>
      <c r="Z96" s="236"/>
      <c r="AA96" s="379"/>
      <c r="AB96" s="236"/>
      <c r="AC96" s="379"/>
      <c r="AD96" s="236"/>
      <c r="AE96" s="379"/>
      <c r="AF96" s="172">
        <v>243.64630399999999</v>
      </c>
      <c r="AG96" s="379"/>
      <c r="AH96" s="172">
        <v>211.30662659999999</v>
      </c>
      <c r="AI96" s="379"/>
      <c r="AJ96" s="172">
        <v>231.69829200000001</v>
      </c>
      <c r="AK96" s="379"/>
      <c r="AL96" s="172">
        <v>369.21410700000001</v>
      </c>
      <c r="AM96" s="379"/>
      <c r="AN96" s="172">
        <v>371.6852854</v>
      </c>
      <c r="AO96" s="379"/>
      <c r="AP96" s="172">
        <v>370.9365196</v>
      </c>
      <c r="AQ96" s="379"/>
      <c r="AR96" s="172">
        <v>346.96379330000002</v>
      </c>
      <c r="AS96" s="379"/>
      <c r="AT96" s="172">
        <v>510.1423863</v>
      </c>
      <c r="AU96" s="379"/>
      <c r="AV96" s="173">
        <v>310.07585440000003</v>
      </c>
      <c r="AW96" s="379"/>
      <c r="AX96" s="173">
        <v>374.6724494</v>
      </c>
      <c r="AY96" s="379"/>
      <c r="AZ96" s="173">
        <v>447.79438570000002</v>
      </c>
      <c r="BA96" s="379"/>
      <c r="BB96" s="173">
        <v>488.84389119999997</v>
      </c>
      <c r="BC96" s="379"/>
      <c r="BD96" s="173">
        <v>388.05058350000002</v>
      </c>
      <c r="BE96" s="379"/>
      <c r="BF96" s="173">
        <v>382.60047170000001</v>
      </c>
      <c r="BG96" s="379"/>
      <c r="BH96" s="237"/>
      <c r="BI96" s="184"/>
      <c r="CJ96" s="157"/>
      <c r="CK96" s="150"/>
      <c r="CL96" s="157"/>
      <c r="CM96" s="151" t="s">
        <v>1148</v>
      </c>
      <c r="CN96" s="157" t="s">
        <v>1149</v>
      </c>
      <c r="CO96" s="157"/>
      <c r="CP96" s="157"/>
      <c r="CQ96" s="157"/>
      <c r="CR96" s="157"/>
      <c r="CS96" s="157"/>
      <c r="CT96" s="157"/>
    </row>
    <row r="97" spans="1:98" ht="12.75" customHeight="1">
      <c r="A97" s="317"/>
      <c r="B97" s="201">
        <v>2.1</v>
      </c>
      <c r="C97" s="102"/>
      <c r="D97" s="480" t="s">
        <v>577</v>
      </c>
      <c r="E97" s="481"/>
      <c r="F97" s="224"/>
      <c r="G97" s="379"/>
      <c r="H97" s="228"/>
      <c r="I97" s="379"/>
      <c r="J97" s="228"/>
      <c r="K97" s="379"/>
      <c r="L97" s="228"/>
      <c r="M97" s="379"/>
      <c r="N97" s="228"/>
      <c r="O97" s="379"/>
      <c r="P97" s="228"/>
      <c r="Q97" s="379"/>
      <c r="R97" s="228"/>
      <c r="S97" s="379"/>
      <c r="T97" s="228"/>
      <c r="U97" s="379"/>
      <c r="V97" s="228"/>
      <c r="W97" s="379"/>
      <c r="X97" s="228"/>
      <c r="Y97" s="379"/>
      <c r="Z97" s="228"/>
      <c r="AA97" s="379"/>
      <c r="AB97" s="228"/>
      <c r="AC97" s="379"/>
      <c r="AD97" s="228"/>
      <c r="AE97" s="379"/>
      <c r="AF97" s="167">
        <v>0</v>
      </c>
      <c r="AG97" s="379"/>
      <c r="AH97" s="167">
        <v>0</v>
      </c>
      <c r="AI97" s="379"/>
      <c r="AJ97" s="167">
        <v>0</v>
      </c>
      <c r="AK97" s="379"/>
      <c r="AL97" s="167">
        <v>0</v>
      </c>
      <c r="AM97" s="379"/>
      <c r="AN97" s="167">
        <v>0</v>
      </c>
      <c r="AO97" s="379"/>
      <c r="AP97" s="167">
        <v>0</v>
      </c>
      <c r="AQ97" s="379"/>
      <c r="AR97" s="167">
        <v>0</v>
      </c>
      <c r="AS97" s="379"/>
      <c r="AT97" s="167">
        <v>0</v>
      </c>
      <c r="AU97" s="379"/>
      <c r="AV97" s="165">
        <v>0</v>
      </c>
      <c r="AW97" s="379"/>
      <c r="AX97" s="165">
        <v>0</v>
      </c>
      <c r="AY97" s="379"/>
      <c r="AZ97" s="165">
        <v>0</v>
      </c>
      <c r="BA97" s="379"/>
      <c r="BB97" s="165">
        <v>0</v>
      </c>
      <c r="BC97" s="379"/>
      <c r="BD97" s="165">
        <v>0</v>
      </c>
      <c r="BE97" s="379"/>
      <c r="BF97" s="165">
        <v>0</v>
      </c>
      <c r="BG97" s="379"/>
      <c r="BH97" s="225"/>
      <c r="BI97" s="184"/>
      <c r="CJ97" s="157"/>
      <c r="CK97" s="150"/>
      <c r="CL97" s="157"/>
      <c r="CM97" s="151" t="s">
        <v>1148</v>
      </c>
      <c r="CN97" s="157" t="s">
        <v>1150</v>
      </c>
      <c r="CO97" s="157"/>
      <c r="CP97" s="157"/>
      <c r="CQ97" s="157"/>
      <c r="CR97" s="157"/>
      <c r="CS97" s="157"/>
      <c r="CT97" s="157"/>
    </row>
    <row r="98" spans="1:98" ht="12.75" customHeight="1">
      <c r="A98" s="317"/>
      <c r="B98" s="201">
        <v>2.2000000000000002</v>
      </c>
      <c r="C98" s="102"/>
      <c r="D98" s="480" t="s">
        <v>578</v>
      </c>
      <c r="E98" s="481"/>
      <c r="F98" s="224"/>
      <c r="G98" s="379"/>
      <c r="H98" s="228"/>
      <c r="I98" s="379"/>
      <c r="J98" s="228"/>
      <c r="K98" s="379"/>
      <c r="L98" s="228"/>
      <c r="M98" s="379"/>
      <c r="N98" s="228"/>
      <c r="O98" s="379"/>
      <c r="P98" s="228"/>
      <c r="Q98" s="379"/>
      <c r="R98" s="228"/>
      <c r="S98" s="379"/>
      <c r="T98" s="228"/>
      <c r="U98" s="379"/>
      <c r="V98" s="228"/>
      <c r="W98" s="379"/>
      <c r="X98" s="228"/>
      <c r="Y98" s="379"/>
      <c r="Z98" s="228"/>
      <c r="AA98" s="379"/>
      <c r="AB98" s="228"/>
      <c r="AC98" s="379"/>
      <c r="AD98" s="228"/>
      <c r="AE98" s="379"/>
      <c r="AF98" s="167">
        <v>0</v>
      </c>
      <c r="AG98" s="379"/>
      <c r="AH98" s="167">
        <v>0</v>
      </c>
      <c r="AI98" s="379"/>
      <c r="AJ98" s="167">
        <v>0</v>
      </c>
      <c r="AK98" s="379"/>
      <c r="AL98" s="167">
        <v>0</v>
      </c>
      <c r="AM98" s="379"/>
      <c r="AN98" s="167">
        <v>0</v>
      </c>
      <c r="AO98" s="379"/>
      <c r="AP98" s="167">
        <v>0</v>
      </c>
      <c r="AQ98" s="379"/>
      <c r="AR98" s="167">
        <v>0</v>
      </c>
      <c r="AS98" s="379"/>
      <c r="AT98" s="167">
        <v>0</v>
      </c>
      <c r="AU98" s="379"/>
      <c r="AV98" s="165">
        <v>0</v>
      </c>
      <c r="AW98" s="379"/>
      <c r="AX98" s="165">
        <v>0</v>
      </c>
      <c r="AY98" s="379"/>
      <c r="AZ98" s="165">
        <v>0</v>
      </c>
      <c r="BA98" s="379"/>
      <c r="BB98" s="165">
        <v>0</v>
      </c>
      <c r="BC98" s="379"/>
      <c r="BD98" s="165">
        <v>0</v>
      </c>
      <c r="BE98" s="379"/>
      <c r="BF98" s="165">
        <v>0</v>
      </c>
      <c r="BG98" s="379"/>
      <c r="BH98" s="225"/>
      <c r="BI98" s="184"/>
      <c r="CJ98" s="157"/>
      <c r="CK98" s="150"/>
      <c r="CL98" s="157"/>
      <c r="CM98" s="151" t="s">
        <v>1148</v>
      </c>
      <c r="CN98" s="157" t="s">
        <v>1151</v>
      </c>
      <c r="CO98" s="157"/>
      <c r="CP98" s="157"/>
      <c r="CQ98" s="157"/>
      <c r="CR98" s="157"/>
      <c r="CS98" s="157"/>
      <c r="CT98" s="157"/>
    </row>
    <row r="99" spans="1:98" ht="12.75" customHeight="1">
      <c r="A99" s="317"/>
      <c r="B99" s="201">
        <v>2.2999999999999998</v>
      </c>
      <c r="C99" s="102"/>
      <c r="D99" s="480" t="s">
        <v>579</v>
      </c>
      <c r="E99" s="481"/>
      <c r="F99" s="224"/>
      <c r="G99" s="379"/>
      <c r="H99" s="228"/>
      <c r="I99" s="379"/>
      <c r="J99" s="228"/>
      <c r="K99" s="379"/>
      <c r="L99" s="228"/>
      <c r="M99" s="379"/>
      <c r="N99" s="228"/>
      <c r="O99" s="379"/>
      <c r="P99" s="228"/>
      <c r="Q99" s="379"/>
      <c r="R99" s="228"/>
      <c r="S99" s="379"/>
      <c r="T99" s="228"/>
      <c r="U99" s="379"/>
      <c r="V99" s="228"/>
      <c r="W99" s="379"/>
      <c r="X99" s="228"/>
      <c r="Y99" s="379"/>
      <c r="Z99" s="228"/>
      <c r="AA99" s="379"/>
      <c r="AB99" s="228"/>
      <c r="AC99" s="379"/>
      <c r="AD99" s="228"/>
      <c r="AE99" s="379"/>
      <c r="AF99" s="167">
        <v>222.47580400000001</v>
      </c>
      <c r="AG99" s="379"/>
      <c r="AH99" s="167">
        <v>186.5852241</v>
      </c>
      <c r="AI99" s="379"/>
      <c r="AJ99" s="167">
        <v>202.97372350000001</v>
      </c>
      <c r="AK99" s="379"/>
      <c r="AL99" s="250">
        <v>333.54072860000002</v>
      </c>
      <c r="AM99" s="379" t="s">
        <v>440</v>
      </c>
      <c r="AN99" s="167">
        <v>328.49268260000002</v>
      </c>
      <c r="AO99" s="379"/>
      <c r="AP99" s="167">
        <v>315.99640649999998</v>
      </c>
      <c r="AQ99" s="379"/>
      <c r="AR99" s="167">
        <v>286.60557399999999</v>
      </c>
      <c r="AS99" s="379"/>
      <c r="AT99" s="250">
        <v>441.40001699999999</v>
      </c>
      <c r="AU99" s="379" t="s">
        <v>460</v>
      </c>
      <c r="AV99" s="165">
        <v>258.19145350000002</v>
      </c>
      <c r="AW99" s="379"/>
      <c r="AX99" s="165">
        <v>317.94284629999999</v>
      </c>
      <c r="AY99" s="379"/>
      <c r="AZ99" s="165">
        <v>384.1531966</v>
      </c>
      <c r="BA99" s="379"/>
      <c r="BB99" s="165">
        <v>401.84210300000001</v>
      </c>
      <c r="BC99" s="379"/>
      <c r="BD99" s="165">
        <v>373.68071570000001</v>
      </c>
      <c r="BE99" s="379"/>
      <c r="BF99" s="165">
        <v>373.669465</v>
      </c>
      <c r="BG99" s="379"/>
      <c r="BH99" s="225"/>
      <c r="BI99" s="184"/>
      <c r="CJ99" s="157"/>
      <c r="CK99" s="150"/>
      <c r="CL99" s="157"/>
      <c r="CM99" s="151" t="s">
        <v>1148</v>
      </c>
      <c r="CN99" s="157" t="s">
        <v>1152</v>
      </c>
      <c r="CO99" s="157"/>
      <c r="CP99" s="157"/>
      <c r="CQ99" s="157"/>
      <c r="CR99" s="157"/>
      <c r="CS99" s="157"/>
      <c r="CT99" s="157"/>
    </row>
    <row r="100" spans="1:98" ht="12.75" customHeight="1">
      <c r="A100" s="317"/>
      <c r="B100" s="201">
        <v>2.4</v>
      </c>
      <c r="C100" s="102"/>
      <c r="D100" s="480" t="s">
        <v>580</v>
      </c>
      <c r="E100" s="481"/>
      <c r="F100" s="224"/>
      <c r="G100" s="379"/>
      <c r="H100" s="228"/>
      <c r="I100" s="379"/>
      <c r="J100" s="228"/>
      <c r="K100" s="379"/>
      <c r="L100" s="228"/>
      <c r="M100" s="379"/>
      <c r="N100" s="228"/>
      <c r="O100" s="379"/>
      <c r="P100" s="228"/>
      <c r="Q100" s="379"/>
      <c r="R100" s="228"/>
      <c r="S100" s="379"/>
      <c r="T100" s="228"/>
      <c r="U100" s="379"/>
      <c r="V100" s="228"/>
      <c r="W100" s="379"/>
      <c r="X100" s="228"/>
      <c r="Y100" s="379"/>
      <c r="Z100" s="228"/>
      <c r="AA100" s="379"/>
      <c r="AB100" s="228"/>
      <c r="AC100" s="379"/>
      <c r="AD100" s="228"/>
      <c r="AE100" s="379"/>
      <c r="AF100" s="167">
        <v>21.170500000000001</v>
      </c>
      <c r="AG100" s="379"/>
      <c r="AH100" s="167">
        <v>24.7214025</v>
      </c>
      <c r="AI100" s="379"/>
      <c r="AJ100" s="167">
        <v>28.724568600000001</v>
      </c>
      <c r="AK100" s="379"/>
      <c r="AL100" s="167">
        <v>35.673378399999997</v>
      </c>
      <c r="AM100" s="379"/>
      <c r="AN100" s="167">
        <v>43.192602800000003</v>
      </c>
      <c r="AO100" s="379"/>
      <c r="AP100" s="167">
        <v>54.940113099999998</v>
      </c>
      <c r="AQ100" s="379"/>
      <c r="AR100" s="167">
        <v>60.358219300000002</v>
      </c>
      <c r="AS100" s="379"/>
      <c r="AT100" s="167">
        <v>68.742369299999993</v>
      </c>
      <c r="AU100" s="379"/>
      <c r="AV100" s="165">
        <v>51.884400900000003</v>
      </c>
      <c r="AW100" s="379"/>
      <c r="AX100" s="165">
        <v>56.729602999999997</v>
      </c>
      <c r="AY100" s="379"/>
      <c r="AZ100" s="165">
        <v>63.641189099999998</v>
      </c>
      <c r="BA100" s="379"/>
      <c r="BB100" s="165">
        <v>87.001788099999999</v>
      </c>
      <c r="BC100" s="379"/>
      <c r="BD100" s="165">
        <v>14.3698678</v>
      </c>
      <c r="BE100" s="379"/>
      <c r="BF100" s="165">
        <v>8.9310066999999993</v>
      </c>
      <c r="BG100" s="379"/>
      <c r="BH100" s="225"/>
      <c r="BI100" s="184"/>
      <c r="CJ100" s="157"/>
      <c r="CK100" s="150"/>
      <c r="CL100" s="157"/>
      <c r="CM100" s="151" t="s">
        <v>1148</v>
      </c>
      <c r="CN100" s="157" t="s">
        <v>1153</v>
      </c>
      <c r="CO100" s="157"/>
      <c r="CP100" s="157"/>
      <c r="CQ100" s="157"/>
      <c r="CR100" s="157"/>
      <c r="CS100" s="157"/>
      <c r="CT100" s="157"/>
    </row>
    <row r="101" spans="1:98" ht="19.5" customHeight="1">
      <c r="A101" s="317"/>
      <c r="B101" s="200">
        <v>3</v>
      </c>
      <c r="C101" s="101"/>
      <c r="D101" s="482" t="s">
        <v>581</v>
      </c>
      <c r="E101" s="483"/>
      <c r="F101" s="235"/>
      <c r="G101" s="379"/>
      <c r="H101" s="236"/>
      <c r="I101" s="379"/>
      <c r="J101" s="236"/>
      <c r="K101" s="379"/>
      <c r="L101" s="236"/>
      <c r="M101" s="379"/>
      <c r="N101" s="236"/>
      <c r="O101" s="379"/>
      <c r="P101" s="236"/>
      <c r="Q101" s="379"/>
      <c r="R101" s="236"/>
      <c r="S101" s="379"/>
      <c r="T101" s="236"/>
      <c r="U101" s="379"/>
      <c r="V101" s="236"/>
      <c r="W101" s="379"/>
      <c r="X101" s="236"/>
      <c r="Y101" s="379"/>
      <c r="Z101" s="236"/>
      <c r="AA101" s="379"/>
      <c r="AB101" s="236"/>
      <c r="AC101" s="379"/>
      <c r="AD101" s="236"/>
      <c r="AE101" s="379"/>
      <c r="AF101" s="172">
        <v>0</v>
      </c>
      <c r="AG101" s="379"/>
      <c r="AH101" s="172">
        <v>0</v>
      </c>
      <c r="AI101" s="379"/>
      <c r="AJ101" s="172">
        <v>1.3213368000000001</v>
      </c>
      <c r="AK101" s="379"/>
      <c r="AL101" s="172">
        <v>1.4531048</v>
      </c>
      <c r="AM101" s="379"/>
      <c r="AN101" s="172">
        <v>1.6652863</v>
      </c>
      <c r="AO101" s="379"/>
      <c r="AP101" s="172">
        <v>0.98678169999999998</v>
      </c>
      <c r="AQ101" s="379"/>
      <c r="AR101" s="172">
        <v>1.1281384000000001</v>
      </c>
      <c r="AS101" s="379"/>
      <c r="AT101" s="172">
        <v>1.0393207</v>
      </c>
      <c r="AU101" s="379"/>
      <c r="AV101" s="173">
        <v>0.98903839999999998</v>
      </c>
      <c r="AW101" s="379"/>
      <c r="AX101" s="173">
        <v>0.91995539999999998</v>
      </c>
      <c r="AY101" s="379"/>
      <c r="AZ101" s="173">
        <v>0.58012200000000003</v>
      </c>
      <c r="BA101" s="379"/>
      <c r="BB101" s="173">
        <v>0.53175930000000005</v>
      </c>
      <c r="BC101" s="379"/>
      <c r="BD101" s="173">
        <v>0.70432269999999997</v>
      </c>
      <c r="BE101" s="379"/>
      <c r="BF101" s="173">
        <v>0.84372440000000004</v>
      </c>
      <c r="BG101" s="379"/>
      <c r="BH101" s="237"/>
      <c r="BI101" s="184"/>
      <c r="CJ101" s="157"/>
      <c r="CK101" s="150"/>
      <c r="CL101" s="157"/>
      <c r="CM101" s="151" t="s">
        <v>1148</v>
      </c>
      <c r="CN101" s="157" t="s">
        <v>1154</v>
      </c>
      <c r="CO101" s="157"/>
      <c r="CP101" s="157"/>
      <c r="CQ101" s="157"/>
      <c r="CR101" s="157"/>
      <c r="CS101" s="157"/>
      <c r="CT101" s="157"/>
    </row>
    <row r="102" spans="1:98" ht="12.75" customHeight="1">
      <c r="A102" s="317"/>
      <c r="B102" s="201">
        <v>3.1</v>
      </c>
      <c r="C102" s="102"/>
      <c r="D102" s="480" t="s">
        <v>582</v>
      </c>
      <c r="E102" s="481"/>
      <c r="F102" s="224"/>
      <c r="G102" s="379"/>
      <c r="H102" s="228"/>
      <c r="I102" s="379"/>
      <c r="J102" s="228"/>
      <c r="K102" s="379"/>
      <c r="L102" s="228"/>
      <c r="M102" s="379"/>
      <c r="N102" s="228"/>
      <c r="O102" s="379"/>
      <c r="P102" s="228"/>
      <c r="Q102" s="379"/>
      <c r="R102" s="228"/>
      <c r="S102" s="379"/>
      <c r="T102" s="228"/>
      <c r="U102" s="379"/>
      <c r="V102" s="228"/>
      <c r="W102" s="379"/>
      <c r="X102" s="228"/>
      <c r="Y102" s="379"/>
      <c r="Z102" s="228"/>
      <c r="AA102" s="379"/>
      <c r="AB102" s="228"/>
      <c r="AC102" s="379"/>
      <c r="AD102" s="228"/>
      <c r="AE102" s="379"/>
      <c r="AF102" s="167">
        <v>0</v>
      </c>
      <c r="AG102" s="379"/>
      <c r="AH102" s="167">
        <v>0</v>
      </c>
      <c r="AI102" s="379"/>
      <c r="AJ102" s="167">
        <v>0</v>
      </c>
      <c r="AK102" s="379"/>
      <c r="AL102" s="167">
        <v>0</v>
      </c>
      <c r="AM102" s="379"/>
      <c r="AN102" s="167">
        <v>0</v>
      </c>
      <c r="AO102" s="379"/>
      <c r="AP102" s="167">
        <v>0</v>
      </c>
      <c r="AQ102" s="379"/>
      <c r="AR102" s="167">
        <v>0</v>
      </c>
      <c r="AS102" s="379"/>
      <c r="AT102" s="167">
        <v>0</v>
      </c>
      <c r="AU102" s="379"/>
      <c r="AV102" s="165">
        <v>0</v>
      </c>
      <c r="AW102" s="379"/>
      <c r="AX102" s="165">
        <v>0</v>
      </c>
      <c r="AY102" s="379"/>
      <c r="AZ102" s="165">
        <v>0</v>
      </c>
      <c r="BA102" s="379"/>
      <c r="BB102" s="165">
        <v>0</v>
      </c>
      <c r="BC102" s="379"/>
      <c r="BD102" s="165">
        <v>0</v>
      </c>
      <c r="BE102" s="379"/>
      <c r="BF102" s="165">
        <v>0</v>
      </c>
      <c r="BG102" s="379"/>
      <c r="BH102" s="225"/>
      <c r="BI102" s="184"/>
      <c r="CJ102" s="157"/>
      <c r="CK102" s="150"/>
      <c r="CL102" s="157"/>
      <c r="CM102" s="151" t="s">
        <v>1148</v>
      </c>
      <c r="CN102" s="157" t="s">
        <v>1155</v>
      </c>
      <c r="CO102" s="157"/>
      <c r="CP102" s="157"/>
      <c r="CQ102" s="157"/>
      <c r="CR102" s="157"/>
      <c r="CS102" s="157"/>
      <c r="CT102" s="157"/>
    </row>
    <row r="103" spans="1:98" ht="12.75" customHeight="1">
      <c r="A103" s="317"/>
      <c r="B103" s="201">
        <v>3.2</v>
      </c>
      <c r="C103" s="102"/>
      <c r="D103" s="480" t="s">
        <v>583</v>
      </c>
      <c r="E103" s="481"/>
      <c r="F103" s="224"/>
      <c r="G103" s="379"/>
      <c r="H103" s="228"/>
      <c r="I103" s="379"/>
      <c r="J103" s="228"/>
      <c r="K103" s="379"/>
      <c r="L103" s="228"/>
      <c r="M103" s="379"/>
      <c r="N103" s="228"/>
      <c r="O103" s="379"/>
      <c r="P103" s="228"/>
      <c r="Q103" s="379"/>
      <c r="R103" s="228"/>
      <c r="S103" s="379"/>
      <c r="T103" s="228"/>
      <c r="U103" s="379"/>
      <c r="V103" s="228"/>
      <c r="W103" s="379"/>
      <c r="X103" s="228"/>
      <c r="Y103" s="379"/>
      <c r="Z103" s="228"/>
      <c r="AA103" s="379"/>
      <c r="AB103" s="228"/>
      <c r="AC103" s="379"/>
      <c r="AD103" s="228"/>
      <c r="AE103" s="379"/>
      <c r="AF103" s="167">
        <v>0</v>
      </c>
      <c r="AG103" s="379"/>
      <c r="AH103" s="167">
        <v>0</v>
      </c>
      <c r="AI103" s="379"/>
      <c r="AJ103" s="167">
        <v>0.1827841</v>
      </c>
      <c r="AK103" s="379"/>
      <c r="AL103" s="167">
        <v>0.37549510000000003</v>
      </c>
      <c r="AM103" s="379"/>
      <c r="AN103" s="167">
        <v>0.53847630000000002</v>
      </c>
      <c r="AO103" s="379"/>
      <c r="AP103" s="167">
        <v>3.4390400000000002E-2</v>
      </c>
      <c r="AQ103" s="379"/>
      <c r="AR103" s="167">
        <v>0.135301</v>
      </c>
      <c r="AS103" s="379"/>
      <c r="AT103" s="167">
        <v>0.13477140000000001</v>
      </c>
      <c r="AU103" s="379"/>
      <c r="AV103" s="165">
        <v>0.2198416</v>
      </c>
      <c r="AW103" s="379"/>
      <c r="AX103" s="165">
        <v>0.30518050000000002</v>
      </c>
      <c r="AY103" s="379"/>
      <c r="AZ103" s="165">
        <v>0</v>
      </c>
      <c r="BA103" s="379"/>
      <c r="BB103" s="165">
        <v>0</v>
      </c>
      <c r="BC103" s="379"/>
      <c r="BD103" s="165">
        <v>0</v>
      </c>
      <c r="BE103" s="379"/>
      <c r="BF103" s="165">
        <v>4.2567000000000004E-3</v>
      </c>
      <c r="BG103" s="379"/>
      <c r="BH103" s="225"/>
      <c r="BI103" s="184"/>
      <c r="CJ103" s="157"/>
      <c r="CK103" s="150"/>
      <c r="CL103" s="157"/>
      <c r="CM103" s="151" t="s">
        <v>1148</v>
      </c>
      <c r="CN103" s="157" t="s">
        <v>1156</v>
      </c>
      <c r="CO103" s="157"/>
      <c r="CP103" s="157"/>
      <c r="CQ103" s="157"/>
      <c r="CR103" s="157"/>
      <c r="CS103" s="157"/>
      <c r="CT103" s="157"/>
    </row>
    <row r="104" spans="1:98" ht="12.75" customHeight="1">
      <c r="A104" s="317"/>
      <c r="B104" s="201">
        <v>3.3</v>
      </c>
      <c r="C104" s="102"/>
      <c r="D104" s="480" t="s">
        <v>584</v>
      </c>
      <c r="E104" s="481"/>
      <c r="F104" s="224"/>
      <c r="G104" s="379"/>
      <c r="H104" s="228"/>
      <c r="I104" s="379"/>
      <c r="J104" s="228"/>
      <c r="K104" s="379"/>
      <c r="L104" s="228"/>
      <c r="M104" s="379"/>
      <c r="N104" s="228"/>
      <c r="O104" s="379"/>
      <c r="P104" s="228"/>
      <c r="Q104" s="379"/>
      <c r="R104" s="228"/>
      <c r="S104" s="379"/>
      <c r="T104" s="228"/>
      <c r="U104" s="379"/>
      <c r="V104" s="228"/>
      <c r="W104" s="379"/>
      <c r="X104" s="228"/>
      <c r="Y104" s="379"/>
      <c r="Z104" s="228"/>
      <c r="AA104" s="379"/>
      <c r="AB104" s="228"/>
      <c r="AC104" s="379"/>
      <c r="AD104" s="228"/>
      <c r="AE104" s="379"/>
      <c r="AF104" s="167">
        <v>0</v>
      </c>
      <c r="AG104" s="379"/>
      <c r="AH104" s="167">
        <v>0</v>
      </c>
      <c r="AI104" s="379"/>
      <c r="AJ104" s="250">
        <v>1.1385528</v>
      </c>
      <c r="AK104" s="379" t="s">
        <v>474</v>
      </c>
      <c r="AL104" s="167">
        <v>1.0776095999999999</v>
      </c>
      <c r="AM104" s="379"/>
      <c r="AN104" s="167">
        <v>1.1268099</v>
      </c>
      <c r="AO104" s="379"/>
      <c r="AP104" s="167">
        <v>0.9523914</v>
      </c>
      <c r="AQ104" s="379"/>
      <c r="AR104" s="167">
        <v>0.99283739999999998</v>
      </c>
      <c r="AS104" s="379"/>
      <c r="AT104" s="167">
        <v>0.9045493</v>
      </c>
      <c r="AU104" s="379"/>
      <c r="AV104" s="165">
        <v>0.76919680000000001</v>
      </c>
      <c r="AW104" s="379"/>
      <c r="AX104" s="165">
        <v>0.61477490000000001</v>
      </c>
      <c r="AY104" s="379"/>
      <c r="AZ104" s="165">
        <v>0.58012200000000003</v>
      </c>
      <c r="BA104" s="379"/>
      <c r="BB104" s="165">
        <v>0.53175930000000005</v>
      </c>
      <c r="BC104" s="379"/>
      <c r="BD104" s="165">
        <v>0.70432269999999997</v>
      </c>
      <c r="BE104" s="379"/>
      <c r="BF104" s="165">
        <v>0.83946770000000004</v>
      </c>
      <c r="BG104" s="379"/>
      <c r="BH104" s="225"/>
      <c r="BI104" s="184"/>
      <c r="CJ104" s="157"/>
      <c r="CK104" s="150"/>
      <c r="CL104" s="157"/>
      <c r="CM104" s="151" t="s">
        <v>1148</v>
      </c>
      <c r="CN104" s="157" t="s">
        <v>1157</v>
      </c>
      <c r="CO104" s="157"/>
      <c r="CP104" s="157"/>
      <c r="CQ104" s="157"/>
      <c r="CR104" s="157"/>
      <c r="CS104" s="157"/>
      <c r="CT104" s="157"/>
    </row>
    <row r="105" spans="1:98" ht="17.25" customHeight="1">
      <c r="A105" s="317"/>
      <c r="B105" s="200">
        <v>4</v>
      </c>
      <c r="C105" s="101"/>
      <c r="D105" s="482" t="s">
        <v>585</v>
      </c>
      <c r="E105" s="483"/>
      <c r="F105" s="235"/>
      <c r="G105" s="379"/>
      <c r="H105" s="236"/>
      <c r="I105" s="379"/>
      <c r="J105" s="236"/>
      <c r="K105" s="379"/>
      <c r="L105" s="236"/>
      <c r="M105" s="379"/>
      <c r="N105" s="236"/>
      <c r="O105" s="379"/>
      <c r="P105" s="236"/>
      <c r="Q105" s="379"/>
      <c r="R105" s="236"/>
      <c r="S105" s="379"/>
      <c r="T105" s="236"/>
      <c r="U105" s="379"/>
      <c r="V105" s="236"/>
      <c r="W105" s="379"/>
      <c r="X105" s="236"/>
      <c r="Y105" s="379"/>
      <c r="Z105" s="236"/>
      <c r="AA105" s="379"/>
      <c r="AB105" s="236"/>
      <c r="AC105" s="379"/>
      <c r="AD105" s="236"/>
      <c r="AE105" s="379"/>
      <c r="AF105" s="172">
        <v>-18.164112071719387</v>
      </c>
      <c r="AG105" s="379"/>
      <c r="AH105" s="172">
        <v>-16.826300599358177</v>
      </c>
      <c r="AI105" s="379"/>
      <c r="AJ105" s="172">
        <v>-22.169784709690578</v>
      </c>
      <c r="AK105" s="379"/>
      <c r="AL105" s="172">
        <v>-24.124102177790398</v>
      </c>
      <c r="AM105" s="379"/>
      <c r="AN105" s="172">
        <v>-26.139070184880389</v>
      </c>
      <c r="AO105" s="379"/>
      <c r="AP105" s="172">
        <v>-27.371419819920852</v>
      </c>
      <c r="AQ105" s="379"/>
      <c r="AR105" s="172">
        <v>-28.000409950600432</v>
      </c>
      <c r="AS105" s="379"/>
      <c r="AT105" s="172">
        <v>-28.20043180601014</v>
      </c>
      <c r="AU105" s="379"/>
      <c r="AV105" s="173">
        <v>-26.97176762137039</v>
      </c>
      <c r="AW105" s="379"/>
      <c r="AX105" s="173">
        <v>-28.854221396690555</v>
      </c>
      <c r="AY105" s="379"/>
      <c r="AZ105" s="173">
        <v>-28.524747351919967</v>
      </c>
      <c r="BA105" s="379"/>
      <c r="BB105" s="173">
        <v>-27.393227076330927</v>
      </c>
      <c r="BC105" s="379"/>
      <c r="BD105" s="173">
        <v>-7.9680627768402355</v>
      </c>
      <c r="BE105" s="379"/>
      <c r="BF105" s="173">
        <v>-7.2608255766507606</v>
      </c>
      <c r="BG105" s="379"/>
      <c r="BH105" s="237"/>
      <c r="BI105" s="184"/>
      <c r="CJ105" s="157"/>
      <c r="CK105" s="150"/>
      <c r="CL105" s="157"/>
      <c r="CM105" s="151" t="s">
        <v>1148</v>
      </c>
      <c r="CN105" s="157" t="s">
        <v>1158</v>
      </c>
      <c r="CO105" s="157"/>
      <c r="CP105" s="157"/>
      <c r="CQ105" s="157"/>
      <c r="CR105" s="157"/>
      <c r="CS105" s="157"/>
      <c r="CT105" s="157"/>
    </row>
    <row r="106" spans="1:98" ht="32.25" customHeight="1">
      <c r="A106" s="317"/>
      <c r="B106" s="200">
        <v>5</v>
      </c>
      <c r="C106" s="101"/>
      <c r="D106" s="484" t="s">
        <v>1174</v>
      </c>
      <c r="E106" s="485"/>
      <c r="F106" s="222"/>
      <c r="G106" s="379"/>
      <c r="H106" s="231"/>
      <c r="I106" s="379"/>
      <c r="J106" s="231"/>
      <c r="K106" s="379"/>
      <c r="L106" s="231"/>
      <c r="M106" s="379"/>
      <c r="N106" s="231"/>
      <c r="O106" s="379"/>
      <c r="P106" s="231"/>
      <c r="Q106" s="379"/>
      <c r="R106" s="231"/>
      <c r="S106" s="379"/>
      <c r="T106" s="231"/>
      <c r="U106" s="379"/>
      <c r="V106" s="231"/>
      <c r="W106" s="379"/>
      <c r="X106" s="231"/>
      <c r="Y106" s="379"/>
      <c r="Z106" s="231"/>
      <c r="AA106" s="379"/>
      <c r="AB106" s="231"/>
      <c r="AC106" s="379"/>
      <c r="AD106" s="231"/>
      <c r="AE106" s="379"/>
      <c r="AF106" s="169">
        <v>10380.78403762828</v>
      </c>
      <c r="AG106" s="379"/>
      <c r="AH106" s="169">
        <v>8541.9926262006411</v>
      </c>
      <c r="AI106" s="379"/>
      <c r="AJ106" s="169">
        <v>8238.1523877903091</v>
      </c>
      <c r="AK106" s="379"/>
      <c r="AL106" s="169">
        <v>8206.7993607222088</v>
      </c>
      <c r="AM106" s="379"/>
      <c r="AN106" s="169">
        <v>8234.5252775151203</v>
      </c>
      <c r="AO106" s="379"/>
      <c r="AP106" s="169">
        <v>8166.2060034800788</v>
      </c>
      <c r="AQ106" s="379"/>
      <c r="AR106" s="169">
        <v>8204.7267473493994</v>
      </c>
      <c r="AS106" s="379"/>
      <c r="AT106" s="169">
        <v>8335.1189166939894</v>
      </c>
      <c r="AU106" s="379"/>
      <c r="AV106" s="164">
        <v>8122.2599659786301</v>
      </c>
      <c r="AW106" s="379"/>
      <c r="AX106" s="164">
        <v>7963.3514356033102</v>
      </c>
      <c r="AY106" s="379"/>
      <c r="AZ106" s="164">
        <v>7887.4915537480802</v>
      </c>
      <c r="BA106" s="379"/>
      <c r="BB106" s="164">
        <v>7966.02949152367</v>
      </c>
      <c r="BC106" s="379"/>
      <c r="BD106" s="164">
        <v>7791.6829104231601</v>
      </c>
      <c r="BE106" s="379"/>
      <c r="BF106" s="164">
        <v>7806.6635454233501</v>
      </c>
      <c r="BG106" s="379"/>
      <c r="BH106" s="223"/>
      <c r="BI106" s="184"/>
      <c r="CJ106" s="157"/>
      <c r="CK106" s="150"/>
      <c r="CL106" s="157"/>
      <c r="CM106" s="151" t="s">
        <v>1148</v>
      </c>
      <c r="CN106" s="157" t="s">
        <v>1160</v>
      </c>
      <c r="CO106" s="157"/>
      <c r="CP106" s="157"/>
      <c r="CQ106" s="157"/>
      <c r="CR106" s="157"/>
      <c r="CS106" s="157"/>
      <c r="CT106" s="157"/>
    </row>
    <row r="107" spans="1:98" ht="13.5" thickBot="1">
      <c r="B107" s="64"/>
      <c r="C107" s="65"/>
      <c r="D107" s="486" t="s">
        <v>587</v>
      </c>
      <c r="E107" s="487"/>
      <c r="F107" s="241"/>
      <c r="G107" s="194"/>
      <c r="H107" s="242"/>
      <c r="I107" s="194"/>
      <c r="J107" s="242"/>
      <c r="K107" s="194"/>
      <c r="L107" s="242"/>
      <c r="M107" s="194"/>
      <c r="N107" s="242"/>
      <c r="O107" s="194"/>
      <c r="P107" s="242"/>
      <c r="Q107" s="194"/>
      <c r="R107" s="242"/>
      <c r="S107" s="194"/>
      <c r="T107" s="242"/>
      <c r="U107" s="194"/>
      <c r="V107" s="242"/>
      <c r="W107" s="194"/>
      <c r="X107" s="242"/>
      <c r="Y107" s="194"/>
      <c r="Z107" s="242"/>
      <c r="AA107" s="194"/>
      <c r="AB107" s="242"/>
      <c r="AC107" s="194"/>
      <c r="AD107" s="242"/>
      <c r="AE107" s="194"/>
      <c r="AF107" s="104">
        <v>2023</v>
      </c>
      <c r="AG107" s="194"/>
      <c r="AH107" s="104">
        <v>2023</v>
      </c>
      <c r="AI107" s="194"/>
      <c r="AJ107" s="104">
        <v>2023</v>
      </c>
      <c r="AK107" s="194"/>
      <c r="AL107" s="104">
        <v>2023</v>
      </c>
      <c r="AM107" s="194"/>
      <c r="AN107" s="104">
        <v>2023</v>
      </c>
      <c r="AO107" s="194"/>
      <c r="AP107" s="104">
        <v>2023</v>
      </c>
      <c r="AQ107" s="194"/>
      <c r="AR107" s="104">
        <v>2023</v>
      </c>
      <c r="AS107" s="194"/>
      <c r="AT107" s="104">
        <v>2023</v>
      </c>
      <c r="AU107" s="194"/>
      <c r="AV107" s="104">
        <v>2023</v>
      </c>
      <c r="AW107" s="194"/>
      <c r="AX107" s="105">
        <v>2023</v>
      </c>
      <c r="AY107" s="194"/>
      <c r="AZ107" s="105">
        <v>2023</v>
      </c>
      <c r="BA107" s="194"/>
      <c r="BB107" s="105">
        <v>2023</v>
      </c>
      <c r="BC107" s="194"/>
      <c r="BD107" s="105">
        <v>2023</v>
      </c>
      <c r="BE107" s="194"/>
      <c r="BF107" s="105">
        <v>2023</v>
      </c>
      <c r="BG107" s="194"/>
      <c r="BH107" s="243"/>
      <c r="BI107" s="195"/>
      <c r="CJ107" s="160"/>
      <c r="CK107" s="155"/>
      <c r="CL107" s="160"/>
      <c r="CM107" s="161"/>
      <c r="CN107" s="160"/>
      <c r="CO107" s="160"/>
      <c r="CP107" s="160"/>
      <c r="CQ107" s="160"/>
      <c r="CR107" s="160"/>
      <c r="CS107" s="160"/>
      <c r="CT107" s="160"/>
    </row>
    <row r="108" spans="1:98">
      <c r="CJ108" s="160"/>
      <c r="CK108" s="155"/>
      <c r="CL108" s="160"/>
      <c r="CM108" s="161"/>
      <c r="CN108" s="160"/>
      <c r="CO108" s="160"/>
      <c r="CP108" s="160"/>
      <c r="CQ108" s="160"/>
      <c r="CR108" s="160"/>
      <c r="CS108" s="160"/>
      <c r="CT108" s="160"/>
    </row>
    <row r="109" spans="1:98">
      <c r="B109" s="202" t="s">
        <v>1161</v>
      </c>
      <c r="CJ109" s="160"/>
      <c r="CK109" s="155"/>
      <c r="CL109" s="160"/>
      <c r="CM109" s="161"/>
      <c r="CN109" s="160"/>
      <c r="CO109" s="160"/>
      <c r="CP109" s="160"/>
      <c r="CQ109" s="160"/>
      <c r="CR109" s="160"/>
      <c r="CS109" s="160"/>
      <c r="CT109" s="160"/>
    </row>
    <row r="110" spans="1:98">
      <c r="B110" s="203">
        <v>1</v>
      </c>
      <c r="C110" t="s">
        <v>1162</v>
      </c>
      <c r="CJ110" s="160"/>
      <c r="CK110" s="155"/>
      <c r="CL110" s="160"/>
      <c r="CM110" s="161"/>
      <c r="CN110" s="160"/>
      <c r="CO110" s="160"/>
      <c r="CP110" s="160"/>
      <c r="CQ110" s="160"/>
      <c r="CR110" s="160"/>
      <c r="CS110" s="160"/>
      <c r="CT110" s="160"/>
    </row>
    <row r="111" spans="1:98">
      <c r="B111" s="203"/>
      <c r="CJ111" s="160"/>
      <c r="CK111" s="155"/>
      <c r="CL111" s="160"/>
      <c r="CM111" s="161"/>
      <c r="CN111" s="160"/>
      <c r="CO111" s="160"/>
      <c r="CP111" s="160"/>
      <c r="CQ111" s="160"/>
      <c r="CR111" s="160"/>
      <c r="CS111" s="160"/>
      <c r="CT111" s="160"/>
    </row>
    <row r="112" spans="1:98">
      <c r="B112">
        <v>2.1</v>
      </c>
      <c r="C112" s="36" t="s">
        <v>1163</v>
      </c>
      <c r="CJ112" s="160"/>
      <c r="CK112" s="155"/>
      <c r="CL112" s="160"/>
      <c r="CM112" s="161"/>
      <c r="CN112" s="160"/>
      <c r="CO112" s="160"/>
      <c r="CP112" s="160"/>
      <c r="CQ112" s="160"/>
      <c r="CR112" s="160"/>
      <c r="CS112" s="160"/>
      <c r="CT112" s="160"/>
    </row>
    <row r="113" spans="2:98">
      <c r="B113">
        <v>2.2000000000000002</v>
      </c>
      <c r="C113" s="36" t="s">
        <v>1164</v>
      </c>
      <c r="CJ113" s="160"/>
      <c r="CK113" s="155"/>
      <c r="CL113" s="160"/>
      <c r="CM113" s="161"/>
      <c r="CN113" s="160"/>
      <c r="CO113" s="160"/>
      <c r="CP113" s="160"/>
      <c r="CQ113" s="160"/>
      <c r="CR113" s="160"/>
      <c r="CS113" s="160"/>
      <c r="CT113" s="160"/>
    </row>
    <row r="114" spans="2:98">
      <c r="B114">
        <v>2.2999999999999998</v>
      </c>
      <c r="C114" s="36" t="s">
        <v>1165</v>
      </c>
      <c r="CJ114" s="160"/>
      <c r="CK114" s="155"/>
      <c r="CL114" s="160"/>
      <c r="CM114" s="161"/>
      <c r="CN114" s="160"/>
      <c r="CO114" s="160"/>
      <c r="CP114" s="160"/>
      <c r="CQ114" s="160"/>
      <c r="CR114" s="160"/>
      <c r="CS114" s="160"/>
      <c r="CT114" s="160"/>
    </row>
    <row r="115" spans="2:98">
      <c r="B115">
        <v>2.4</v>
      </c>
      <c r="C115" s="36" t="s">
        <v>1166</v>
      </c>
      <c r="CJ115" s="160"/>
      <c r="CK115" s="155"/>
      <c r="CL115" s="160"/>
      <c r="CM115" s="161"/>
      <c r="CN115" s="160"/>
      <c r="CO115" s="160"/>
      <c r="CP115" s="160"/>
      <c r="CQ115" s="160"/>
      <c r="CR115" s="160"/>
      <c r="CS115" s="160"/>
      <c r="CT115" s="160"/>
    </row>
    <row r="116" spans="2:98">
      <c r="CJ116" s="160"/>
      <c r="CK116" s="155"/>
      <c r="CL116" s="160"/>
      <c r="CM116" s="161"/>
      <c r="CN116" s="160"/>
      <c r="CO116" s="160"/>
      <c r="CP116" s="160"/>
      <c r="CQ116" s="160"/>
      <c r="CR116" s="160"/>
      <c r="CS116" s="160"/>
      <c r="CT116" s="160"/>
    </row>
    <row r="117" spans="2:98">
      <c r="B117">
        <v>3.1</v>
      </c>
      <c r="C117" s="36" t="s">
        <v>1167</v>
      </c>
      <c r="CJ117" s="160"/>
      <c r="CK117" s="155"/>
      <c r="CL117" s="160"/>
      <c r="CM117" s="161"/>
      <c r="CN117" s="160"/>
      <c r="CO117" s="160"/>
      <c r="CP117" s="160"/>
      <c r="CQ117" s="160"/>
      <c r="CR117" s="160"/>
      <c r="CS117" s="160"/>
      <c r="CT117" s="160"/>
    </row>
    <row r="118" spans="2:98">
      <c r="B118">
        <v>3.2</v>
      </c>
      <c r="C118" s="36" t="s">
        <v>1168</v>
      </c>
      <c r="CJ118" s="160"/>
      <c r="CK118" s="155"/>
      <c r="CL118" s="160"/>
      <c r="CM118" s="161"/>
      <c r="CN118" s="160"/>
      <c r="CO118" s="160"/>
      <c r="CP118" s="160"/>
      <c r="CQ118" s="160"/>
      <c r="CR118" s="160"/>
      <c r="CS118" s="160"/>
      <c r="CT118" s="160"/>
    </row>
    <row r="119" spans="2:98">
      <c r="B119">
        <v>3.3</v>
      </c>
      <c r="C119" s="36" t="s">
        <v>1169</v>
      </c>
      <c r="CJ119" s="160"/>
      <c r="CK119" s="155"/>
      <c r="CL119" s="160"/>
      <c r="CM119" s="161"/>
      <c r="CN119" s="160"/>
      <c r="CO119" s="160"/>
      <c r="CP119" s="160"/>
      <c r="CQ119" s="160"/>
      <c r="CR119" s="160"/>
      <c r="CS119" s="160"/>
      <c r="CT119" s="160"/>
    </row>
    <row r="120" spans="2:98">
      <c r="CJ120" s="160"/>
      <c r="CK120" s="155"/>
      <c r="CL120" s="160"/>
      <c r="CM120" s="161"/>
      <c r="CN120" s="160"/>
      <c r="CO120" s="160"/>
      <c r="CP120" s="160"/>
      <c r="CQ120" s="160"/>
      <c r="CR120" s="160"/>
      <c r="CS120" s="160"/>
      <c r="CT120" s="160"/>
    </row>
    <row r="121" spans="2:98">
      <c r="B121" s="203">
        <v>5</v>
      </c>
      <c r="C121" s="36" t="s">
        <v>1170</v>
      </c>
      <c r="CJ121" s="160"/>
      <c r="CK121" s="155"/>
      <c r="CL121" s="160"/>
      <c r="CM121" s="161"/>
      <c r="CN121" s="160"/>
      <c r="CO121" s="160"/>
      <c r="CP121" s="160"/>
      <c r="CQ121" s="160"/>
      <c r="CR121" s="160"/>
      <c r="CS121" s="160"/>
      <c r="CT121" s="160"/>
    </row>
    <row r="122" spans="2:98">
      <c r="CJ122" s="160"/>
      <c r="CK122" s="155"/>
      <c r="CL122" s="160"/>
      <c r="CM122" s="161"/>
      <c r="CN122" s="160"/>
      <c r="CO122" s="160"/>
      <c r="CP122" s="160"/>
      <c r="CQ122" s="160"/>
      <c r="CR122" s="160"/>
      <c r="CS122" s="160"/>
      <c r="CT122" s="160"/>
    </row>
    <row r="123" spans="2:98">
      <c r="CJ123" s="160"/>
      <c r="CK123" s="155"/>
      <c r="CL123" s="160"/>
      <c r="CM123" s="161"/>
      <c r="CN123" s="160"/>
      <c r="CO123" s="160"/>
      <c r="CP123" s="160"/>
      <c r="CQ123" s="160"/>
      <c r="CR123" s="160"/>
      <c r="CS123" s="160"/>
      <c r="CT123" s="160"/>
    </row>
    <row r="124" spans="2:98">
      <c r="CJ124" s="160"/>
      <c r="CK124" s="155"/>
      <c r="CL124" s="160"/>
      <c r="CM124" s="161"/>
      <c r="CN124" s="160"/>
      <c r="CO124" s="160"/>
      <c r="CP124" s="160"/>
      <c r="CQ124" s="160"/>
      <c r="CR124" s="160"/>
      <c r="CS124" s="160"/>
      <c r="CT124" s="160"/>
    </row>
    <row r="125" spans="2:98">
      <c r="CJ125" s="160"/>
      <c r="CK125" s="155"/>
      <c r="CL125" s="160"/>
      <c r="CM125" s="161"/>
      <c r="CN125" s="160"/>
      <c r="CO125" s="160"/>
      <c r="CP125" s="160"/>
      <c r="CQ125" s="160"/>
      <c r="CR125" s="160"/>
      <c r="CS125" s="160"/>
      <c r="CT125" s="160"/>
    </row>
    <row r="126" spans="2:98">
      <c r="CJ126" s="160"/>
      <c r="CK126" s="155"/>
      <c r="CL126" s="160"/>
      <c r="CM126" s="161"/>
      <c r="CN126" s="160"/>
      <c r="CO126" s="160"/>
      <c r="CP126" s="160"/>
      <c r="CQ126" s="160"/>
      <c r="CR126" s="160"/>
      <c r="CS126" s="160"/>
      <c r="CT126" s="160"/>
    </row>
    <row r="127" spans="2:98">
      <c r="CJ127" s="160"/>
      <c r="CK127" s="155"/>
      <c r="CL127" s="160"/>
      <c r="CM127" s="161"/>
      <c r="CN127" s="160"/>
      <c r="CO127" s="160"/>
      <c r="CP127" s="160"/>
      <c r="CQ127" s="160"/>
      <c r="CR127" s="160"/>
      <c r="CS127" s="160"/>
      <c r="CT127" s="160"/>
    </row>
    <row r="128" spans="2:98">
      <c r="CJ128" s="160"/>
      <c r="CK128" s="155"/>
      <c r="CL128" s="160"/>
      <c r="CM128" s="161"/>
      <c r="CN128" s="160"/>
      <c r="CO128" s="160"/>
      <c r="CP128" s="160"/>
      <c r="CQ128" s="160"/>
      <c r="CR128" s="160"/>
      <c r="CS128" s="160"/>
      <c r="CT128" s="160"/>
    </row>
    <row r="129" spans="88:98">
      <c r="CJ129" s="160"/>
      <c r="CK129" s="155"/>
      <c r="CL129" s="160"/>
      <c r="CM129" s="161"/>
      <c r="CN129" s="160"/>
      <c r="CO129" s="160"/>
      <c r="CP129" s="160"/>
      <c r="CQ129" s="160"/>
      <c r="CR129" s="160"/>
      <c r="CS129" s="160"/>
      <c r="CT129" s="160"/>
    </row>
    <row r="130" spans="88:98">
      <c r="CJ130" s="160"/>
      <c r="CK130" s="155"/>
      <c r="CL130" s="160"/>
      <c r="CM130" s="161"/>
      <c r="CN130" s="160"/>
      <c r="CO130" s="160"/>
      <c r="CP130" s="160"/>
      <c r="CQ130" s="160"/>
      <c r="CR130" s="160"/>
      <c r="CS130" s="160"/>
      <c r="CT130" s="160"/>
    </row>
    <row r="131" spans="88:98">
      <c r="CJ131" s="160"/>
      <c r="CK131" s="155"/>
      <c r="CL131" s="160"/>
      <c r="CM131" s="161"/>
      <c r="CN131" s="160"/>
      <c r="CO131" s="160"/>
      <c r="CP131" s="160"/>
      <c r="CQ131" s="160"/>
      <c r="CR131" s="160"/>
      <c r="CS131" s="160"/>
      <c r="CT131" s="160"/>
    </row>
    <row r="132" spans="88:98">
      <c r="CJ132" s="160"/>
      <c r="CK132" s="155"/>
      <c r="CL132" s="160"/>
      <c r="CM132" s="161"/>
      <c r="CN132" s="160"/>
      <c r="CO132" s="160"/>
      <c r="CP132" s="160"/>
      <c r="CQ132" s="160"/>
      <c r="CR132" s="160"/>
      <c r="CS132" s="160"/>
      <c r="CT132" s="160"/>
    </row>
    <row r="133" spans="88:98">
      <c r="CJ133" s="160"/>
      <c r="CK133" s="155"/>
      <c r="CL133" s="160"/>
      <c r="CM133" s="161"/>
      <c r="CN133" s="160"/>
      <c r="CO133" s="160"/>
      <c r="CP133" s="160"/>
      <c r="CQ133" s="160"/>
      <c r="CR133" s="160"/>
      <c r="CS133" s="160"/>
      <c r="CT133" s="160"/>
    </row>
    <row r="134" spans="88:98">
      <c r="CJ134" s="160"/>
      <c r="CK134" s="155"/>
      <c r="CL134" s="160"/>
      <c r="CM134" s="161"/>
      <c r="CN134" s="160"/>
      <c r="CO134" s="160"/>
      <c r="CP134" s="160"/>
      <c r="CQ134" s="160"/>
      <c r="CR134" s="160"/>
      <c r="CS134" s="160"/>
      <c r="CT134" s="160"/>
    </row>
    <row r="135" spans="88:98">
      <c r="CJ135" s="160"/>
      <c r="CK135" s="155"/>
      <c r="CL135" s="160"/>
      <c r="CM135" s="161"/>
      <c r="CN135" s="160"/>
      <c r="CO135" s="160"/>
      <c r="CP135" s="160"/>
      <c r="CQ135" s="160"/>
      <c r="CR135" s="160"/>
      <c r="CS135" s="160"/>
      <c r="CT135" s="160"/>
    </row>
    <row r="136" spans="88:98">
      <c r="CJ136" s="160"/>
      <c r="CK136" s="155"/>
      <c r="CL136" s="160"/>
      <c r="CM136" s="161"/>
      <c r="CN136" s="160"/>
      <c r="CO136" s="160"/>
      <c r="CP136" s="160"/>
      <c r="CQ136" s="160"/>
      <c r="CR136" s="160"/>
      <c r="CS136" s="160"/>
      <c r="CT136" s="160"/>
    </row>
    <row r="137" spans="88:98">
      <c r="CJ137" s="161"/>
      <c r="CK137" s="156"/>
      <c r="CL137" s="161"/>
      <c r="CM137" s="161"/>
      <c r="CN137" s="161"/>
      <c r="CO137" s="161"/>
      <c r="CP137" s="161"/>
      <c r="CQ137" s="161"/>
      <c r="CR137" s="161"/>
      <c r="CS137" s="161"/>
      <c r="CT137" s="161"/>
    </row>
    <row r="138" spans="88:98">
      <c r="CJ138" s="161"/>
      <c r="CK138" s="156"/>
      <c r="CL138" s="161"/>
      <c r="CM138" s="161"/>
      <c r="CN138" s="161"/>
      <c r="CO138" s="161"/>
      <c r="CP138" s="161"/>
      <c r="CQ138" s="161"/>
      <c r="CR138" s="161"/>
      <c r="CS138" s="161"/>
      <c r="CT138" s="161"/>
    </row>
    <row r="139" spans="88:98">
      <c r="CJ139" s="161"/>
      <c r="CK139" s="156"/>
      <c r="CL139" s="161"/>
      <c r="CM139" s="161"/>
      <c r="CN139" s="161"/>
      <c r="CO139" s="161"/>
      <c r="CP139" s="161"/>
      <c r="CQ139" s="161"/>
      <c r="CR139" s="161"/>
      <c r="CS139" s="161"/>
      <c r="CT139" s="161"/>
    </row>
  </sheetData>
  <sheetProtection sheet="1" objects="1" scenarios="1"/>
  <dataConsolidate/>
  <mergeCells count="137">
    <mergeCell ref="D107:E107"/>
    <mergeCell ref="CS1:CS3"/>
    <mergeCell ref="CT1:CT3"/>
    <mergeCell ref="CM1:CM3"/>
    <mergeCell ref="CN1:CN3"/>
    <mergeCell ref="CO1:CO3"/>
    <mergeCell ref="CP1:CP3"/>
    <mergeCell ref="CQ1:CQ3"/>
    <mergeCell ref="CR1:CR3"/>
    <mergeCell ref="D104:E104"/>
    <mergeCell ref="D81:E81"/>
    <mergeCell ref="D82:E82"/>
    <mergeCell ref="D83:E83"/>
    <mergeCell ref="D84:E84"/>
    <mergeCell ref="D85:E85"/>
    <mergeCell ref="D74:E74"/>
    <mergeCell ref="D75:E75"/>
    <mergeCell ref="D76:E76"/>
    <mergeCell ref="D77:E77"/>
    <mergeCell ref="D78:E78"/>
    <mergeCell ref="D79:E79"/>
    <mergeCell ref="D68:E68"/>
    <mergeCell ref="D69:E69"/>
    <mergeCell ref="D70:E70"/>
    <mergeCell ref="D71:E71"/>
    <mergeCell ref="D105:E105"/>
    <mergeCell ref="D106:E106"/>
    <mergeCell ref="CJ1:CJ3"/>
    <mergeCell ref="D64:E64"/>
    <mergeCell ref="D65:E65"/>
    <mergeCell ref="D66:E66"/>
    <mergeCell ref="D67:E67"/>
    <mergeCell ref="D56:E56"/>
    <mergeCell ref="D57:E57"/>
    <mergeCell ref="D58:E58"/>
    <mergeCell ref="D59:E59"/>
    <mergeCell ref="D60:E60"/>
    <mergeCell ref="D61:E61"/>
    <mergeCell ref="D50:E50"/>
    <mergeCell ref="D51:E51"/>
    <mergeCell ref="D52:E52"/>
    <mergeCell ref="D53:E53"/>
    <mergeCell ref="D54:E54"/>
    <mergeCell ref="D55:E55"/>
    <mergeCell ref="D44:E44"/>
    <mergeCell ref="D45:E45"/>
    <mergeCell ref="D46:E46"/>
    <mergeCell ref="D47:E47"/>
    <mergeCell ref="CL1:CL3"/>
    <mergeCell ref="D98:E98"/>
    <mergeCell ref="D99:E99"/>
    <mergeCell ref="D100:E100"/>
    <mergeCell ref="D101:E101"/>
    <mergeCell ref="D102:E102"/>
    <mergeCell ref="D103:E103"/>
    <mergeCell ref="D92:E92"/>
    <mergeCell ref="D93:E93"/>
    <mergeCell ref="D94:E94"/>
    <mergeCell ref="B95:E95"/>
    <mergeCell ref="D96:E96"/>
    <mergeCell ref="D97:E97"/>
    <mergeCell ref="D86:E86"/>
    <mergeCell ref="D87:E87"/>
    <mergeCell ref="D88:E88"/>
    <mergeCell ref="D89:E89"/>
    <mergeCell ref="D90:E90"/>
    <mergeCell ref="B91:E91"/>
    <mergeCell ref="D80:E80"/>
    <mergeCell ref="D72:E72"/>
    <mergeCell ref="D73:E73"/>
    <mergeCell ref="D62:E62"/>
    <mergeCell ref="D63:E63"/>
    <mergeCell ref="D48:E48"/>
    <mergeCell ref="D49:E49"/>
    <mergeCell ref="D38:E38"/>
    <mergeCell ref="D39:E39"/>
    <mergeCell ref="D40:E40"/>
    <mergeCell ref="D41:E41"/>
    <mergeCell ref="D42:E42"/>
    <mergeCell ref="D43:E43"/>
    <mergeCell ref="D32:E32"/>
    <mergeCell ref="D33:E33"/>
    <mergeCell ref="D34:E34"/>
    <mergeCell ref="D35:E35"/>
    <mergeCell ref="D36:E36"/>
    <mergeCell ref="D37:E37"/>
    <mergeCell ref="D26:E26"/>
    <mergeCell ref="D27:E27"/>
    <mergeCell ref="D28:E28"/>
    <mergeCell ref="D29:E29"/>
    <mergeCell ref="D30:E30"/>
    <mergeCell ref="D31:E31"/>
    <mergeCell ref="D20:E20"/>
    <mergeCell ref="D21:E21"/>
    <mergeCell ref="D22:E22"/>
    <mergeCell ref="D23:E23"/>
    <mergeCell ref="D24:E24"/>
    <mergeCell ref="D25:E25"/>
    <mergeCell ref="F1:G3"/>
    <mergeCell ref="H1:I3"/>
    <mergeCell ref="J1:K3"/>
    <mergeCell ref="D14:E14"/>
    <mergeCell ref="D15:E15"/>
    <mergeCell ref="D16:E16"/>
    <mergeCell ref="D17:E17"/>
    <mergeCell ref="D18:E18"/>
    <mergeCell ref="D19:E19"/>
    <mergeCell ref="D8:E8"/>
    <mergeCell ref="D9:E9"/>
    <mergeCell ref="D10:E10"/>
    <mergeCell ref="D11:E11"/>
    <mergeCell ref="D12:E12"/>
    <mergeCell ref="D13:E13"/>
    <mergeCell ref="CK1:CK3"/>
    <mergeCell ref="L1:M3"/>
    <mergeCell ref="N1:O3"/>
    <mergeCell ref="AV3:AW3"/>
    <mergeCell ref="B4:E4"/>
    <mergeCell ref="B5:C5"/>
    <mergeCell ref="D5:E5"/>
    <mergeCell ref="D6:E6"/>
    <mergeCell ref="D7:E7"/>
    <mergeCell ref="AB1:AC3"/>
    <mergeCell ref="AD1:AE3"/>
    <mergeCell ref="AF1:AG3"/>
    <mergeCell ref="AH1:AI3"/>
    <mergeCell ref="AJ1:AK3"/>
    <mergeCell ref="B2:C2"/>
    <mergeCell ref="B3:C3"/>
    <mergeCell ref="D3:E3"/>
    <mergeCell ref="P1:Q3"/>
    <mergeCell ref="R1:S3"/>
    <mergeCell ref="T1:U3"/>
    <mergeCell ref="V1:W3"/>
    <mergeCell ref="X1:Y3"/>
    <mergeCell ref="Z1:AA3"/>
    <mergeCell ref="B1:C1"/>
  </mergeCells>
  <dataValidations count="4">
    <dataValidation allowBlank="1" showErrorMessage="1" sqref="E1" xr:uid="{00000000-0002-0000-0E00-000000000000}"/>
    <dataValidation type="textLength" allowBlank="1" showInputMessage="1" showErrorMessage="1" prompt="Please select your country in worksheet &quot;Intro&quot; (for all pollutant sheets)" sqref="D1" xr:uid="{00000000-0002-0000-0E00-000001000000}">
      <formula1>2</formula1>
      <formula2>2</formula2>
    </dataValidation>
    <dataValidation type="custom" allowBlank="1" showInputMessage="1" showErrorMessage="1" errorTitle="Wrong data input" error="Data entry is limited to positive values or zero._x000d__x000a_: symbol can be used for not available data." sqref="BH5:BH95 BH101:BH104 BH106:BH107 BF4:BF95 BF101:BF104 BF106:BF107 BD4:BD95 BD101:BD104 BD106:BD107 BB4:BB95 BB101:BB104 BB106:BB107 AZ4:AZ95 AZ101:AZ104 AZ106:AZ107 AX4:AX95 AX101:AX104 AX106:AX107 AV4:AV95 AV101:AV104 AV106:AV107 AT4:AT95 AT101:AT104 AT106:AT107 AR4:AR95 AR101:AR104 AR106:AR107 AP4:AP95 AP101:AP104 AP106:AP107 AN4:AN95 AN101:AN104 AN106:AN107 AL4:AL95 AL101:AL104 AL106:AL107 AJ4:AJ95 AJ101:AJ104 AJ106:AJ107 AH4:AH95 AH101:AH104 AH106:AH107 AF4:AF95 AF101:AF104 AF106:AF107 AD4:AD95 AD101:AD104 AD106:AD107 AB4:AB95 AB101:AB104 AB106:AB107 Z4:Z95 Z101:Z104 Z106:Z107 X4:X95 X101:X104 X106:X107 V4:V95 V101:V104 V106:V107 T4:T95 T101:T104 T106:T107 R4:R95 R101:R104 R106:R107 P4:P95 P101:P104 P106:P107 N4:N95 N101:N104 N106:N107 L4:L95 L101:L104 L106:L107 J4:J95 J101:J104 J106:J107 H4:H95 H101:H104 H106:H107 F4:F95 F101:F104 F106:F107" xr:uid="{00000000-0002-0000-0E00-000002000000}">
      <formula1>OR(AND(ISNUMBER(F4),F4&gt;=0),F4=":")</formula1>
    </dataValidation>
    <dataValidation type="custom" allowBlank="1" showInputMessage="1" showErrorMessage="1" errorTitle="Wrong data input" error="Data entry is limited to numbers._x000d__x000a_: symbol can be used for not available data." sqref="BH105 BH96:BH100 BF105 BF96:BF100 BD105 BD96:BD100 BB105 BB96:BB100 AZ105 AZ96:AZ100 AX105 AX96:AX100 AV105 AV96:AV100 AT105 AT96:AT100 AR105 AR96:AR100 AP105 AP96:AP100 AN105 AN96:AN100 AL105 AL96:AL100 AJ105 AJ96:AJ100 AH105 AH96:AH100 AF105 AF96:AF100 AD105 AD96:AD100 AB105 AB96:AB100 Z105 Z96:Z100 X105 X96:X100 V105 V96:V100 T105 T96:T100 R105 R96:R100 P105 P96:P100 N105 N96:N100 L105 L96:L100 J105 J96:J100 H105 H96:H100 F105 F96:F100" xr:uid="{1C05F16D-5F6F-4334-9125-B241B737A410}">
      <formula1>OR(ISNUMBER(F96),F96=":")</formula1>
    </dataValidation>
  </dataValidations>
  <printOptions headings="1" gridLines="1"/>
  <pageMargins left="0.2" right="0.39370078740157499" top="0.17" bottom="0.47" header="0" footer="0"/>
  <pageSetup paperSize="9" scale="60" fitToHeight="3" pageOrder="overThenDown" orientation="portrait" r:id="rId1"/>
  <headerFooter alignWithMargins="0">
    <oddFooter>&amp;L&amp;A&amp;C&amp;P&amp;R&amp;F</oddFooter>
  </headerFooter>
  <rowBreaks count="1" manualBreakCount="1">
    <brk id="94" min="1" max="22" man="1"/>
  </rowBreaks>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CheckThisSheet">
                <anchor moveWithCells="1" sizeWithCells="1">
                  <from>
                    <xdr:col>4</xdr:col>
                    <xdr:colOff>3105150</xdr:colOff>
                    <xdr:row>1</xdr:row>
                    <xdr:rowOff>76200</xdr:rowOff>
                  </from>
                  <to>
                    <xdr:col>4</xdr:col>
                    <xdr:colOff>3810000</xdr:colOff>
                    <xdr:row>2</xdr:row>
                    <xdr:rowOff>304800</xdr:rowOff>
                  </to>
                </anchor>
              </controlPr>
            </control>
          </mc:Choice>
        </mc:AlternateContent>
        <mc:AlternateContent xmlns:mc="http://schemas.openxmlformats.org/markup-compatibility/2006">
          <mc:Choice Requires="x14">
            <control shapeId="819202" r:id="rId5" name="Button 2">
              <controlPr defaultSize="0" print="0" autoFill="0" autoPict="0" macro="[0]!Interface.SetPinkColor">
                <anchor moveWithCells="1" sizeWithCells="1">
                  <from>
                    <xdr:col>4</xdr:col>
                    <xdr:colOff>2914650</xdr:colOff>
                    <xdr:row>3</xdr:row>
                    <xdr:rowOff>76200</xdr:rowOff>
                  </from>
                  <to>
                    <xdr:col>4</xdr:col>
                    <xdr:colOff>3162300</xdr:colOff>
                    <xdr:row>3</xdr:row>
                    <xdr:rowOff>323850</xdr:rowOff>
                  </to>
                </anchor>
              </controlPr>
            </control>
          </mc:Choice>
        </mc:AlternateContent>
        <mc:AlternateContent xmlns:mc="http://schemas.openxmlformats.org/markup-compatibility/2006">
          <mc:Choice Requires="x14">
            <control shapeId="819203" r:id="rId6" name="Button 3">
              <controlPr defaultSize="0" print="0" autoFill="0" autoPict="0" macro="[0]!Interface.SetGreyColor">
                <anchor moveWithCells="1" sizeWithCells="1">
                  <from>
                    <xdr:col>4</xdr:col>
                    <xdr:colOff>3257550</xdr:colOff>
                    <xdr:row>3</xdr:row>
                    <xdr:rowOff>76200</xdr:rowOff>
                  </from>
                  <to>
                    <xdr:col>4</xdr:col>
                    <xdr:colOff>3505200</xdr:colOff>
                    <xdr:row>3</xdr:row>
                    <xdr:rowOff>323850</xdr:rowOff>
                  </to>
                </anchor>
              </controlPr>
            </control>
          </mc:Choice>
        </mc:AlternateContent>
        <mc:AlternateContent xmlns:mc="http://schemas.openxmlformats.org/markup-compatibility/2006">
          <mc:Choice Requires="x14">
            <control shapeId="819204" r:id="rId7" name="Button 4">
              <controlPr defaultSize="0" print="0" autoFill="0" autoPict="0" macro="[0]!Interface.SetBlankColor">
                <anchor moveWithCells="1" sizeWithCells="1">
                  <from>
                    <xdr:col>4</xdr:col>
                    <xdr:colOff>3600450</xdr:colOff>
                    <xdr:row>3</xdr:row>
                    <xdr:rowOff>66675</xdr:rowOff>
                  </from>
                  <to>
                    <xdr:col>4</xdr:col>
                    <xdr:colOff>3838575</xdr:colOff>
                    <xdr:row>3</xdr:row>
                    <xdr:rowOff>323850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MODEL7">
    <tabColor indexed="42"/>
  </sheetPr>
  <dimension ref="A1:CT144"/>
  <sheetViews>
    <sheetView showGridLines="0" showOutlineSymbols="0" zoomScale="80" zoomScaleNormal="80" zoomScaleSheetLayoutView="100" workbookViewId="0">
      <pane xSplit="5" ySplit="4" topLeftCell="AD5" activePane="bottomRight" state="frozen"/>
      <selection pane="topRight" activeCell="BI9" sqref="BI9"/>
      <selection pane="bottomLeft" activeCell="BI9" sqref="BI9"/>
      <selection pane="bottomRight" activeCell="AE109" sqref="AE109"/>
    </sheetView>
  </sheetViews>
  <sheetFormatPr defaultColWidth="9.28515625" defaultRowHeight="12.75" outlineLevelCol="1"/>
  <cols>
    <col min="1" max="1" width="11.7109375" hidden="1" customWidth="1" outlineLevel="1" collapsed="1"/>
    <col min="2" max="2" width="10.28515625" customWidth="1" collapsed="1"/>
    <col min="3" max="3" width="2.7109375" customWidth="1"/>
    <col min="4" max="4" width="10" customWidth="1"/>
    <col min="5" max="5" width="56.7109375" customWidth="1"/>
    <col min="6" max="6" width="15.28515625" customWidth="1"/>
    <col min="7" max="7" width="2.28515625" customWidth="1"/>
    <col min="8" max="8" width="14.7109375" customWidth="1"/>
    <col min="9" max="9" width="2.28515625" customWidth="1"/>
    <col min="10" max="10" width="14.7109375" customWidth="1"/>
    <col min="11" max="11" width="2.28515625" customWidth="1"/>
    <col min="12" max="12" width="14.7109375" customWidth="1"/>
    <col min="13" max="13" width="2.28515625" customWidth="1"/>
    <col min="14" max="14" width="14.7109375" customWidth="1"/>
    <col min="15" max="15" width="2.28515625" customWidth="1"/>
    <col min="16" max="16" width="14.7109375" customWidth="1"/>
    <col min="17" max="17" width="2.28515625" customWidth="1"/>
    <col min="18" max="18" width="14.7109375" customWidth="1"/>
    <col min="19" max="19" width="2.28515625" customWidth="1"/>
    <col min="20" max="20" width="14.7109375" customWidth="1"/>
    <col min="21" max="21" width="2.28515625" customWidth="1"/>
    <col min="22" max="22" width="14.7109375" customWidth="1"/>
    <col min="23" max="23" width="2.28515625" customWidth="1"/>
    <col min="24" max="24" width="14.7109375" customWidth="1"/>
    <col min="25" max="25" width="2.28515625" customWidth="1"/>
    <col min="26" max="26" width="14.7109375" customWidth="1"/>
    <col min="27" max="27" width="2.28515625" customWidth="1"/>
    <col min="28" max="28" width="14.7109375" customWidth="1"/>
    <col min="29" max="29" width="2.28515625" customWidth="1"/>
    <col min="30" max="30" width="14.7109375" customWidth="1"/>
    <col min="31" max="31" width="2.28515625" customWidth="1"/>
    <col min="32" max="32" width="14.7109375" customWidth="1"/>
    <col min="33" max="33" width="2.28515625" customWidth="1"/>
    <col min="34" max="34" width="14.7109375" customWidth="1"/>
    <col min="35" max="35" width="2.28515625" customWidth="1"/>
    <col min="36" max="36" width="14.7109375" customWidth="1"/>
    <col min="37" max="37" width="2.28515625" customWidth="1"/>
    <col min="38" max="38" width="14.7109375" customWidth="1"/>
    <col min="39" max="39" width="2.28515625" customWidth="1"/>
    <col min="40" max="40" width="14.7109375" customWidth="1"/>
    <col min="41" max="41" width="2.28515625" customWidth="1"/>
    <col min="42" max="42" width="14.7109375" customWidth="1"/>
    <col min="43" max="43" width="2.28515625" customWidth="1"/>
    <col min="44" max="44" width="14.7109375" customWidth="1"/>
    <col min="45" max="45" width="2.28515625" customWidth="1"/>
    <col min="46" max="46" width="14.7109375" customWidth="1"/>
    <col min="47" max="47" width="2.28515625" customWidth="1"/>
    <col min="48" max="48" width="14.7109375" customWidth="1"/>
    <col min="49" max="49" width="2.28515625" customWidth="1"/>
    <col min="50" max="50" width="14.7109375" customWidth="1"/>
    <col min="51" max="51" width="2.28515625" customWidth="1"/>
    <col min="52" max="52" width="14.7109375" customWidth="1"/>
    <col min="53" max="53" width="2.28515625" customWidth="1"/>
    <col min="54" max="54" width="14.7109375" customWidth="1"/>
    <col min="55" max="55" width="2.28515625" customWidth="1"/>
    <col min="56" max="56" width="14.7109375" customWidth="1"/>
    <col min="57" max="57" width="2.28515625" customWidth="1"/>
    <col min="58" max="58" width="14.7109375" customWidth="1"/>
    <col min="59" max="59" width="2.28515625" customWidth="1"/>
    <col min="60" max="60" width="14.7109375" customWidth="1"/>
    <col min="61" max="61" width="2.28515625" customWidth="1"/>
    <col min="89" max="89" width="4.7109375" customWidth="1"/>
    <col min="92" max="92" width="13.140625" bestFit="1" customWidth="1"/>
  </cols>
  <sheetData>
    <row r="1" spans="1:98" ht="30" customHeight="1" thickBot="1">
      <c r="A1" t="s">
        <v>562</v>
      </c>
      <c r="B1" s="528" t="s">
        <v>563</v>
      </c>
      <c r="C1" s="529"/>
      <c r="D1" s="204" t="str">
        <f>intro!F7</f>
        <v>NO</v>
      </c>
      <c r="E1" s="15"/>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1"/>
      <c r="AI1" s="521"/>
      <c r="AJ1" s="521"/>
      <c r="AK1" s="521"/>
      <c r="CJ1" s="554" t="s">
        <v>214</v>
      </c>
      <c r="CK1" s="554" t="s">
        <v>218</v>
      </c>
      <c r="CL1" s="554" t="s">
        <v>222</v>
      </c>
      <c r="CM1" s="554" t="s">
        <v>225</v>
      </c>
      <c r="CN1" s="554" t="s">
        <v>1126</v>
      </c>
      <c r="CO1" s="554" t="s">
        <v>234</v>
      </c>
      <c r="CP1" s="554" t="s">
        <v>236</v>
      </c>
      <c r="CQ1" s="554" t="s">
        <v>238</v>
      </c>
      <c r="CR1" s="554" t="s">
        <v>259</v>
      </c>
      <c r="CS1" s="554" t="s">
        <v>240</v>
      </c>
      <c r="CT1" s="554" t="s">
        <v>242</v>
      </c>
    </row>
    <row r="2" spans="1:98" ht="30" customHeight="1" thickBot="1">
      <c r="B2" s="522" t="s">
        <v>564</v>
      </c>
      <c r="C2" s="523"/>
      <c r="D2" s="7" t="s">
        <v>677</v>
      </c>
      <c r="E2" s="297" t="s">
        <v>678</v>
      </c>
      <c r="F2" s="521"/>
      <c r="G2" s="521"/>
      <c r="H2" s="521"/>
      <c r="I2" s="521"/>
      <c r="J2" s="521"/>
      <c r="K2" s="521"/>
      <c r="L2" s="521"/>
      <c r="M2" s="521"/>
      <c r="N2" s="521"/>
      <c r="O2" s="521"/>
      <c r="P2" s="521"/>
      <c r="Q2" s="521"/>
      <c r="R2" s="521"/>
      <c r="S2" s="521"/>
      <c r="T2" s="521"/>
      <c r="U2" s="521"/>
      <c r="V2" s="521"/>
      <c r="W2" s="521"/>
      <c r="X2" s="521"/>
      <c r="Y2" s="521"/>
      <c r="Z2" s="521"/>
      <c r="AA2" s="521"/>
      <c r="AB2" s="521"/>
      <c r="AC2" s="521"/>
      <c r="AD2" s="521"/>
      <c r="AE2" s="521"/>
      <c r="AF2" s="521"/>
      <c r="AG2" s="521"/>
      <c r="AH2" s="521"/>
      <c r="AI2" s="521"/>
      <c r="AJ2" s="521"/>
      <c r="AK2" s="521"/>
      <c r="CJ2" s="554"/>
      <c r="CK2" s="554"/>
      <c r="CL2" s="554"/>
      <c r="CM2" s="554"/>
      <c r="CN2" s="554"/>
      <c r="CO2" s="554"/>
      <c r="CP2" s="554"/>
      <c r="CQ2" s="554"/>
      <c r="CR2" s="554"/>
      <c r="CS2" s="554"/>
      <c r="CT2" s="554"/>
    </row>
    <row r="3" spans="1:98" ht="30" customHeight="1" thickBot="1">
      <c r="A3" s="21" t="s">
        <v>662</v>
      </c>
      <c r="B3" s="524" t="s">
        <v>567</v>
      </c>
      <c r="C3" s="525" t="s">
        <v>568</v>
      </c>
      <c r="D3" s="526" t="s">
        <v>1175</v>
      </c>
      <c r="E3" s="527"/>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1"/>
      <c r="AI3" s="521"/>
      <c r="AJ3" s="521"/>
      <c r="AK3" s="521"/>
      <c r="AV3" s="511"/>
      <c r="AW3" s="511"/>
      <c r="CJ3" s="554"/>
      <c r="CK3" s="554"/>
      <c r="CL3" s="554"/>
      <c r="CM3" s="554"/>
      <c r="CN3" s="554"/>
      <c r="CO3" s="554"/>
      <c r="CP3" s="554"/>
      <c r="CQ3" s="554"/>
      <c r="CR3" s="554"/>
      <c r="CS3" s="554"/>
      <c r="CT3" s="554"/>
    </row>
    <row r="4" spans="1:98" ht="30" customHeight="1" thickBot="1">
      <c r="A4" s="22"/>
      <c r="B4" s="512" t="s">
        <v>570</v>
      </c>
      <c r="C4" s="513"/>
      <c r="D4" s="513"/>
      <c r="E4" s="514"/>
      <c r="F4" s="68">
        <v>1995</v>
      </c>
      <c r="G4" s="298"/>
      <c r="H4" s="1">
        <v>1996</v>
      </c>
      <c r="I4" s="298"/>
      <c r="J4" s="1">
        <v>1997</v>
      </c>
      <c r="K4" s="298"/>
      <c r="L4" s="1">
        <v>1998</v>
      </c>
      <c r="M4" s="298"/>
      <c r="N4" s="1">
        <v>1999</v>
      </c>
      <c r="O4" s="298"/>
      <c r="P4" s="1">
        <v>2000</v>
      </c>
      <c r="Q4" s="298"/>
      <c r="R4" s="1">
        <v>2001</v>
      </c>
      <c r="S4" s="298"/>
      <c r="T4" s="1">
        <v>2002</v>
      </c>
      <c r="U4" s="298"/>
      <c r="V4" s="1">
        <v>2003</v>
      </c>
      <c r="W4" s="298"/>
      <c r="X4" s="1">
        <v>2004</v>
      </c>
      <c r="Y4" s="298"/>
      <c r="Z4" s="1">
        <v>2005</v>
      </c>
      <c r="AA4" s="298"/>
      <c r="AB4" s="1">
        <v>2006</v>
      </c>
      <c r="AC4" s="298"/>
      <c r="AD4" s="1">
        <v>2007</v>
      </c>
      <c r="AE4" s="298"/>
      <c r="AF4" s="1">
        <v>2008</v>
      </c>
      <c r="AG4" s="298"/>
      <c r="AH4" s="1">
        <v>2009</v>
      </c>
      <c r="AI4" s="298"/>
      <c r="AJ4" s="1">
        <v>2010</v>
      </c>
      <c r="AK4" s="298"/>
      <c r="AL4" s="1">
        <v>2011</v>
      </c>
      <c r="AM4" s="298"/>
      <c r="AN4" s="1">
        <v>2012</v>
      </c>
      <c r="AO4" s="298"/>
      <c r="AP4" s="1">
        <v>2013</v>
      </c>
      <c r="AQ4" s="298"/>
      <c r="AR4" s="1">
        <v>2014</v>
      </c>
      <c r="AS4" s="298"/>
      <c r="AT4" s="1">
        <v>2015</v>
      </c>
      <c r="AU4" s="298"/>
      <c r="AV4" s="1">
        <v>2016</v>
      </c>
      <c r="AW4" s="299"/>
      <c r="AX4" s="1">
        <v>2017</v>
      </c>
      <c r="AY4" s="299"/>
      <c r="AZ4" s="1">
        <v>2018</v>
      </c>
      <c r="BA4" s="299"/>
      <c r="BB4" s="148">
        <v>2019</v>
      </c>
      <c r="BC4" s="300"/>
      <c r="BD4" s="180">
        <v>2020</v>
      </c>
      <c r="BE4" s="300"/>
      <c r="BF4" s="180">
        <v>2021</v>
      </c>
      <c r="BG4" s="299"/>
      <c r="BH4" s="67">
        <v>2022</v>
      </c>
      <c r="BI4" s="301"/>
      <c r="CJ4" s="149"/>
      <c r="CK4" s="149"/>
      <c r="CL4" s="149"/>
      <c r="CM4" s="149"/>
      <c r="CN4" s="149"/>
      <c r="CO4" s="149"/>
      <c r="CP4" s="149"/>
      <c r="CQ4" s="149"/>
      <c r="CR4" s="149"/>
      <c r="CS4" s="149"/>
      <c r="CT4" s="149"/>
    </row>
    <row r="5" spans="1:98" s="9" customFormat="1" ht="20.100000000000001" customHeight="1">
      <c r="A5" s="23"/>
      <c r="B5" s="515" t="str">
        <f>Parameters!Q4</f>
        <v>A_U   01-99</v>
      </c>
      <c r="C5" s="516"/>
      <c r="D5" s="517" t="str">
        <f>Parameters!S4</f>
        <v>Total industries</v>
      </c>
      <c r="E5" s="518"/>
      <c r="F5" s="220"/>
      <c r="G5" s="181"/>
      <c r="H5" s="221"/>
      <c r="I5" s="181"/>
      <c r="J5" s="221"/>
      <c r="K5" s="181"/>
      <c r="L5" s="221"/>
      <c r="M5" s="181"/>
      <c r="N5" s="221"/>
      <c r="O5" s="181"/>
      <c r="P5" s="221"/>
      <c r="Q5" s="181"/>
      <c r="R5" s="221"/>
      <c r="S5" s="181"/>
      <c r="T5" s="221"/>
      <c r="U5" s="181"/>
      <c r="V5" s="221"/>
      <c r="W5" s="181"/>
      <c r="X5" s="221"/>
      <c r="Y5" s="181"/>
      <c r="Z5" s="221"/>
      <c r="AA5" s="181"/>
      <c r="AB5" s="221"/>
      <c r="AC5" s="181"/>
      <c r="AD5" s="221"/>
      <c r="AE5" s="181"/>
      <c r="AF5" s="163">
        <v>54499.049914499999</v>
      </c>
      <c r="AG5" s="181"/>
      <c r="AH5" s="163">
        <v>49819.853642000002</v>
      </c>
      <c r="AI5" s="181"/>
      <c r="AJ5" s="163">
        <v>62569.539905500002</v>
      </c>
      <c r="AK5" s="181"/>
      <c r="AL5" s="163">
        <v>50224.691291000003</v>
      </c>
      <c r="AM5" s="181"/>
      <c r="AN5" s="163">
        <v>49254.142536500003</v>
      </c>
      <c r="AO5" s="181"/>
      <c r="AP5" s="163">
        <v>52195.852115000002</v>
      </c>
      <c r="AQ5" s="181"/>
      <c r="AR5" s="163">
        <v>45443.356757000001</v>
      </c>
      <c r="AS5" s="181"/>
      <c r="AT5" s="163">
        <v>44675.706885</v>
      </c>
      <c r="AU5" s="181"/>
      <c r="AV5" s="163">
        <v>38311.2892345</v>
      </c>
      <c r="AW5" s="181"/>
      <c r="AX5" s="163">
        <v>33512.968124999999</v>
      </c>
      <c r="AY5" s="181"/>
      <c r="AZ5" s="163">
        <v>31257.262862</v>
      </c>
      <c r="BA5" s="181"/>
      <c r="BB5" s="163">
        <v>46061.652684499997</v>
      </c>
      <c r="BC5" s="181"/>
      <c r="BD5" s="163">
        <v>52219.1855</v>
      </c>
      <c r="BE5" s="181"/>
      <c r="BF5" s="163">
        <v>38955.166745000002</v>
      </c>
      <c r="BG5" s="181"/>
      <c r="BH5" s="221"/>
      <c r="BI5" s="183"/>
      <c r="CJ5" s="150" t="s">
        <v>271</v>
      </c>
      <c r="CK5" s="150" t="s">
        <v>219</v>
      </c>
      <c r="CL5" s="150" t="s">
        <v>1128</v>
      </c>
      <c r="CM5" s="150" t="s">
        <v>1129</v>
      </c>
      <c r="CN5" s="150" t="s">
        <v>1130</v>
      </c>
      <c r="CO5" s="150" t="s">
        <v>677</v>
      </c>
      <c r="CP5" s="150" t="s">
        <v>1131</v>
      </c>
      <c r="CQ5" s="162" t="s">
        <v>662</v>
      </c>
      <c r="CR5" s="162">
        <v>0</v>
      </c>
      <c r="CS5" s="150" t="s">
        <v>1133</v>
      </c>
      <c r="CT5" s="150" t="s">
        <v>1134</v>
      </c>
    </row>
    <row r="6" spans="1:98" s="9" customFormat="1" ht="20.100000000000001" customHeight="1">
      <c r="A6" s="24"/>
      <c r="B6" s="83" t="str">
        <f>Parameters!Q5</f>
        <v>A</v>
      </c>
      <c r="C6" s="305"/>
      <c r="D6" s="519" t="str">
        <f>Parameters!S5</f>
        <v>Agriculture, forestry and fishing</v>
      </c>
      <c r="E6" s="520"/>
      <c r="F6" s="222"/>
      <c r="G6" s="379"/>
      <c r="H6" s="223"/>
      <c r="I6" s="379"/>
      <c r="J6" s="223"/>
      <c r="K6" s="379"/>
      <c r="L6" s="223"/>
      <c r="M6" s="379"/>
      <c r="N6" s="223"/>
      <c r="O6" s="379"/>
      <c r="P6" s="223"/>
      <c r="Q6" s="379"/>
      <c r="R6" s="223"/>
      <c r="S6" s="379"/>
      <c r="T6" s="223"/>
      <c r="U6" s="379"/>
      <c r="V6" s="223"/>
      <c r="W6" s="379"/>
      <c r="X6" s="223"/>
      <c r="Y6" s="379"/>
      <c r="Z6" s="223"/>
      <c r="AA6" s="379"/>
      <c r="AB6" s="223"/>
      <c r="AC6" s="379"/>
      <c r="AD6" s="223"/>
      <c r="AE6" s="379"/>
      <c r="AF6" s="164">
        <v>0</v>
      </c>
      <c r="AG6" s="379"/>
      <c r="AH6" s="164">
        <v>0</v>
      </c>
      <c r="AI6" s="379"/>
      <c r="AJ6" s="164">
        <v>0</v>
      </c>
      <c r="AK6" s="379"/>
      <c r="AL6" s="164">
        <v>0</v>
      </c>
      <c r="AM6" s="379"/>
      <c r="AN6" s="164">
        <v>0</v>
      </c>
      <c r="AO6" s="379"/>
      <c r="AP6" s="164">
        <v>0</v>
      </c>
      <c r="AQ6" s="379"/>
      <c r="AR6" s="164">
        <v>0</v>
      </c>
      <c r="AS6" s="379"/>
      <c r="AT6" s="164">
        <v>0</v>
      </c>
      <c r="AU6" s="379"/>
      <c r="AV6" s="164">
        <v>0</v>
      </c>
      <c r="AW6" s="379"/>
      <c r="AX6" s="164">
        <v>0</v>
      </c>
      <c r="AY6" s="379"/>
      <c r="AZ6" s="164">
        <v>0</v>
      </c>
      <c r="BA6" s="379"/>
      <c r="BB6" s="164">
        <v>0</v>
      </c>
      <c r="BC6" s="379"/>
      <c r="BD6" s="164">
        <v>0</v>
      </c>
      <c r="BE6" s="379"/>
      <c r="BF6" s="164">
        <v>0</v>
      </c>
      <c r="BG6" s="379"/>
      <c r="BH6" s="223"/>
      <c r="BI6" s="184"/>
      <c r="CJ6" s="150"/>
      <c r="CK6" s="150"/>
      <c r="CL6" s="150"/>
      <c r="CM6" s="151" t="s">
        <v>206</v>
      </c>
      <c r="CN6" s="150" t="s">
        <v>1130</v>
      </c>
      <c r="CO6" s="150"/>
      <c r="CP6" s="150"/>
      <c r="CQ6" s="150"/>
      <c r="CR6" s="150"/>
      <c r="CS6" s="150"/>
      <c r="CT6" s="150"/>
    </row>
    <row r="7" spans="1:98" s="10" customFormat="1" ht="12.75" customHeight="1">
      <c r="A7" s="307"/>
      <c r="B7" s="308" t="str">
        <f>Parameters!Q6</f>
        <v>A01</v>
      </c>
      <c r="C7" s="309"/>
      <c r="D7" s="495" t="str">
        <f>Parameters!S6</f>
        <v>Crop and animal production, hunting and related service activities</v>
      </c>
      <c r="E7" s="510"/>
      <c r="F7" s="224"/>
      <c r="G7" s="379"/>
      <c r="H7" s="225"/>
      <c r="I7" s="379"/>
      <c r="J7" s="225"/>
      <c r="K7" s="379"/>
      <c r="L7" s="225"/>
      <c r="M7" s="379"/>
      <c r="N7" s="225"/>
      <c r="O7" s="379"/>
      <c r="P7" s="225"/>
      <c r="Q7" s="379"/>
      <c r="R7" s="225"/>
      <c r="S7" s="379"/>
      <c r="T7" s="225"/>
      <c r="U7" s="379"/>
      <c r="V7" s="225"/>
      <c r="W7" s="379"/>
      <c r="X7" s="225"/>
      <c r="Y7" s="379"/>
      <c r="Z7" s="225"/>
      <c r="AA7" s="379"/>
      <c r="AB7" s="225"/>
      <c r="AC7" s="379"/>
      <c r="AD7" s="225"/>
      <c r="AE7" s="379"/>
      <c r="AF7" s="165">
        <v>0</v>
      </c>
      <c r="AG7" s="379"/>
      <c r="AH7" s="165">
        <v>0</v>
      </c>
      <c r="AI7" s="379"/>
      <c r="AJ7" s="165">
        <v>0</v>
      </c>
      <c r="AK7" s="379"/>
      <c r="AL7" s="165">
        <v>0</v>
      </c>
      <c r="AM7" s="379"/>
      <c r="AN7" s="165">
        <v>0</v>
      </c>
      <c r="AO7" s="379"/>
      <c r="AP7" s="165">
        <v>0</v>
      </c>
      <c r="AQ7" s="379"/>
      <c r="AR7" s="165">
        <v>0</v>
      </c>
      <c r="AS7" s="379"/>
      <c r="AT7" s="165">
        <v>0</v>
      </c>
      <c r="AU7" s="379"/>
      <c r="AV7" s="165">
        <v>0</v>
      </c>
      <c r="AW7" s="379"/>
      <c r="AX7" s="165">
        <v>0</v>
      </c>
      <c r="AY7" s="379"/>
      <c r="AZ7" s="165">
        <v>0</v>
      </c>
      <c r="BA7" s="379"/>
      <c r="BB7" s="165">
        <v>0</v>
      </c>
      <c r="BC7" s="379"/>
      <c r="BD7" s="165">
        <v>0</v>
      </c>
      <c r="BE7" s="379"/>
      <c r="BF7" s="165">
        <v>0</v>
      </c>
      <c r="BG7" s="379"/>
      <c r="BH7" s="225"/>
      <c r="BI7" s="184"/>
      <c r="CJ7" s="150"/>
      <c r="CK7" s="150"/>
      <c r="CL7" s="150"/>
      <c r="CM7" s="151" t="s">
        <v>650</v>
      </c>
      <c r="CN7" s="150" t="s">
        <v>1130</v>
      </c>
      <c r="CO7" s="150"/>
      <c r="CP7" s="150"/>
      <c r="CQ7" s="150"/>
      <c r="CR7" s="150"/>
      <c r="CS7" s="150"/>
      <c r="CT7" s="150"/>
    </row>
    <row r="8" spans="1:98" s="11" customFormat="1" ht="12.75" customHeight="1">
      <c r="A8" s="307"/>
      <c r="B8" s="308" t="str">
        <f>Parameters!Q7</f>
        <v>A02</v>
      </c>
      <c r="C8" s="309"/>
      <c r="D8" s="495" t="str">
        <f>Parameters!S7</f>
        <v>Forestry and logging</v>
      </c>
      <c r="E8" s="530"/>
      <c r="F8" s="224"/>
      <c r="G8" s="379"/>
      <c r="H8" s="225"/>
      <c r="I8" s="379"/>
      <c r="J8" s="225"/>
      <c r="K8" s="379"/>
      <c r="L8" s="225"/>
      <c r="M8" s="379"/>
      <c r="N8" s="225"/>
      <c r="O8" s="379"/>
      <c r="P8" s="225"/>
      <c r="Q8" s="379"/>
      <c r="R8" s="225"/>
      <c r="S8" s="379"/>
      <c r="T8" s="225"/>
      <c r="U8" s="379"/>
      <c r="V8" s="225"/>
      <c r="W8" s="379"/>
      <c r="X8" s="225"/>
      <c r="Y8" s="379"/>
      <c r="Z8" s="225"/>
      <c r="AA8" s="379"/>
      <c r="AB8" s="225"/>
      <c r="AC8" s="379"/>
      <c r="AD8" s="225"/>
      <c r="AE8" s="379"/>
      <c r="AF8" s="165">
        <v>0</v>
      </c>
      <c r="AG8" s="379"/>
      <c r="AH8" s="165">
        <v>0</v>
      </c>
      <c r="AI8" s="379"/>
      <c r="AJ8" s="165">
        <v>0</v>
      </c>
      <c r="AK8" s="379"/>
      <c r="AL8" s="165">
        <v>0</v>
      </c>
      <c r="AM8" s="379"/>
      <c r="AN8" s="165">
        <v>0</v>
      </c>
      <c r="AO8" s="379"/>
      <c r="AP8" s="165">
        <v>0</v>
      </c>
      <c r="AQ8" s="379"/>
      <c r="AR8" s="165">
        <v>0</v>
      </c>
      <c r="AS8" s="379"/>
      <c r="AT8" s="165">
        <v>0</v>
      </c>
      <c r="AU8" s="379"/>
      <c r="AV8" s="165">
        <v>0</v>
      </c>
      <c r="AW8" s="379"/>
      <c r="AX8" s="165">
        <v>0</v>
      </c>
      <c r="AY8" s="379"/>
      <c r="AZ8" s="165">
        <v>0</v>
      </c>
      <c r="BA8" s="379"/>
      <c r="BB8" s="165">
        <v>0</v>
      </c>
      <c r="BC8" s="379"/>
      <c r="BD8" s="165">
        <v>0</v>
      </c>
      <c r="BE8" s="379"/>
      <c r="BF8" s="165">
        <v>0</v>
      </c>
      <c r="BG8" s="379"/>
      <c r="BH8" s="225"/>
      <c r="BI8" s="184"/>
      <c r="CJ8" s="150"/>
      <c r="CK8" s="150"/>
      <c r="CL8" s="150"/>
      <c r="CM8" s="151" t="s">
        <v>657</v>
      </c>
      <c r="CN8" s="150" t="s">
        <v>1130</v>
      </c>
      <c r="CO8" s="150"/>
      <c r="CP8" s="150"/>
      <c r="CQ8" s="150"/>
      <c r="CR8" s="150"/>
      <c r="CS8" s="150"/>
      <c r="CT8" s="150"/>
    </row>
    <row r="9" spans="1:98" s="11" customFormat="1" ht="12.75" customHeight="1">
      <c r="A9" s="310"/>
      <c r="B9" s="308" t="str">
        <f>Parameters!Q8</f>
        <v>A03</v>
      </c>
      <c r="C9" s="309"/>
      <c r="D9" s="495" t="str">
        <f>Parameters!S8</f>
        <v>Fishing and aquaculture</v>
      </c>
      <c r="E9" s="497"/>
      <c r="F9" s="224"/>
      <c r="G9" s="379"/>
      <c r="H9" s="225"/>
      <c r="I9" s="379"/>
      <c r="J9" s="225"/>
      <c r="K9" s="379"/>
      <c r="L9" s="225"/>
      <c r="M9" s="379"/>
      <c r="N9" s="225"/>
      <c r="O9" s="379"/>
      <c r="P9" s="225"/>
      <c r="Q9" s="379"/>
      <c r="R9" s="225"/>
      <c r="S9" s="379"/>
      <c r="T9" s="225"/>
      <c r="U9" s="379"/>
      <c r="V9" s="225"/>
      <c r="W9" s="379"/>
      <c r="X9" s="225"/>
      <c r="Y9" s="379"/>
      <c r="Z9" s="225"/>
      <c r="AA9" s="379"/>
      <c r="AB9" s="225"/>
      <c r="AC9" s="379"/>
      <c r="AD9" s="225"/>
      <c r="AE9" s="379"/>
      <c r="AF9" s="165">
        <v>0</v>
      </c>
      <c r="AG9" s="379"/>
      <c r="AH9" s="165">
        <v>0</v>
      </c>
      <c r="AI9" s="379"/>
      <c r="AJ9" s="165">
        <v>0</v>
      </c>
      <c r="AK9" s="379"/>
      <c r="AL9" s="165">
        <v>0</v>
      </c>
      <c r="AM9" s="379"/>
      <c r="AN9" s="165">
        <v>0</v>
      </c>
      <c r="AO9" s="379"/>
      <c r="AP9" s="165">
        <v>0</v>
      </c>
      <c r="AQ9" s="379"/>
      <c r="AR9" s="165">
        <v>0</v>
      </c>
      <c r="AS9" s="379"/>
      <c r="AT9" s="165">
        <v>0</v>
      </c>
      <c r="AU9" s="379"/>
      <c r="AV9" s="165">
        <v>0</v>
      </c>
      <c r="AW9" s="379"/>
      <c r="AX9" s="165">
        <v>0</v>
      </c>
      <c r="AY9" s="379"/>
      <c r="AZ9" s="165">
        <v>0</v>
      </c>
      <c r="BA9" s="379"/>
      <c r="BB9" s="165">
        <v>0</v>
      </c>
      <c r="BC9" s="379"/>
      <c r="BD9" s="165">
        <v>0</v>
      </c>
      <c r="BE9" s="379"/>
      <c r="BF9" s="165">
        <v>0</v>
      </c>
      <c r="BG9" s="379"/>
      <c r="BH9" s="225"/>
      <c r="BI9" s="184"/>
      <c r="CJ9" s="150"/>
      <c r="CK9" s="150"/>
      <c r="CL9" s="150"/>
      <c r="CM9" s="151" t="s">
        <v>665</v>
      </c>
      <c r="CN9" s="150" t="s">
        <v>1130</v>
      </c>
      <c r="CO9" s="150"/>
      <c r="CP9" s="150"/>
      <c r="CQ9" s="150"/>
      <c r="CR9" s="150"/>
      <c r="CS9" s="150"/>
      <c r="CT9" s="150"/>
    </row>
    <row r="10" spans="1:98" s="10" customFormat="1" ht="12.75" customHeight="1">
      <c r="A10" s="25"/>
      <c r="B10" s="87" t="str">
        <f>Parameters!Q9</f>
        <v>B</v>
      </c>
      <c r="C10" s="88"/>
      <c r="D10" s="498" t="str">
        <f>Parameters!S9</f>
        <v>Mining and quarrying</v>
      </c>
      <c r="E10" s="507"/>
      <c r="F10" s="222"/>
      <c r="G10" s="379"/>
      <c r="H10" s="223"/>
      <c r="I10" s="379"/>
      <c r="J10" s="223"/>
      <c r="K10" s="379"/>
      <c r="L10" s="223"/>
      <c r="M10" s="379"/>
      <c r="N10" s="223"/>
      <c r="O10" s="379"/>
      <c r="P10" s="223"/>
      <c r="Q10" s="379"/>
      <c r="R10" s="223"/>
      <c r="S10" s="379"/>
      <c r="T10" s="223"/>
      <c r="U10" s="379"/>
      <c r="V10" s="223"/>
      <c r="W10" s="379"/>
      <c r="X10" s="223"/>
      <c r="Y10" s="379"/>
      <c r="Z10" s="223"/>
      <c r="AA10" s="379"/>
      <c r="AB10" s="223"/>
      <c r="AC10" s="379"/>
      <c r="AD10" s="223"/>
      <c r="AE10" s="379"/>
      <c r="AF10" s="164">
        <v>0</v>
      </c>
      <c r="AG10" s="379"/>
      <c r="AH10" s="164">
        <v>0</v>
      </c>
      <c r="AI10" s="379"/>
      <c r="AJ10" s="164">
        <v>0</v>
      </c>
      <c r="AK10" s="379"/>
      <c r="AL10" s="164">
        <v>0</v>
      </c>
      <c r="AM10" s="379"/>
      <c r="AN10" s="164">
        <v>0</v>
      </c>
      <c r="AO10" s="379"/>
      <c r="AP10" s="164">
        <v>0</v>
      </c>
      <c r="AQ10" s="379"/>
      <c r="AR10" s="164">
        <v>0</v>
      </c>
      <c r="AS10" s="379"/>
      <c r="AT10" s="164">
        <v>0</v>
      </c>
      <c r="AU10" s="379"/>
      <c r="AV10" s="164">
        <v>0</v>
      </c>
      <c r="AW10" s="379"/>
      <c r="AX10" s="164">
        <v>0</v>
      </c>
      <c r="AY10" s="379"/>
      <c r="AZ10" s="164">
        <v>0</v>
      </c>
      <c r="BA10" s="379"/>
      <c r="BB10" s="164">
        <v>0</v>
      </c>
      <c r="BC10" s="379"/>
      <c r="BD10" s="164">
        <v>0</v>
      </c>
      <c r="BE10" s="379"/>
      <c r="BF10" s="164">
        <v>0</v>
      </c>
      <c r="BG10" s="379"/>
      <c r="BH10" s="223"/>
      <c r="BI10" s="184"/>
      <c r="CJ10" s="150"/>
      <c r="CK10" s="150"/>
      <c r="CL10" s="150"/>
      <c r="CM10" s="151" t="s">
        <v>267</v>
      </c>
      <c r="CN10" s="150" t="s">
        <v>1130</v>
      </c>
      <c r="CO10" s="150"/>
      <c r="CP10" s="150"/>
      <c r="CQ10" s="150"/>
      <c r="CR10" s="150"/>
      <c r="CS10" s="150"/>
      <c r="CT10" s="150"/>
    </row>
    <row r="11" spans="1:98" s="10" customFormat="1" ht="12.75" customHeight="1">
      <c r="A11" s="25"/>
      <c r="B11" s="87" t="str">
        <f>Parameters!Q10</f>
        <v>C</v>
      </c>
      <c r="C11" s="88"/>
      <c r="D11" s="498" t="str">
        <f>Parameters!S10</f>
        <v>Manufacturing</v>
      </c>
      <c r="E11" s="499"/>
      <c r="F11" s="222"/>
      <c r="G11" s="379"/>
      <c r="H11" s="223"/>
      <c r="I11" s="379"/>
      <c r="J11" s="223"/>
      <c r="K11" s="379"/>
      <c r="L11" s="223"/>
      <c r="M11" s="379"/>
      <c r="N11" s="223"/>
      <c r="O11" s="379"/>
      <c r="P11" s="223"/>
      <c r="Q11" s="379"/>
      <c r="R11" s="223"/>
      <c r="S11" s="379"/>
      <c r="T11" s="223"/>
      <c r="U11" s="379"/>
      <c r="V11" s="223"/>
      <c r="W11" s="379"/>
      <c r="X11" s="223"/>
      <c r="Y11" s="379"/>
      <c r="Z11" s="223"/>
      <c r="AA11" s="379"/>
      <c r="AB11" s="223"/>
      <c r="AC11" s="379"/>
      <c r="AD11" s="223"/>
      <c r="AE11" s="379"/>
      <c r="AF11" s="164">
        <v>1175</v>
      </c>
      <c r="AG11" s="379"/>
      <c r="AH11" s="164">
        <v>1175</v>
      </c>
      <c r="AI11" s="379"/>
      <c r="AJ11" s="164">
        <v>1175</v>
      </c>
      <c r="AK11" s="379"/>
      <c r="AL11" s="164">
        <v>1175</v>
      </c>
      <c r="AM11" s="379"/>
      <c r="AN11" s="164">
        <v>1175</v>
      </c>
      <c r="AO11" s="379"/>
      <c r="AP11" s="164">
        <v>1175</v>
      </c>
      <c r="AQ11" s="379"/>
      <c r="AR11" s="164">
        <v>1175</v>
      </c>
      <c r="AS11" s="379"/>
      <c r="AT11" s="164">
        <v>1175</v>
      </c>
      <c r="AU11" s="379"/>
      <c r="AV11" s="164">
        <v>1175</v>
      </c>
      <c r="AW11" s="379"/>
      <c r="AX11" s="164">
        <v>1175</v>
      </c>
      <c r="AY11" s="379"/>
      <c r="AZ11" s="164">
        <v>1175</v>
      </c>
      <c r="BA11" s="379"/>
      <c r="BB11" s="164">
        <v>1175</v>
      </c>
      <c r="BC11" s="379"/>
      <c r="BD11" s="164">
        <v>1175</v>
      </c>
      <c r="BE11" s="379"/>
      <c r="BF11" s="164">
        <v>1175</v>
      </c>
      <c r="BG11" s="379"/>
      <c r="BH11" s="223"/>
      <c r="BI11" s="184"/>
      <c r="CJ11" s="150"/>
      <c r="CK11" s="150"/>
      <c r="CL11" s="150"/>
      <c r="CM11" s="151" t="s">
        <v>273</v>
      </c>
      <c r="CN11" s="150" t="s">
        <v>1130</v>
      </c>
      <c r="CO11" s="150"/>
      <c r="CP11" s="150"/>
      <c r="CQ11" s="150"/>
      <c r="CR11" s="150"/>
      <c r="CS11" s="150"/>
      <c r="CT11" s="150"/>
    </row>
    <row r="12" spans="1:98" s="10" customFormat="1" ht="12.75" customHeight="1">
      <c r="A12" s="26"/>
      <c r="B12" s="89" t="str">
        <f>Parameters!Q11</f>
        <v>C10-C12</v>
      </c>
      <c r="C12" s="90"/>
      <c r="D12" s="504" t="str">
        <f>Parameters!S11</f>
        <v>Manufacture of food products, beverages and tobacco
products</v>
      </c>
      <c r="E12" s="505"/>
      <c r="F12" s="226"/>
      <c r="G12" s="379"/>
      <c r="H12" s="227"/>
      <c r="I12" s="379"/>
      <c r="J12" s="227"/>
      <c r="K12" s="379"/>
      <c r="L12" s="227"/>
      <c r="M12" s="379"/>
      <c r="N12" s="227"/>
      <c r="O12" s="379"/>
      <c r="P12" s="227"/>
      <c r="Q12" s="379"/>
      <c r="R12" s="227"/>
      <c r="S12" s="379"/>
      <c r="T12" s="227"/>
      <c r="U12" s="379"/>
      <c r="V12" s="227"/>
      <c r="W12" s="379"/>
      <c r="X12" s="227"/>
      <c r="Y12" s="379"/>
      <c r="Z12" s="227"/>
      <c r="AA12" s="379"/>
      <c r="AB12" s="227"/>
      <c r="AC12" s="379"/>
      <c r="AD12" s="227"/>
      <c r="AE12" s="379"/>
      <c r="AF12" s="166">
        <v>0</v>
      </c>
      <c r="AG12" s="379"/>
      <c r="AH12" s="166">
        <v>0</v>
      </c>
      <c r="AI12" s="379"/>
      <c r="AJ12" s="166">
        <v>0</v>
      </c>
      <c r="AK12" s="379"/>
      <c r="AL12" s="166">
        <v>0</v>
      </c>
      <c r="AM12" s="379"/>
      <c r="AN12" s="166">
        <v>0</v>
      </c>
      <c r="AO12" s="379"/>
      <c r="AP12" s="166">
        <v>0</v>
      </c>
      <c r="AQ12" s="379"/>
      <c r="AR12" s="166">
        <v>0</v>
      </c>
      <c r="AS12" s="379"/>
      <c r="AT12" s="166">
        <v>0</v>
      </c>
      <c r="AU12" s="379"/>
      <c r="AV12" s="166">
        <v>0</v>
      </c>
      <c r="AW12" s="379"/>
      <c r="AX12" s="166">
        <v>0</v>
      </c>
      <c r="AY12" s="379"/>
      <c r="AZ12" s="166">
        <v>0</v>
      </c>
      <c r="BA12" s="379"/>
      <c r="BB12" s="166">
        <v>0</v>
      </c>
      <c r="BC12" s="379"/>
      <c r="BD12" s="166">
        <v>0</v>
      </c>
      <c r="BE12" s="379"/>
      <c r="BF12" s="166">
        <v>0</v>
      </c>
      <c r="BG12" s="379"/>
      <c r="BH12" s="227"/>
      <c r="BI12" s="184"/>
      <c r="CJ12" s="150"/>
      <c r="CK12" s="150"/>
      <c r="CL12" s="150"/>
      <c r="CM12" s="152" t="s">
        <v>1135</v>
      </c>
      <c r="CN12" s="150" t="s">
        <v>1130</v>
      </c>
      <c r="CO12" s="150"/>
      <c r="CP12" s="150"/>
      <c r="CQ12" s="150"/>
      <c r="CR12" s="150"/>
      <c r="CS12" s="150"/>
      <c r="CT12" s="150"/>
    </row>
    <row r="13" spans="1:98" s="10" customFormat="1" ht="12.75" customHeight="1">
      <c r="A13" s="26"/>
      <c r="B13" s="89" t="str">
        <f>Parameters!Q12</f>
        <v>C13-C15</v>
      </c>
      <c r="C13" s="90"/>
      <c r="D13" s="504" t="str">
        <f>Parameters!S12</f>
        <v>Manufacture of textiles, wearing apparel and leather products</v>
      </c>
      <c r="E13" s="506"/>
      <c r="F13" s="226"/>
      <c r="G13" s="379"/>
      <c r="H13" s="227"/>
      <c r="I13" s="379"/>
      <c r="J13" s="227"/>
      <c r="K13" s="379"/>
      <c r="L13" s="227"/>
      <c r="M13" s="379"/>
      <c r="N13" s="227"/>
      <c r="O13" s="379"/>
      <c r="P13" s="227"/>
      <c r="Q13" s="379"/>
      <c r="R13" s="227"/>
      <c r="S13" s="379"/>
      <c r="T13" s="227"/>
      <c r="U13" s="379"/>
      <c r="V13" s="227"/>
      <c r="W13" s="379"/>
      <c r="X13" s="227"/>
      <c r="Y13" s="379"/>
      <c r="Z13" s="227"/>
      <c r="AA13" s="379"/>
      <c r="AB13" s="227"/>
      <c r="AC13" s="379"/>
      <c r="AD13" s="227"/>
      <c r="AE13" s="379"/>
      <c r="AF13" s="166">
        <v>0</v>
      </c>
      <c r="AG13" s="379"/>
      <c r="AH13" s="166">
        <v>0</v>
      </c>
      <c r="AI13" s="379"/>
      <c r="AJ13" s="166">
        <v>0</v>
      </c>
      <c r="AK13" s="379"/>
      <c r="AL13" s="166">
        <v>0</v>
      </c>
      <c r="AM13" s="379"/>
      <c r="AN13" s="166">
        <v>0</v>
      </c>
      <c r="AO13" s="379"/>
      <c r="AP13" s="166">
        <v>0</v>
      </c>
      <c r="AQ13" s="379"/>
      <c r="AR13" s="166">
        <v>0</v>
      </c>
      <c r="AS13" s="379"/>
      <c r="AT13" s="166">
        <v>0</v>
      </c>
      <c r="AU13" s="379"/>
      <c r="AV13" s="166">
        <v>0</v>
      </c>
      <c r="AW13" s="379"/>
      <c r="AX13" s="166">
        <v>0</v>
      </c>
      <c r="AY13" s="379"/>
      <c r="AZ13" s="166">
        <v>0</v>
      </c>
      <c r="BA13" s="379"/>
      <c r="BB13" s="166">
        <v>0</v>
      </c>
      <c r="BC13" s="379"/>
      <c r="BD13" s="166">
        <v>0</v>
      </c>
      <c r="BE13" s="379"/>
      <c r="BF13" s="166">
        <v>0</v>
      </c>
      <c r="BG13" s="379"/>
      <c r="BH13" s="227"/>
      <c r="BI13" s="184"/>
      <c r="CJ13" s="150"/>
      <c r="CK13" s="150"/>
      <c r="CL13" s="150"/>
      <c r="CM13" s="151" t="s">
        <v>1136</v>
      </c>
      <c r="CN13" s="150" t="s">
        <v>1130</v>
      </c>
      <c r="CO13" s="150"/>
      <c r="CP13" s="150"/>
      <c r="CQ13" s="150"/>
      <c r="CR13" s="150"/>
      <c r="CS13" s="150"/>
      <c r="CT13" s="150"/>
    </row>
    <row r="14" spans="1:98" s="10" customFormat="1">
      <c r="A14" s="26"/>
      <c r="B14" s="89" t="str">
        <f>Parameters!Q13</f>
        <v>C16-C18</v>
      </c>
      <c r="C14" s="90"/>
      <c r="D14" s="504" t="str">
        <f>Parameters!S13</f>
        <v>Manufacture of wood, paper, printing and reproduction</v>
      </c>
      <c r="E14" s="506"/>
      <c r="F14" s="252"/>
      <c r="G14" s="380"/>
      <c r="H14" s="253"/>
      <c r="I14" s="380"/>
      <c r="J14" s="253"/>
      <c r="K14" s="380"/>
      <c r="L14" s="253"/>
      <c r="M14" s="380"/>
      <c r="N14" s="253"/>
      <c r="O14" s="380"/>
      <c r="P14" s="253"/>
      <c r="Q14" s="380"/>
      <c r="R14" s="253"/>
      <c r="S14" s="380"/>
      <c r="T14" s="253"/>
      <c r="U14" s="380"/>
      <c r="V14" s="253"/>
      <c r="W14" s="380"/>
      <c r="X14" s="253"/>
      <c r="Y14" s="380"/>
      <c r="Z14" s="253"/>
      <c r="AA14" s="380"/>
      <c r="AB14" s="253"/>
      <c r="AC14" s="380"/>
      <c r="AD14" s="253"/>
      <c r="AE14" s="380"/>
      <c r="AF14" s="253">
        <v>0</v>
      </c>
      <c r="AG14" s="380"/>
      <c r="AH14" s="253">
        <v>0</v>
      </c>
      <c r="AI14" s="380"/>
      <c r="AJ14" s="253">
        <v>0</v>
      </c>
      <c r="AK14" s="380"/>
      <c r="AL14" s="253">
        <v>0</v>
      </c>
      <c r="AM14" s="380"/>
      <c r="AN14" s="253">
        <v>0</v>
      </c>
      <c r="AO14" s="380"/>
      <c r="AP14" s="253">
        <v>0</v>
      </c>
      <c r="AQ14" s="380"/>
      <c r="AR14" s="253">
        <v>0</v>
      </c>
      <c r="AS14" s="380"/>
      <c r="AT14" s="253">
        <v>0</v>
      </c>
      <c r="AU14" s="380"/>
      <c r="AV14" s="253">
        <v>0</v>
      </c>
      <c r="AW14" s="380"/>
      <c r="AX14" s="253">
        <v>0</v>
      </c>
      <c r="AY14" s="380"/>
      <c r="AZ14" s="253">
        <v>0</v>
      </c>
      <c r="BA14" s="380"/>
      <c r="BB14" s="253">
        <v>0</v>
      </c>
      <c r="BC14" s="380"/>
      <c r="BD14" s="253">
        <v>0</v>
      </c>
      <c r="BE14" s="380"/>
      <c r="BF14" s="253">
        <v>0</v>
      </c>
      <c r="BG14" s="380"/>
      <c r="BH14" s="253"/>
      <c r="BI14" s="254"/>
      <c r="CJ14" s="150"/>
      <c r="CK14" s="150"/>
      <c r="CL14" s="150"/>
      <c r="CM14" s="151"/>
      <c r="CN14" s="150"/>
      <c r="CO14" s="150"/>
      <c r="CP14" s="150"/>
      <c r="CQ14" s="150"/>
      <c r="CR14" s="150"/>
      <c r="CS14" s="150"/>
      <c r="CT14" s="150"/>
    </row>
    <row r="15" spans="1:98" s="12" customFormat="1" ht="22.5" customHeight="1">
      <c r="A15" s="310"/>
      <c r="B15" s="308" t="str">
        <f>Parameters!Q14</f>
        <v>C16</v>
      </c>
      <c r="C15" s="94"/>
      <c r="D15" s="495" t="str">
        <f>Parameters!S14</f>
        <v>Manufacture of wood and of products of wood and cork, except furniture; manufacture of articles of straw and plaiting materials</v>
      </c>
      <c r="E15" s="496"/>
      <c r="F15" s="224"/>
      <c r="G15" s="379"/>
      <c r="H15" s="225"/>
      <c r="I15" s="379"/>
      <c r="J15" s="225"/>
      <c r="K15" s="379"/>
      <c r="L15" s="225"/>
      <c r="M15" s="379"/>
      <c r="N15" s="225"/>
      <c r="O15" s="379"/>
      <c r="P15" s="225"/>
      <c r="Q15" s="379"/>
      <c r="R15" s="225"/>
      <c r="S15" s="379"/>
      <c r="T15" s="225"/>
      <c r="U15" s="379"/>
      <c r="V15" s="225"/>
      <c r="W15" s="379"/>
      <c r="X15" s="225"/>
      <c r="Y15" s="379"/>
      <c r="Z15" s="225"/>
      <c r="AA15" s="379"/>
      <c r="AB15" s="225"/>
      <c r="AC15" s="379"/>
      <c r="AD15" s="225"/>
      <c r="AE15" s="379"/>
      <c r="AF15" s="165">
        <v>0</v>
      </c>
      <c r="AG15" s="379"/>
      <c r="AH15" s="165">
        <v>0</v>
      </c>
      <c r="AI15" s="379"/>
      <c r="AJ15" s="165">
        <v>0</v>
      </c>
      <c r="AK15" s="379"/>
      <c r="AL15" s="165">
        <v>0</v>
      </c>
      <c r="AM15" s="379"/>
      <c r="AN15" s="165">
        <v>0</v>
      </c>
      <c r="AO15" s="379"/>
      <c r="AP15" s="165">
        <v>0</v>
      </c>
      <c r="AQ15" s="379"/>
      <c r="AR15" s="165">
        <v>0</v>
      </c>
      <c r="AS15" s="379"/>
      <c r="AT15" s="165">
        <v>0</v>
      </c>
      <c r="AU15" s="379"/>
      <c r="AV15" s="165">
        <v>0</v>
      </c>
      <c r="AW15" s="379"/>
      <c r="AX15" s="165">
        <v>0</v>
      </c>
      <c r="AY15" s="379"/>
      <c r="AZ15" s="165">
        <v>0</v>
      </c>
      <c r="BA15" s="379"/>
      <c r="BB15" s="165">
        <v>0</v>
      </c>
      <c r="BC15" s="379"/>
      <c r="BD15" s="165">
        <v>0</v>
      </c>
      <c r="BE15" s="379"/>
      <c r="BF15" s="165">
        <v>0</v>
      </c>
      <c r="BG15" s="379"/>
      <c r="BH15" s="225"/>
      <c r="BI15" s="184"/>
      <c r="CJ15" s="150"/>
      <c r="CK15" s="150"/>
      <c r="CL15" s="150"/>
      <c r="CM15" s="151" t="s">
        <v>703</v>
      </c>
      <c r="CN15" s="150" t="s">
        <v>1130</v>
      </c>
      <c r="CO15" s="150"/>
      <c r="CP15" s="150"/>
      <c r="CQ15" s="150"/>
      <c r="CR15" s="150"/>
      <c r="CS15" s="150"/>
      <c r="CT15" s="150"/>
    </row>
    <row r="16" spans="1:98" s="11" customFormat="1" ht="12.75" customHeight="1">
      <c r="A16" s="310"/>
      <c r="B16" s="308" t="str">
        <f>Parameters!Q15</f>
        <v>C17</v>
      </c>
      <c r="C16" s="309"/>
      <c r="D16" s="495" t="str">
        <f>Parameters!S15</f>
        <v>Manufacture of paper and paper products</v>
      </c>
      <c r="E16" s="510"/>
      <c r="F16" s="224"/>
      <c r="G16" s="379"/>
      <c r="H16" s="225"/>
      <c r="I16" s="379"/>
      <c r="J16" s="225"/>
      <c r="K16" s="379"/>
      <c r="L16" s="225"/>
      <c r="M16" s="379"/>
      <c r="N16" s="225"/>
      <c r="O16" s="379"/>
      <c r="P16" s="225"/>
      <c r="Q16" s="379"/>
      <c r="R16" s="225"/>
      <c r="S16" s="379"/>
      <c r="T16" s="225"/>
      <c r="U16" s="379"/>
      <c r="V16" s="225"/>
      <c r="W16" s="379"/>
      <c r="X16" s="225"/>
      <c r="Y16" s="379"/>
      <c r="Z16" s="225"/>
      <c r="AA16" s="379"/>
      <c r="AB16" s="225"/>
      <c r="AC16" s="379"/>
      <c r="AD16" s="225"/>
      <c r="AE16" s="379"/>
      <c r="AF16" s="165">
        <v>0</v>
      </c>
      <c r="AG16" s="379"/>
      <c r="AH16" s="165">
        <v>0</v>
      </c>
      <c r="AI16" s="379"/>
      <c r="AJ16" s="165">
        <v>0</v>
      </c>
      <c r="AK16" s="379"/>
      <c r="AL16" s="165">
        <v>0</v>
      </c>
      <c r="AM16" s="379"/>
      <c r="AN16" s="165">
        <v>0</v>
      </c>
      <c r="AO16" s="379"/>
      <c r="AP16" s="165">
        <v>0</v>
      </c>
      <c r="AQ16" s="379"/>
      <c r="AR16" s="165">
        <v>0</v>
      </c>
      <c r="AS16" s="379"/>
      <c r="AT16" s="165">
        <v>0</v>
      </c>
      <c r="AU16" s="379"/>
      <c r="AV16" s="165">
        <v>0</v>
      </c>
      <c r="AW16" s="379"/>
      <c r="AX16" s="165">
        <v>0</v>
      </c>
      <c r="AY16" s="379"/>
      <c r="AZ16" s="165">
        <v>0</v>
      </c>
      <c r="BA16" s="379"/>
      <c r="BB16" s="165">
        <v>0</v>
      </c>
      <c r="BC16" s="379"/>
      <c r="BD16" s="165">
        <v>0</v>
      </c>
      <c r="BE16" s="379"/>
      <c r="BF16" s="165">
        <v>0</v>
      </c>
      <c r="BG16" s="379"/>
      <c r="BH16" s="225"/>
      <c r="BI16" s="184"/>
      <c r="CJ16" s="150"/>
      <c r="CK16" s="150"/>
      <c r="CL16" s="150"/>
      <c r="CM16" s="151" t="s">
        <v>707</v>
      </c>
      <c r="CN16" s="150" t="s">
        <v>1130</v>
      </c>
      <c r="CO16" s="150"/>
      <c r="CP16" s="150"/>
      <c r="CQ16" s="150"/>
      <c r="CR16" s="150"/>
      <c r="CS16" s="150"/>
      <c r="CT16" s="150"/>
    </row>
    <row r="17" spans="1:98" s="11" customFormat="1" ht="12.75" customHeight="1">
      <c r="A17" s="310"/>
      <c r="B17" s="308" t="str">
        <f>Parameters!Q16</f>
        <v>C18</v>
      </c>
      <c r="C17" s="309"/>
      <c r="D17" s="495" t="str">
        <f>Parameters!S16</f>
        <v>Printing and reproduction of recorded media</v>
      </c>
      <c r="E17" s="510"/>
      <c r="F17" s="224"/>
      <c r="G17" s="379"/>
      <c r="H17" s="225"/>
      <c r="I17" s="379"/>
      <c r="J17" s="225"/>
      <c r="K17" s="379"/>
      <c r="L17" s="225"/>
      <c r="M17" s="379"/>
      <c r="N17" s="225"/>
      <c r="O17" s="379"/>
      <c r="P17" s="225"/>
      <c r="Q17" s="379"/>
      <c r="R17" s="225"/>
      <c r="S17" s="379"/>
      <c r="T17" s="225"/>
      <c r="U17" s="379"/>
      <c r="V17" s="225"/>
      <c r="W17" s="379"/>
      <c r="X17" s="225"/>
      <c r="Y17" s="379"/>
      <c r="Z17" s="225"/>
      <c r="AA17" s="379"/>
      <c r="AB17" s="225"/>
      <c r="AC17" s="379"/>
      <c r="AD17" s="225"/>
      <c r="AE17" s="379"/>
      <c r="AF17" s="165">
        <v>0</v>
      </c>
      <c r="AG17" s="379"/>
      <c r="AH17" s="165">
        <v>0</v>
      </c>
      <c r="AI17" s="379"/>
      <c r="AJ17" s="165">
        <v>0</v>
      </c>
      <c r="AK17" s="379"/>
      <c r="AL17" s="165">
        <v>0</v>
      </c>
      <c r="AM17" s="379"/>
      <c r="AN17" s="165">
        <v>0</v>
      </c>
      <c r="AO17" s="379"/>
      <c r="AP17" s="165">
        <v>0</v>
      </c>
      <c r="AQ17" s="379"/>
      <c r="AR17" s="165">
        <v>0</v>
      </c>
      <c r="AS17" s="379"/>
      <c r="AT17" s="165">
        <v>0</v>
      </c>
      <c r="AU17" s="379"/>
      <c r="AV17" s="165">
        <v>0</v>
      </c>
      <c r="AW17" s="379"/>
      <c r="AX17" s="165">
        <v>0</v>
      </c>
      <c r="AY17" s="379"/>
      <c r="AZ17" s="165">
        <v>0</v>
      </c>
      <c r="BA17" s="379"/>
      <c r="BB17" s="165">
        <v>0</v>
      </c>
      <c r="BC17" s="379"/>
      <c r="BD17" s="165">
        <v>0</v>
      </c>
      <c r="BE17" s="379"/>
      <c r="BF17" s="165">
        <v>0</v>
      </c>
      <c r="BG17" s="379"/>
      <c r="BH17" s="225"/>
      <c r="BI17" s="184"/>
      <c r="CJ17" s="150"/>
      <c r="CK17" s="150"/>
      <c r="CL17" s="150"/>
      <c r="CM17" s="151" t="s">
        <v>711</v>
      </c>
      <c r="CN17" s="150" t="s">
        <v>1130</v>
      </c>
      <c r="CO17" s="150"/>
      <c r="CP17" s="150"/>
      <c r="CQ17" s="150"/>
      <c r="CR17" s="150"/>
      <c r="CS17" s="150"/>
      <c r="CT17" s="150"/>
    </row>
    <row r="18" spans="1:98" s="12" customFormat="1" ht="12.75" customHeight="1">
      <c r="A18" s="26"/>
      <c r="B18" s="89" t="str">
        <f>Parameters!Q17</f>
        <v>C19</v>
      </c>
      <c r="C18" s="90"/>
      <c r="D18" s="504" t="str">
        <f>Parameters!S17</f>
        <v>Manufacture of coke and refined petroleum products</v>
      </c>
      <c r="E18" s="505"/>
      <c r="F18" s="226"/>
      <c r="G18" s="379"/>
      <c r="H18" s="227"/>
      <c r="I18" s="379"/>
      <c r="J18" s="227"/>
      <c r="K18" s="379"/>
      <c r="L18" s="227"/>
      <c r="M18" s="379"/>
      <c r="N18" s="227"/>
      <c r="O18" s="379"/>
      <c r="P18" s="227"/>
      <c r="Q18" s="379"/>
      <c r="R18" s="227"/>
      <c r="S18" s="379"/>
      <c r="T18" s="227"/>
      <c r="U18" s="379"/>
      <c r="V18" s="227"/>
      <c r="W18" s="379"/>
      <c r="X18" s="227"/>
      <c r="Y18" s="379"/>
      <c r="Z18" s="227"/>
      <c r="AA18" s="379"/>
      <c r="AB18" s="227"/>
      <c r="AC18" s="379"/>
      <c r="AD18" s="227"/>
      <c r="AE18" s="379"/>
      <c r="AF18" s="166">
        <v>0</v>
      </c>
      <c r="AG18" s="379" t="s">
        <v>387</v>
      </c>
      <c r="AH18" s="166">
        <v>0</v>
      </c>
      <c r="AI18" s="379" t="s">
        <v>387</v>
      </c>
      <c r="AJ18" s="166">
        <v>0</v>
      </c>
      <c r="AK18" s="379" t="s">
        <v>387</v>
      </c>
      <c r="AL18" s="166">
        <v>0</v>
      </c>
      <c r="AM18" s="379" t="s">
        <v>387</v>
      </c>
      <c r="AN18" s="166">
        <v>0</v>
      </c>
      <c r="AO18" s="379" t="s">
        <v>387</v>
      </c>
      <c r="AP18" s="166">
        <v>0</v>
      </c>
      <c r="AQ18" s="379" t="s">
        <v>387</v>
      </c>
      <c r="AR18" s="166">
        <v>0</v>
      </c>
      <c r="AS18" s="379" t="s">
        <v>387</v>
      </c>
      <c r="AT18" s="166">
        <v>0</v>
      </c>
      <c r="AU18" s="379" t="s">
        <v>387</v>
      </c>
      <c r="AV18" s="166">
        <v>0</v>
      </c>
      <c r="AW18" s="379" t="s">
        <v>387</v>
      </c>
      <c r="AX18" s="166">
        <v>0</v>
      </c>
      <c r="AY18" s="379" t="s">
        <v>387</v>
      </c>
      <c r="AZ18" s="166">
        <v>0</v>
      </c>
      <c r="BA18" s="379" t="s">
        <v>387</v>
      </c>
      <c r="BB18" s="166">
        <v>0</v>
      </c>
      <c r="BC18" s="379" t="s">
        <v>387</v>
      </c>
      <c r="BD18" s="166">
        <v>0</v>
      </c>
      <c r="BE18" s="379" t="s">
        <v>387</v>
      </c>
      <c r="BF18" s="166">
        <v>0</v>
      </c>
      <c r="BG18" s="379" t="s">
        <v>387</v>
      </c>
      <c r="BH18" s="227"/>
      <c r="BI18" s="184"/>
      <c r="CJ18" s="150"/>
      <c r="CK18" s="150"/>
      <c r="CL18" s="150"/>
      <c r="CM18" s="151" t="s">
        <v>716</v>
      </c>
      <c r="CN18" s="150" t="s">
        <v>1130</v>
      </c>
      <c r="CO18" s="150"/>
      <c r="CP18" s="150"/>
      <c r="CQ18" s="150"/>
      <c r="CR18" s="150"/>
      <c r="CS18" s="150"/>
      <c r="CT18" s="150"/>
    </row>
    <row r="19" spans="1:98" s="11" customFormat="1" ht="12.75" customHeight="1">
      <c r="A19" s="26"/>
      <c r="B19" s="89" t="str">
        <f>Parameters!Q18</f>
        <v>C20</v>
      </c>
      <c r="C19" s="90"/>
      <c r="D19" s="504" t="str">
        <f>Parameters!S18</f>
        <v>Manufacture of chemicals and chemical products</v>
      </c>
      <c r="E19" s="505"/>
      <c r="F19" s="226"/>
      <c r="G19" s="379"/>
      <c r="H19" s="227"/>
      <c r="I19" s="379"/>
      <c r="J19" s="227"/>
      <c r="K19" s="379"/>
      <c r="L19" s="227"/>
      <c r="M19" s="379"/>
      <c r="N19" s="227"/>
      <c r="O19" s="379"/>
      <c r="P19" s="227"/>
      <c r="Q19" s="379"/>
      <c r="R19" s="227"/>
      <c r="S19" s="379"/>
      <c r="T19" s="227"/>
      <c r="U19" s="379"/>
      <c r="V19" s="227"/>
      <c r="W19" s="379"/>
      <c r="X19" s="227"/>
      <c r="Y19" s="379"/>
      <c r="Z19" s="227"/>
      <c r="AA19" s="379"/>
      <c r="AB19" s="227"/>
      <c r="AC19" s="379"/>
      <c r="AD19" s="227"/>
      <c r="AE19" s="379"/>
      <c r="AF19" s="166">
        <v>0</v>
      </c>
      <c r="AG19" s="379" t="s">
        <v>387</v>
      </c>
      <c r="AH19" s="166">
        <v>0</v>
      </c>
      <c r="AI19" s="379" t="s">
        <v>387</v>
      </c>
      <c r="AJ19" s="166">
        <v>0</v>
      </c>
      <c r="AK19" s="379" t="s">
        <v>387</v>
      </c>
      <c r="AL19" s="166">
        <v>0</v>
      </c>
      <c r="AM19" s="379" t="s">
        <v>387</v>
      </c>
      <c r="AN19" s="166">
        <v>0</v>
      </c>
      <c r="AO19" s="379" t="s">
        <v>387</v>
      </c>
      <c r="AP19" s="166">
        <v>0</v>
      </c>
      <c r="AQ19" s="379" t="s">
        <v>387</v>
      </c>
      <c r="AR19" s="166">
        <v>0</v>
      </c>
      <c r="AS19" s="379" t="s">
        <v>387</v>
      </c>
      <c r="AT19" s="166">
        <v>0</v>
      </c>
      <c r="AU19" s="379" t="s">
        <v>387</v>
      </c>
      <c r="AV19" s="166">
        <v>0</v>
      </c>
      <c r="AW19" s="379" t="s">
        <v>387</v>
      </c>
      <c r="AX19" s="166">
        <v>0</v>
      </c>
      <c r="AY19" s="379" t="s">
        <v>387</v>
      </c>
      <c r="AZ19" s="166">
        <v>0</v>
      </c>
      <c r="BA19" s="379" t="s">
        <v>387</v>
      </c>
      <c r="BB19" s="166">
        <v>0</v>
      </c>
      <c r="BC19" s="379" t="s">
        <v>387</v>
      </c>
      <c r="BD19" s="166">
        <v>0</v>
      </c>
      <c r="BE19" s="379" t="s">
        <v>387</v>
      </c>
      <c r="BF19" s="166">
        <v>0</v>
      </c>
      <c r="BG19" s="379" t="s">
        <v>387</v>
      </c>
      <c r="BH19" s="227"/>
      <c r="BI19" s="184"/>
      <c r="CJ19" s="150"/>
      <c r="CK19" s="150"/>
      <c r="CL19" s="150"/>
      <c r="CM19" s="151" t="s">
        <v>723</v>
      </c>
      <c r="CN19" s="150" t="s">
        <v>1130</v>
      </c>
      <c r="CO19" s="150"/>
      <c r="CP19" s="150"/>
      <c r="CQ19" s="150"/>
      <c r="CR19" s="150"/>
      <c r="CS19" s="150"/>
      <c r="CT19" s="150"/>
    </row>
    <row r="20" spans="1:98" s="11" customFormat="1" ht="12.75" customHeight="1">
      <c r="A20" s="26"/>
      <c r="B20" s="89" t="str">
        <f>Parameters!Q19</f>
        <v>C21</v>
      </c>
      <c r="C20" s="90"/>
      <c r="D20" s="504" t="str">
        <f>Parameters!S19</f>
        <v>Manufacture of basic pharmaceutical products and pharmaceutical preparations</v>
      </c>
      <c r="E20" s="505"/>
      <c r="F20" s="226"/>
      <c r="G20" s="379"/>
      <c r="H20" s="227"/>
      <c r="I20" s="379"/>
      <c r="J20" s="227"/>
      <c r="K20" s="379"/>
      <c r="L20" s="227"/>
      <c r="M20" s="379"/>
      <c r="N20" s="227"/>
      <c r="O20" s="379"/>
      <c r="P20" s="227"/>
      <c r="Q20" s="379"/>
      <c r="R20" s="227"/>
      <c r="S20" s="379"/>
      <c r="T20" s="227"/>
      <c r="U20" s="379"/>
      <c r="V20" s="227"/>
      <c r="W20" s="379"/>
      <c r="X20" s="227"/>
      <c r="Y20" s="379"/>
      <c r="Z20" s="227"/>
      <c r="AA20" s="379"/>
      <c r="AB20" s="227"/>
      <c r="AC20" s="379"/>
      <c r="AD20" s="227"/>
      <c r="AE20" s="379"/>
      <c r="AF20" s="166">
        <v>0</v>
      </c>
      <c r="AG20" s="379" t="s">
        <v>387</v>
      </c>
      <c r="AH20" s="166">
        <v>0</v>
      </c>
      <c r="AI20" s="379" t="s">
        <v>387</v>
      </c>
      <c r="AJ20" s="166">
        <v>0</v>
      </c>
      <c r="AK20" s="379" t="s">
        <v>387</v>
      </c>
      <c r="AL20" s="166">
        <v>0</v>
      </c>
      <c r="AM20" s="379" t="s">
        <v>387</v>
      </c>
      <c r="AN20" s="166">
        <v>0</v>
      </c>
      <c r="AO20" s="379" t="s">
        <v>387</v>
      </c>
      <c r="AP20" s="166">
        <v>0</v>
      </c>
      <c r="AQ20" s="379" t="s">
        <v>387</v>
      </c>
      <c r="AR20" s="166">
        <v>0</v>
      </c>
      <c r="AS20" s="379" t="s">
        <v>387</v>
      </c>
      <c r="AT20" s="166">
        <v>0</v>
      </c>
      <c r="AU20" s="379" t="s">
        <v>387</v>
      </c>
      <c r="AV20" s="166">
        <v>0</v>
      </c>
      <c r="AW20" s="379" t="s">
        <v>387</v>
      </c>
      <c r="AX20" s="166">
        <v>0</v>
      </c>
      <c r="AY20" s="379" t="s">
        <v>387</v>
      </c>
      <c r="AZ20" s="166">
        <v>0</v>
      </c>
      <c r="BA20" s="379" t="s">
        <v>387</v>
      </c>
      <c r="BB20" s="166">
        <v>0</v>
      </c>
      <c r="BC20" s="379" t="s">
        <v>387</v>
      </c>
      <c r="BD20" s="166">
        <v>0</v>
      </c>
      <c r="BE20" s="379" t="s">
        <v>387</v>
      </c>
      <c r="BF20" s="166">
        <v>0</v>
      </c>
      <c r="BG20" s="379" t="s">
        <v>387</v>
      </c>
      <c r="BH20" s="227"/>
      <c r="BI20" s="184"/>
      <c r="CJ20" s="150"/>
      <c r="CK20" s="150"/>
      <c r="CL20" s="150"/>
      <c r="CM20" s="151" t="s">
        <v>728</v>
      </c>
      <c r="CN20" s="150" t="s">
        <v>1130</v>
      </c>
      <c r="CO20" s="150"/>
      <c r="CP20" s="150"/>
      <c r="CQ20" s="150"/>
      <c r="CR20" s="150"/>
      <c r="CS20" s="150"/>
      <c r="CT20" s="150"/>
    </row>
    <row r="21" spans="1:98" s="11" customFormat="1" ht="12.75" customHeight="1">
      <c r="A21" s="26"/>
      <c r="B21" s="89" t="str">
        <f>Parameters!Q20</f>
        <v>C22_C23</v>
      </c>
      <c r="C21" s="90"/>
      <c r="D21" s="504" t="str">
        <f>Parameters!S20</f>
        <v>Manufacture of rubber and plastic products and other non-metallic mineral products</v>
      </c>
      <c r="E21" s="506"/>
      <c r="F21" s="252"/>
      <c r="G21" s="380"/>
      <c r="H21" s="253"/>
      <c r="I21" s="380"/>
      <c r="J21" s="253"/>
      <c r="K21" s="380"/>
      <c r="L21" s="253"/>
      <c r="M21" s="380"/>
      <c r="N21" s="253"/>
      <c r="O21" s="380"/>
      <c r="P21" s="253"/>
      <c r="Q21" s="380"/>
      <c r="R21" s="253"/>
      <c r="S21" s="380"/>
      <c r="T21" s="253"/>
      <c r="U21" s="380"/>
      <c r="V21" s="253"/>
      <c r="W21" s="380"/>
      <c r="X21" s="253"/>
      <c r="Y21" s="380"/>
      <c r="Z21" s="253"/>
      <c r="AA21" s="380"/>
      <c r="AB21" s="253"/>
      <c r="AC21" s="380"/>
      <c r="AD21" s="253"/>
      <c r="AE21" s="380"/>
      <c r="AF21" s="253">
        <v>0</v>
      </c>
      <c r="AG21" s="380"/>
      <c r="AH21" s="253">
        <v>0</v>
      </c>
      <c r="AI21" s="380"/>
      <c r="AJ21" s="253">
        <v>0</v>
      </c>
      <c r="AK21" s="380"/>
      <c r="AL21" s="253">
        <v>0</v>
      </c>
      <c r="AM21" s="380"/>
      <c r="AN21" s="253">
        <v>0</v>
      </c>
      <c r="AO21" s="380"/>
      <c r="AP21" s="253">
        <v>0</v>
      </c>
      <c r="AQ21" s="380"/>
      <c r="AR21" s="253">
        <v>0</v>
      </c>
      <c r="AS21" s="380"/>
      <c r="AT21" s="253">
        <v>0</v>
      </c>
      <c r="AU21" s="380"/>
      <c r="AV21" s="253">
        <v>0</v>
      </c>
      <c r="AW21" s="380"/>
      <c r="AX21" s="253">
        <v>0</v>
      </c>
      <c r="AY21" s="380"/>
      <c r="AZ21" s="253">
        <v>0</v>
      </c>
      <c r="BA21" s="380"/>
      <c r="BB21" s="253">
        <v>0</v>
      </c>
      <c r="BC21" s="380"/>
      <c r="BD21" s="253">
        <v>0</v>
      </c>
      <c r="BE21" s="380"/>
      <c r="BF21" s="253">
        <v>0</v>
      </c>
      <c r="BG21" s="380"/>
      <c r="BH21" s="253"/>
      <c r="BI21" s="254"/>
      <c r="CJ21" s="150"/>
      <c r="CK21" s="150"/>
      <c r="CL21" s="150"/>
      <c r="CM21" s="151"/>
      <c r="CN21" s="150"/>
      <c r="CO21" s="150"/>
      <c r="CP21" s="150"/>
      <c r="CQ21" s="150"/>
      <c r="CR21" s="150"/>
      <c r="CS21" s="150"/>
      <c r="CT21" s="150"/>
    </row>
    <row r="22" spans="1:98" s="12" customFormat="1" ht="12.75" customHeight="1">
      <c r="A22" s="310"/>
      <c r="B22" s="308" t="str">
        <f>Parameters!Q21</f>
        <v>C22</v>
      </c>
      <c r="C22" s="96"/>
      <c r="D22" s="495" t="str">
        <f>Parameters!S21</f>
        <v>Manufacture of rubber and plastic products</v>
      </c>
      <c r="E22" s="496"/>
      <c r="F22" s="224"/>
      <c r="G22" s="379"/>
      <c r="H22" s="228"/>
      <c r="I22" s="379"/>
      <c r="J22" s="228"/>
      <c r="K22" s="379"/>
      <c r="L22" s="228"/>
      <c r="M22" s="379"/>
      <c r="N22" s="228"/>
      <c r="O22" s="379"/>
      <c r="P22" s="228"/>
      <c r="Q22" s="379"/>
      <c r="R22" s="228"/>
      <c r="S22" s="379"/>
      <c r="T22" s="228"/>
      <c r="U22" s="379"/>
      <c r="V22" s="228"/>
      <c r="W22" s="379"/>
      <c r="X22" s="228"/>
      <c r="Y22" s="379"/>
      <c r="Z22" s="228"/>
      <c r="AA22" s="379"/>
      <c r="AB22" s="228"/>
      <c r="AC22" s="379"/>
      <c r="AD22" s="228"/>
      <c r="AE22" s="379"/>
      <c r="AF22" s="167">
        <v>0</v>
      </c>
      <c r="AG22" s="379"/>
      <c r="AH22" s="167">
        <v>0</v>
      </c>
      <c r="AI22" s="379"/>
      <c r="AJ22" s="167">
        <v>0</v>
      </c>
      <c r="AK22" s="379"/>
      <c r="AL22" s="167">
        <v>0</v>
      </c>
      <c r="AM22" s="379"/>
      <c r="AN22" s="167">
        <v>0</v>
      </c>
      <c r="AO22" s="379"/>
      <c r="AP22" s="167">
        <v>0</v>
      </c>
      <c r="AQ22" s="379"/>
      <c r="AR22" s="167">
        <v>0</v>
      </c>
      <c r="AS22" s="379"/>
      <c r="AT22" s="167">
        <v>0</v>
      </c>
      <c r="AU22" s="379"/>
      <c r="AV22" s="165">
        <v>0</v>
      </c>
      <c r="AW22" s="379"/>
      <c r="AX22" s="165">
        <v>0</v>
      </c>
      <c r="AY22" s="379"/>
      <c r="AZ22" s="165">
        <v>0</v>
      </c>
      <c r="BA22" s="379"/>
      <c r="BB22" s="165">
        <v>0</v>
      </c>
      <c r="BC22" s="379"/>
      <c r="BD22" s="165">
        <v>0</v>
      </c>
      <c r="BE22" s="379"/>
      <c r="BF22" s="165">
        <v>0</v>
      </c>
      <c r="BG22" s="379"/>
      <c r="BH22" s="225"/>
      <c r="BI22" s="184"/>
      <c r="CJ22" s="150"/>
      <c r="CK22" s="150"/>
      <c r="CL22" s="150"/>
      <c r="CM22" s="151" t="s">
        <v>739</v>
      </c>
      <c r="CN22" s="150" t="s">
        <v>1130</v>
      </c>
      <c r="CO22" s="150"/>
      <c r="CP22" s="150"/>
      <c r="CQ22" s="150"/>
      <c r="CR22" s="150"/>
      <c r="CS22" s="150"/>
      <c r="CT22" s="150"/>
    </row>
    <row r="23" spans="1:98" s="12" customFormat="1" ht="12.75" customHeight="1">
      <c r="A23" s="310"/>
      <c r="B23" s="308" t="str">
        <f>Parameters!Q22</f>
        <v>C23</v>
      </c>
      <c r="C23" s="96"/>
      <c r="D23" s="495" t="str">
        <f>Parameters!S22</f>
        <v>Manufacture of other non-metallic mineral products</v>
      </c>
      <c r="E23" s="510"/>
      <c r="F23" s="224"/>
      <c r="G23" s="379"/>
      <c r="H23" s="228"/>
      <c r="I23" s="379"/>
      <c r="J23" s="228"/>
      <c r="K23" s="379"/>
      <c r="L23" s="228"/>
      <c r="M23" s="379"/>
      <c r="N23" s="228"/>
      <c r="O23" s="379"/>
      <c r="P23" s="228"/>
      <c r="Q23" s="379"/>
      <c r="R23" s="228"/>
      <c r="S23" s="379"/>
      <c r="T23" s="228"/>
      <c r="U23" s="379"/>
      <c r="V23" s="228"/>
      <c r="W23" s="379"/>
      <c r="X23" s="228"/>
      <c r="Y23" s="379"/>
      <c r="Z23" s="228"/>
      <c r="AA23" s="379"/>
      <c r="AB23" s="228"/>
      <c r="AC23" s="379"/>
      <c r="AD23" s="228"/>
      <c r="AE23" s="379"/>
      <c r="AF23" s="167">
        <v>0</v>
      </c>
      <c r="AG23" s="379"/>
      <c r="AH23" s="167">
        <v>0</v>
      </c>
      <c r="AI23" s="379"/>
      <c r="AJ23" s="167">
        <v>0</v>
      </c>
      <c r="AK23" s="379"/>
      <c r="AL23" s="167">
        <v>0</v>
      </c>
      <c r="AM23" s="379"/>
      <c r="AN23" s="167">
        <v>0</v>
      </c>
      <c r="AO23" s="379"/>
      <c r="AP23" s="167">
        <v>0</v>
      </c>
      <c r="AQ23" s="379"/>
      <c r="AR23" s="167">
        <v>0</v>
      </c>
      <c r="AS23" s="379"/>
      <c r="AT23" s="167">
        <v>0</v>
      </c>
      <c r="AU23" s="379"/>
      <c r="AV23" s="165">
        <v>0</v>
      </c>
      <c r="AW23" s="379"/>
      <c r="AX23" s="165">
        <v>0</v>
      </c>
      <c r="AY23" s="379"/>
      <c r="AZ23" s="165">
        <v>0</v>
      </c>
      <c r="BA23" s="379"/>
      <c r="BB23" s="165">
        <v>0</v>
      </c>
      <c r="BC23" s="379"/>
      <c r="BD23" s="165">
        <v>0</v>
      </c>
      <c r="BE23" s="379"/>
      <c r="BF23" s="165">
        <v>0</v>
      </c>
      <c r="BG23" s="379"/>
      <c r="BH23" s="225"/>
      <c r="BI23" s="184"/>
      <c r="CJ23" s="150"/>
      <c r="CK23" s="150"/>
      <c r="CL23" s="150"/>
      <c r="CM23" s="151" t="s">
        <v>743</v>
      </c>
      <c r="CN23" s="150" t="s">
        <v>1130</v>
      </c>
      <c r="CO23" s="150"/>
      <c r="CP23" s="150"/>
      <c r="CQ23" s="150"/>
      <c r="CR23" s="150"/>
      <c r="CS23" s="150"/>
      <c r="CT23" s="150"/>
    </row>
    <row r="24" spans="1:98" s="12" customFormat="1" ht="24.75" customHeight="1">
      <c r="A24" s="26"/>
      <c r="B24" s="89" t="str">
        <f>Parameters!Q23</f>
        <v>C24_C25</v>
      </c>
      <c r="C24" s="90"/>
      <c r="D24" s="504" t="str">
        <f>Parameters!S23</f>
        <v>Manufacture of basic metals and fabricated metal products, except machinery and equipment</v>
      </c>
      <c r="E24" s="506"/>
      <c r="F24" s="252"/>
      <c r="G24" s="380"/>
      <c r="H24" s="253"/>
      <c r="I24" s="380"/>
      <c r="J24" s="253"/>
      <c r="K24" s="380"/>
      <c r="L24" s="253"/>
      <c r="M24" s="380"/>
      <c r="N24" s="253"/>
      <c r="O24" s="380"/>
      <c r="P24" s="253"/>
      <c r="Q24" s="380"/>
      <c r="R24" s="253"/>
      <c r="S24" s="380"/>
      <c r="T24" s="253"/>
      <c r="U24" s="380"/>
      <c r="V24" s="253"/>
      <c r="W24" s="380"/>
      <c r="X24" s="253"/>
      <c r="Y24" s="380"/>
      <c r="Z24" s="253"/>
      <c r="AA24" s="380"/>
      <c r="AB24" s="253"/>
      <c r="AC24" s="380"/>
      <c r="AD24" s="253"/>
      <c r="AE24" s="380"/>
      <c r="AF24" s="253">
        <v>0</v>
      </c>
      <c r="AG24" s="380"/>
      <c r="AH24" s="253">
        <v>0</v>
      </c>
      <c r="AI24" s="380"/>
      <c r="AJ24" s="253">
        <v>0</v>
      </c>
      <c r="AK24" s="380"/>
      <c r="AL24" s="253">
        <v>0</v>
      </c>
      <c r="AM24" s="380"/>
      <c r="AN24" s="253">
        <v>0</v>
      </c>
      <c r="AO24" s="380"/>
      <c r="AP24" s="253">
        <v>0</v>
      </c>
      <c r="AQ24" s="380"/>
      <c r="AR24" s="253">
        <v>0</v>
      </c>
      <c r="AS24" s="380"/>
      <c r="AT24" s="253">
        <v>0</v>
      </c>
      <c r="AU24" s="380"/>
      <c r="AV24" s="253">
        <v>0</v>
      </c>
      <c r="AW24" s="380"/>
      <c r="AX24" s="253">
        <v>0</v>
      </c>
      <c r="AY24" s="380"/>
      <c r="AZ24" s="253">
        <v>0</v>
      </c>
      <c r="BA24" s="380"/>
      <c r="BB24" s="253">
        <v>0</v>
      </c>
      <c r="BC24" s="380"/>
      <c r="BD24" s="253">
        <v>0</v>
      </c>
      <c r="BE24" s="380"/>
      <c r="BF24" s="253">
        <v>0</v>
      </c>
      <c r="BG24" s="380"/>
      <c r="BH24" s="253"/>
      <c r="BI24" s="254"/>
      <c r="CJ24" s="150"/>
      <c r="CK24" s="150"/>
      <c r="CL24" s="150"/>
      <c r="CM24" s="151"/>
      <c r="CN24" s="150"/>
      <c r="CO24" s="150"/>
      <c r="CP24" s="150"/>
      <c r="CQ24" s="150"/>
      <c r="CR24" s="150"/>
      <c r="CS24" s="150"/>
      <c r="CT24" s="150"/>
    </row>
    <row r="25" spans="1:98" s="12" customFormat="1" ht="12.75" customHeight="1">
      <c r="A25" s="310"/>
      <c r="B25" s="308" t="str">
        <f>Parameters!Q24</f>
        <v>C24</v>
      </c>
      <c r="C25" s="96"/>
      <c r="D25" s="495" t="str">
        <f>Parameters!S24</f>
        <v>Manufacture of basic metals</v>
      </c>
      <c r="E25" s="496"/>
      <c r="F25" s="224"/>
      <c r="G25" s="379"/>
      <c r="H25" s="228"/>
      <c r="I25" s="379"/>
      <c r="J25" s="228"/>
      <c r="K25" s="379"/>
      <c r="L25" s="228"/>
      <c r="M25" s="379"/>
      <c r="N25" s="228"/>
      <c r="O25" s="379"/>
      <c r="P25" s="228"/>
      <c r="Q25" s="379"/>
      <c r="R25" s="228"/>
      <c r="S25" s="379"/>
      <c r="T25" s="228"/>
      <c r="U25" s="379"/>
      <c r="V25" s="228"/>
      <c r="W25" s="379"/>
      <c r="X25" s="228"/>
      <c r="Y25" s="379"/>
      <c r="Z25" s="228"/>
      <c r="AA25" s="379"/>
      <c r="AB25" s="228"/>
      <c r="AC25" s="379"/>
      <c r="AD25" s="228"/>
      <c r="AE25" s="379"/>
      <c r="AF25" s="167">
        <v>0</v>
      </c>
      <c r="AG25" s="379"/>
      <c r="AH25" s="167">
        <v>0</v>
      </c>
      <c r="AI25" s="379"/>
      <c r="AJ25" s="167">
        <v>0</v>
      </c>
      <c r="AK25" s="379"/>
      <c r="AL25" s="167">
        <v>0</v>
      </c>
      <c r="AM25" s="379"/>
      <c r="AN25" s="167">
        <v>0</v>
      </c>
      <c r="AO25" s="379"/>
      <c r="AP25" s="167">
        <v>0</v>
      </c>
      <c r="AQ25" s="379"/>
      <c r="AR25" s="167">
        <v>0</v>
      </c>
      <c r="AS25" s="379"/>
      <c r="AT25" s="167">
        <v>0</v>
      </c>
      <c r="AU25" s="379"/>
      <c r="AV25" s="165">
        <v>0</v>
      </c>
      <c r="AW25" s="379"/>
      <c r="AX25" s="165">
        <v>0</v>
      </c>
      <c r="AY25" s="379"/>
      <c r="AZ25" s="165">
        <v>0</v>
      </c>
      <c r="BA25" s="379"/>
      <c r="BB25" s="165">
        <v>0</v>
      </c>
      <c r="BC25" s="379"/>
      <c r="BD25" s="165">
        <v>0</v>
      </c>
      <c r="BE25" s="379"/>
      <c r="BF25" s="165">
        <v>0</v>
      </c>
      <c r="BG25" s="379"/>
      <c r="BH25" s="225"/>
      <c r="BI25" s="184"/>
      <c r="CJ25" s="150"/>
      <c r="CK25" s="150"/>
      <c r="CL25" s="150"/>
      <c r="CM25" s="151" t="s">
        <v>749</v>
      </c>
      <c r="CN25" s="150" t="s">
        <v>1130</v>
      </c>
      <c r="CO25" s="150"/>
      <c r="CP25" s="150"/>
      <c r="CQ25" s="150"/>
      <c r="CR25" s="150"/>
      <c r="CS25" s="150"/>
      <c r="CT25" s="150"/>
    </row>
    <row r="26" spans="1:98" s="11" customFormat="1" ht="12.75" customHeight="1">
      <c r="A26" s="310"/>
      <c r="B26" s="308" t="str">
        <f>Parameters!Q25</f>
        <v>C25</v>
      </c>
      <c r="C26" s="309"/>
      <c r="D26" s="495" t="str">
        <f>Parameters!S25</f>
        <v>Manufacture of fabricated metal products, except machinery and equipment</v>
      </c>
      <c r="E26" s="510"/>
      <c r="F26" s="224"/>
      <c r="G26" s="379"/>
      <c r="H26" s="225"/>
      <c r="I26" s="379"/>
      <c r="J26" s="225"/>
      <c r="K26" s="379"/>
      <c r="L26" s="225"/>
      <c r="M26" s="379"/>
      <c r="N26" s="225"/>
      <c r="O26" s="379"/>
      <c r="P26" s="225"/>
      <c r="Q26" s="379"/>
      <c r="R26" s="225"/>
      <c r="S26" s="379"/>
      <c r="T26" s="225"/>
      <c r="U26" s="379"/>
      <c r="V26" s="225"/>
      <c r="W26" s="379"/>
      <c r="X26" s="225"/>
      <c r="Y26" s="379"/>
      <c r="Z26" s="225"/>
      <c r="AA26" s="379"/>
      <c r="AB26" s="225"/>
      <c r="AC26" s="379"/>
      <c r="AD26" s="225"/>
      <c r="AE26" s="379"/>
      <c r="AF26" s="165">
        <v>0</v>
      </c>
      <c r="AG26" s="379"/>
      <c r="AH26" s="165">
        <v>0</v>
      </c>
      <c r="AI26" s="379"/>
      <c r="AJ26" s="165">
        <v>0</v>
      </c>
      <c r="AK26" s="379"/>
      <c r="AL26" s="165">
        <v>0</v>
      </c>
      <c r="AM26" s="379"/>
      <c r="AN26" s="165">
        <v>0</v>
      </c>
      <c r="AO26" s="379"/>
      <c r="AP26" s="165">
        <v>0</v>
      </c>
      <c r="AQ26" s="379"/>
      <c r="AR26" s="165">
        <v>0</v>
      </c>
      <c r="AS26" s="379"/>
      <c r="AT26" s="165">
        <v>0</v>
      </c>
      <c r="AU26" s="379"/>
      <c r="AV26" s="165">
        <v>0</v>
      </c>
      <c r="AW26" s="379"/>
      <c r="AX26" s="165">
        <v>0</v>
      </c>
      <c r="AY26" s="379"/>
      <c r="AZ26" s="165">
        <v>0</v>
      </c>
      <c r="BA26" s="379"/>
      <c r="BB26" s="165">
        <v>0</v>
      </c>
      <c r="BC26" s="379"/>
      <c r="BD26" s="165">
        <v>0</v>
      </c>
      <c r="BE26" s="379"/>
      <c r="BF26" s="165">
        <v>0</v>
      </c>
      <c r="BG26" s="379"/>
      <c r="BH26" s="225"/>
      <c r="BI26" s="184"/>
      <c r="CJ26" s="150"/>
      <c r="CK26" s="150"/>
      <c r="CL26" s="150"/>
      <c r="CM26" s="151" t="s">
        <v>753</v>
      </c>
      <c r="CN26" s="150" t="s">
        <v>1130</v>
      </c>
      <c r="CO26" s="150"/>
      <c r="CP26" s="150"/>
      <c r="CQ26" s="150"/>
      <c r="CR26" s="150"/>
      <c r="CS26" s="150"/>
      <c r="CT26" s="150"/>
    </row>
    <row r="27" spans="1:98" s="11" customFormat="1" ht="12.75" customHeight="1">
      <c r="A27" s="26"/>
      <c r="B27" s="89" t="str">
        <f>Parameters!Q26</f>
        <v>C26</v>
      </c>
      <c r="C27" s="90"/>
      <c r="D27" s="504" t="str">
        <f>Parameters!S26</f>
        <v>Manufacture of computer, electronic and optical products</v>
      </c>
      <c r="E27" s="505"/>
      <c r="F27" s="226"/>
      <c r="G27" s="379"/>
      <c r="H27" s="227"/>
      <c r="I27" s="379"/>
      <c r="J27" s="227"/>
      <c r="K27" s="379"/>
      <c r="L27" s="227"/>
      <c r="M27" s="379"/>
      <c r="N27" s="227"/>
      <c r="O27" s="379"/>
      <c r="P27" s="227"/>
      <c r="Q27" s="379"/>
      <c r="R27" s="227"/>
      <c r="S27" s="379"/>
      <c r="T27" s="227"/>
      <c r="U27" s="379"/>
      <c r="V27" s="227"/>
      <c r="W27" s="379"/>
      <c r="X27" s="227"/>
      <c r="Y27" s="379"/>
      <c r="Z27" s="227"/>
      <c r="AA27" s="379"/>
      <c r="AB27" s="227"/>
      <c r="AC27" s="379"/>
      <c r="AD27" s="227"/>
      <c r="AE27" s="379"/>
      <c r="AF27" s="166">
        <v>1175</v>
      </c>
      <c r="AG27" s="379"/>
      <c r="AH27" s="166">
        <v>1175</v>
      </c>
      <c r="AI27" s="379"/>
      <c r="AJ27" s="166">
        <v>1175</v>
      </c>
      <c r="AK27" s="379"/>
      <c r="AL27" s="166">
        <v>1175</v>
      </c>
      <c r="AM27" s="379"/>
      <c r="AN27" s="166">
        <v>1175</v>
      </c>
      <c r="AO27" s="379"/>
      <c r="AP27" s="166">
        <v>1175</v>
      </c>
      <c r="AQ27" s="379"/>
      <c r="AR27" s="166">
        <v>1175</v>
      </c>
      <c r="AS27" s="379"/>
      <c r="AT27" s="166">
        <v>1175</v>
      </c>
      <c r="AU27" s="379"/>
      <c r="AV27" s="166">
        <v>1175</v>
      </c>
      <c r="AW27" s="379"/>
      <c r="AX27" s="166">
        <v>1175</v>
      </c>
      <c r="AY27" s="379"/>
      <c r="AZ27" s="166">
        <v>1175</v>
      </c>
      <c r="BA27" s="379"/>
      <c r="BB27" s="166">
        <v>1175</v>
      </c>
      <c r="BC27" s="379"/>
      <c r="BD27" s="166">
        <v>1175</v>
      </c>
      <c r="BE27" s="379"/>
      <c r="BF27" s="166">
        <v>1175</v>
      </c>
      <c r="BG27" s="379"/>
      <c r="BH27" s="227"/>
      <c r="BI27" s="184"/>
      <c r="CJ27" s="150"/>
      <c r="CK27" s="150"/>
      <c r="CL27" s="150"/>
      <c r="CM27" s="151" t="s">
        <v>760</v>
      </c>
      <c r="CN27" s="150" t="s">
        <v>1130</v>
      </c>
      <c r="CO27" s="150"/>
      <c r="CP27" s="150"/>
      <c r="CQ27" s="150"/>
      <c r="CR27" s="150"/>
      <c r="CS27" s="150"/>
      <c r="CT27" s="150"/>
    </row>
    <row r="28" spans="1:98" s="12" customFormat="1" ht="12.75" customHeight="1">
      <c r="A28" s="26"/>
      <c r="B28" s="89" t="str">
        <f>Parameters!Q27</f>
        <v>C27</v>
      </c>
      <c r="C28" s="90"/>
      <c r="D28" s="504" t="str">
        <f>Parameters!S27</f>
        <v>Manufacture of electrical equipment</v>
      </c>
      <c r="E28" s="505"/>
      <c r="F28" s="226"/>
      <c r="G28" s="379"/>
      <c r="H28" s="227"/>
      <c r="I28" s="379"/>
      <c r="J28" s="227"/>
      <c r="K28" s="379"/>
      <c r="L28" s="227"/>
      <c r="M28" s="379"/>
      <c r="N28" s="227"/>
      <c r="O28" s="379"/>
      <c r="P28" s="227"/>
      <c r="Q28" s="379"/>
      <c r="R28" s="227"/>
      <c r="S28" s="379"/>
      <c r="T28" s="227"/>
      <c r="U28" s="379"/>
      <c r="V28" s="227"/>
      <c r="W28" s="379"/>
      <c r="X28" s="227"/>
      <c r="Y28" s="379"/>
      <c r="Z28" s="227"/>
      <c r="AA28" s="379"/>
      <c r="AB28" s="227"/>
      <c r="AC28" s="379"/>
      <c r="AD28" s="227"/>
      <c r="AE28" s="379"/>
      <c r="AF28" s="166">
        <v>0</v>
      </c>
      <c r="AG28" s="379"/>
      <c r="AH28" s="166">
        <v>0</v>
      </c>
      <c r="AI28" s="379"/>
      <c r="AJ28" s="166">
        <v>0</v>
      </c>
      <c r="AK28" s="379"/>
      <c r="AL28" s="166">
        <v>0</v>
      </c>
      <c r="AM28" s="379"/>
      <c r="AN28" s="166">
        <v>0</v>
      </c>
      <c r="AO28" s="379"/>
      <c r="AP28" s="166">
        <v>0</v>
      </c>
      <c r="AQ28" s="379"/>
      <c r="AR28" s="166">
        <v>0</v>
      </c>
      <c r="AS28" s="379"/>
      <c r="AT28" s="166">
        <v>0</v>
      </c>
      <c r="AU28" s="379"/>
      <c r="AV28" s="166">
        <v>0</v>
      </c>
      <c r="AW28" s="379"/>
      <c r="AX28" s="166">
        <v>0</v>
      </c>
      <c r="AY28" s="379"/>
      <c r="AZ28" s="166">
        <v>0</v>
      </c>
      <c r="BA28" s="379"/>
      <c r="BB28" s="166">
        <v>0</v>
      </c>
      <c r="BC28" s="379"/>
      <c r="BD28" s="166">
        <v>0</v>
      </c>
      <c r="BE28" s="379"/>
      <c r="BF28" s="166">
        <v>0</v>
      </c>
      <c r="BG28" s="379"/>
      <c r="BH28" s="227"/>
      <c r="BI28" s="184"/>
      <c r="CJ28" s="150"/>
      <c r="CK28" s="150"/>
      <c r="CL28" s="150"/>
      <c r="CM28" s="151" t="s">
        <v>763</v>
      </c>
      <c r="CN28" s="150" t="s">
        <v>1130</v>
      </c>
      <c r="CO28" s="150"/>
      <c r="CP28" s="150"/>
      <c r="CQ28" s="150"/>
      <c r="CR28" s="150"/>
      <c r="CS28" s="150"/>
      <c r="CT28" s="150"/>
    </row>
    <row r="29" spans="1:98" s="12" customFormat="1" ht="12.75" customHeight="1">
      <c r="A29" s="26"/>
      <c r="B29" s="89" t="str">
        <f>Parameters!Q28</f>
        <v>C28</v>
      </c>
      <c r="C29" s="90"/>
      <c r="D29" s="504" t="str">
        <f>Parameters!S28</f>
        <v>Manufacture of machinery and equipment n.e.c.</v>
      </c>
      <c r="E29" s="505"/>
      <c r="F29" s="226"/>
      <c r="G29" s="379"/>
      <c r="H29" s="227"/>
      <c r="I29" s="379"/>
      <c r="J29" s="227"/>
      <c r="K29" s="379"/>
      <c r="L29" s="227"/>
      <c r="M29" s="379"/>
      <c r="N29" s="227"/>
      <c r="O29" s="379"/>
      <c r="P29" s="227"/>
      <c r="Q29" s="379"/>
      <c r="R29" s="227"/>
      <c r="S29" s="379"/>
      <c r="T29" s="227"/>
      <c r="U29" s="379"/>
      <c r="V29" s="227"/>
      <c r="W29" s="379"/>
      <c r="X29" s="227"/>
      <c r="Y29" s="379"/>
      <c r="Z29" s="227"/>
      <c r="AA29" s="379"/>
      <c r="AB29" s="227"/>
      <c r="AC29" s="379"/>
      <c r="AD29" s="227"/>
      <c r="AE29" s="379"/>
      <c r="AF29" s="166">
        <v>0</v>
      </c>
      <c r="AG29" s="379"/>
      <c r="AH29" s="166">
        <v>0</v>
      </c>
      <c r="AI29" s="379"/>
      <c r="AJ29" s="166">
        <v>0</v>
      </c>
      <c r="AK29" s="379"/>
      <c r="AL29" s="166">
        <v>0</v>
      </c>
      <c r="AM29" s="379"/>
      <c r="AN29" s="166">
        <v>0</v>
      </c>
      <c r="AO29" s="379"/>
      <c r="AP29" s="166">
        <v>0</v>
      </c>
      <c r="AQ29" s="379"/>
      <c r="AR29" s="166">
        <v>0</v>
      </c>
      <c r="AS29" s="379"/>
      <c r="AT29" s="166">
        <v>0</v>
      </c>
      <c r="AU29" s="379"/>
      <c r="AV29" s="166">
        <v>0</v>
      </c>
      <c r="AW29" s="379"/>
      <c r="AX29" s="166">
        <v>0</v>
      </c>
      <c r="AY29" s="379"/>
      <c r="AZ29" s="166">
        <v>0</v>
      </c>
      <c r="BA29" s="379"/>
      <c r="BB29" s="166">
        <v>0</v>
      </c>
      <c r="BC29" s="379"/>
      <c r="BD29" s="166">
        <v>0</v>
      </c>
      <c r="BE29" s="379"/>
      <c r="BF29" s="166">
        <v>0</v>
      </c>
      <c r="BG29" s="379"/>
      <c r="BH29" s="227"/>
      <c r="BI29" s="184"/>
      <c r="CJ29" s="150"/>
      <c r="CK29" s="150"/>
      <c r="CL29" s="150"/>
      <c r="CM29" s="151" t="s">
        <v>768</v>
      </c>
      <c r="CN29" s="150" t="s">
        <v>1130</v>
      </c>
      <c r="CO29" s="150"/>
      <c r="CP29" s="150"/>
      <c r="CQ29" s="150"/>
      <c r="CR29" s="150"/>
      <c r="CS29" s="150"/>
      <c r="CT29" s="150"/>
    </row>
    <row r="30" spans="1:98" s="12" customFormat="1" ht="12.75" customHeight="1">
      <c r="A30" s="26"/>
      <c r="B30" s="89" t="str">
        <f>Parameters!Q29</f>
        <v>C29_C30</v>
      </c>
      <c r="C30" s="90"/>
      <c r="D30" s="504" t="str">
        <f>Parameters!S29</f>
        <v>Manufacture of motor vehicles, trailers, semi-trailers and of other transport equipment</v>
      </c>
      <c r="E30" s="506"/>
      <c r="F30" s="252"/>
      <c r="G30" s="380"/>
      <c r="H30" s="253"/>
      <c r="I30" s="380"/>
      <c r="J30" s="253"/>
      <c r="K30" s="380"/>
      <c r="L30" s="253"/>
      <c r="M30" s="380"/>
      <c r="N30" s="253"/>
      <c r="O30" s="380"/>
      <c r="P30" s="253"/>
      <c r="Q30" s="380"/>
      <c r="R30" s="253"/>
      <c r="S30" s="380"/>
      <c r="T30" s="253"/>
      <c r="U30" s="380"/>
      <c r="V30" s="253"/>
      <c r="W30" s="380"/>
      <c r="X30" s="253"/>
      <c r="Y30" s="380"/>
      <c r="Z30" s="253"/>
      <c r="AA30" s="380"/>
      <c r="AB30" s="253"/>
      <c r="AC30" s="380"/>
      <c r="AD30" s="253"/>
      <c r="AE30" s="380"/>
      <c r="AF30" s="253">
        <v>0</v>
      </c>
      <c r="AG30" s="380"/>
      <c r="AH30" s="253">
        <v>0</v>
      </c>
      <c r="AI30" s="380"/>
      <c r="AJ30" s="253">
        <v>0</v>
      </c>
      <c r="AK30" s="380"/>
      <c r="AL30" s="253">
        <v>0</v>
      </c>
      <c r="AM30" s="380"/>
      <c r="AN30" s="253">
        <v>0</v>
      </c>
      <c r="AO30" s="380"/>
      <c r="AP30" s="253">
        <v>0</v>
      </c>
      <c r="AQ30" s="380"/>
      <c r="AR30" s="253">
        <v>0</v>
      </c>
      <c r="AS30" s="380"/>
      <c r="AT30" s="253">
        <v>0</v>
      </c>
      <c r="AU30" s="380"/>
      <c r="AV30" s="253">
        <v>0</v>
      </c>
      <c r="AW30" s="380"/>
      <c r="AX30" s="253">
        <v>0</v>
      </c>
      <c r="AY30" s="380"/>
      <c r="AZ30" s="253">
        <v>0</v>
      </c>
      <c r="BA30" s="380"/>
      <c r="BB30" s="253">
        <v>0</v>
      </c>
      <c r="BC30" s="380"/>
      <c r="BD30" s="253">
        <v>0</v>
      </c>
      <c r="BE30" s="380"/>
      <c r="BF30" s="253">
        <v>0</v>
      </c>
      <c r="BG30" s="380"/>
      <c r="BH30" s="253"/>
      <c r="BI30" s="254"/>
      <c r="CJ30" s="150"/>
      <c r="CK30" s="150"/>
      <c r="CL30" s="150"/>
      <c r="CM30" s="151"/>
      <c r="CN30" s="150"/>
      <c r="CO30" s="150"/>
      <c r="CP30" s="150"/>
      <c r="CQ30" s="150"/>
      <c r="CR30" s="150"/>
      <c r="CS30" s="150"/>
      <c r="CT30" s="150"/>
    </row>
    <row r="31" spans="1:98" s="12" customFormat="1" ht="12.75" customHeight="1">
      <c r="A31" s="310"/>
      <c r="B31" s="308" t="str">
        <f>Parameters!Q30</f>
        <v>C29</v>
      </c>
      <c r="C31" s="309"/>
      <c r="D31" s="495" t="str">
        <f>Parameters!S30</f>
        <v>Manufacture of motor vehicles, trailers and semi-trailers</v>
      </c>
      <c r="E31" s="496"/>
      <c r="F31" s="224"/>
      <c r="G31" s="379"/>
      <c r="H31" s="225"/>
      <c r="I31" s="379"/>
      <c r="J31" s="225"/>
      <c r="K31" s="379"/>
      <c r="L31" s="225"/>
      <c r="M31" s="379"/>
      <c r="N31" s="225"/>
      <c r="O31" s="379"/>
      <c r="P31" s="225"/>
      <c r="Q31" s="379"/>
      <c r="R31" s="225"/>
      <c r="S31" s="379"/>
      <c r="T31" s="225"/>
      <c r="U31" s="379"/>
      <c r="V31" s="225"/>
      <c r="W31" s="379"/>
      <c r="X31" s="225"/>
      <c r="Y31" s="379"/>
      <c r="Z31" s="225"/>
      <c r="AA31" s="379"/>
      <c r="AB31" s="225"/>
      <c r="AC31" s="379"/>
      <c r="AD31" s="225"/>
      <c r="AE31" s="379"/>
      <c r="AF31" s="165">
        <v>0</v>
      </c>
      <c r="AG31" s="379"/>
      <c r="AH31" s="165">
        <v>0</v>
      </c>
      <c r="AI31" s="379"/>
      <c r="AJ31" s="165">
        <v>0</v>
      </c>
      <c r="AK31" s="379"/>
      <c r="AL31" s="165">
        <v>0</v>
      </c>
      <c r="AM31" s="379"/>
      <c r="AN31" s="165">
        <v>0</v>
      </c>
      <c r="AO31" s="379"/>
      <c r="AP31" s="165">
        <v>0</v>
      </c>
      <c r="AQ31" s="379"/>
      <c r="AR31" s="165">
        <v>0</v>
      </c>
      <c r="AS31" s="379"/>
      <c r="AT31" s="165">
        <v>0</v>
      </c>
      <c r="AU31" s="379"/>
      <c r="AV31" s="165">
        <v>0</v>
      </c>
      <c r="AW31" s="379"/>
      <c r="AX31" s="165">
        <v>0</v>
      </c>
      <c r="AY31" s="379"/>
      <c r="AZ31" s="165">
        <v>0</v>
      </c>
      <c r="BA31" s="379"/>
      <c r="BB31" s="165">
        <v>0</v>
      </c>
      <c r="BC31" s="379"/>
      <c r="BD31" s="165">
        <v>0</v>
      </c>
      <c r="BE31" s="379"/>
      <c r="BF31" s="165">
        <v>0</v>
      </c>
      <c r="BG31" s="379"/>
      <c r="BH31" s="225"/>
      <c r="BI31" s="184"/>
      <c r="CJ31" s="150"/>
      <c r="CK31" s="150"/>
      <c r="CL31" s="150"/>
      <c r="CM31" s="151" t="s">
        <v>779</v>
      </c>
      <c r="CN31" s="150" t="s">
        <v>1130</v>
      </c>
      <c r="CO31" s="150"/>
      <c r="CP31" s="150"/>
      <c r="CQ31" s="150"/>
      <c r="CR31" s="150"/>
      <c r="CS31" s="150"/>
      <c r="CT31" s="150"/>
    </row>
    <row r="32" spans="1:98" s="12" customFormat="1" ht="12.75" customHeight="1">
      <c r="A32" s="310"/>
      <c r="B32" s="308" t="str">
        <f>Parameters!Q31</f>
        <v>C30</v>
      </c>
      <c r="C32" s="309"/>
      <c r="D32" s="495" t="str">
        <f>Parameters!S31</f>
        <v>Manufacture of other transport equipment</v>
      </c>
      <c r="E32" s="496"/>
      <c r="F32" s="224"/>
      <c r="G32" s="379"/>
      <c r="H32" s="225"/>
      <c r="I32" s="379"/>
      <c r="J32" s="225"/>
      <c r="K32" s="379"/>
      <c r="L32" s="225"/>
      <c r="M32" s="379"/>
      <c r="N32" s="225"/>
      <c r="O32" s="379"/>
      <c r="P32" s="225"/>
      <c r="Q32" s="379"/>
      <c r="R32" s="225"/>
      <c r="S32" s="379"/>
      <c r="T32" s="225"/>
      <c r="U32" s="379"/>
      <c r="V32" s="225"/>
      <c r="W32" s="379"/>
      <c r="X32" s="225"/>
      <c r="Y32" s="379"/>
      <c r="Z32" s="225"/>
      <c r="AA32" s="379"/>
      <c r="AB32" s="225"/>
      <c r="AC32" s="379"/>
      <c r="AD32" s="225"/>
      <c r="AE32" s="379"/>
      <c r="AF32" s="165">
        <v>0</v>
      </c>
      <c r="AG32" s="379"/>
      <c r="AH32" s="165">
        <v>0</v>
      </c>
      <c r="AI32" s="379"/>
      <c r="AJ32" s="165">
        <v>0</v>
      </c>
      <c r="AK32" s="379"/>
      <c r="AL32" s="165">
        <v>0</v>
      </c>
      <c r="AM32" s="379"/>
      <c r="AN32" s="165">
        <v>0</v>
      </c>
      <c r="AO32" s="379"/>
      <c r="AP32" s="165">
        <v>0</v>
      </c>
      <c r="AQ32" s="379"/>
      <c r="AR32" s="165">
        <v>0</v>
      </c>
      <c r="AS32" s="379"/>
      <c r="AT32" s="165">
        <v>0</v>
      </c>
      <c r="AU32" s="379"/>
      <c r="AV32" s="165">
        <v>0</v>
      </c>
      <c r="AW32" s="379"/>
      <c r="AX32" s="165">
        <v>0</v>
      </c>
      <c r="AY32" s="379"/>
      <c r="AZ32" s="165">
        <v>0</v>
      </c>
      <c r="BA32" s="379"/>
      <c r="BB32" s="165">
        <v>0</v>
      </c>
      <c r="BC32" s="379"/>
      <c r="BD32" s="165">
        <v>0</v>
      </c>
      <c r="BE32" s="379"/>
      <c r="BF32" s="165">
        <v>0</v>
      </c>
      <c r="BG32" s="379"/>
      <c r="BH32" s="225"/>
      <c r="BI32" s="184"/>
      <c r="CJ32" s="150"/>
      <c r="CK32" s="150"/>
      <c r="CL32" s="150"/>
      <c r="CM32" s="151" t="s">
        <v>788</v>
      </c>
      <c r="CN32" s="150" t="s">
        <v>1130</v>
      </c>
      <c r="CO32" s="150"/>
      <c r="CP32" s="150"/>
      <c r="CQ32" s="150"/>
      <c r="CR32" s="150"/>
      <c r="CS32" s="150"/>
      <c r="CT32" s="150"/>
    </row>
    <row r="33" spans="1:98" s="12" customFormat="1" ht="25.5" customHeight="1">
      <c r="A33" s="26"/>
      <c r="B33" s="89" t="str">
        <f>Parameters!Q32</f>
        <v>C31-C33</v>
      </c>
      <c r="C33" s="90"/>
      <c r="D33" s="504" t="str">
        <f>Parameters!S32</f>
        <v>Manufacture of furniture; jewellery, musical instruments, toys; repair and installation of machinery and equipment</v>
      </c>
      <c r="E33" s="506"/>
      <c r="F33" s="252"/>
      <c r="G33" s="380"/>
      <c r="H33" s="253"/>
      <c r="I33" s="380"/>
      <c r="J33" s="253"/>
      <c r="K33" s="380"/>
      <c r="L33" s="253"/>
      <c r="M33" s="380"/>
      <c r="N33" s="253"/>
      <c r="O33" s="380"/>
      <c r="P33" s="253"/>
      <c r="Q33" s="380"/>
      <c r="R33" s="253"/>
      <c r="S33" s="380"/>
      <c r="T33" s="253"/>
      <c r="U33" s="380"/>
      <c r="V33" s="253"/>
      <c r="W33" s="380"/>
      <c r="X33" s="253"/>
      <c r="Y33" s="380"/>
      <c r="Z33" s="253"/>
      <c r="AA33" s="380"/>
      <c r="AB33" s="253"/>
      <c r="AC33" s="380"/>
      <c r="AD33" s="253"/>
      <c r="AE33" s="380"/>
      <c r="AF33" s="253">
        <v>0</v>
      </c>
      <c r="AG33" s="380"/>
      <c r="AH33" s="253">
        <v>0</v>
      </c>
      <c r="AI33" s="380"/>
      <c r="AJ33" s="253">
        <v>0</v>
      </c>
      <c r="AK33" s="380"/>
      <c r="AL33" s="253">
        <v>0</v>
      </c>
      <c r="AM33" s="380"/>
      <c r="AN33" s="253">
        <v>0</v>
      </c>
      <c r="AO33" s="380"/>
      <c r="AP33" s="253">
        <v>0</v>
      </c>
      <c r="AQ33" s="380"/>
      <c r="AR33" s="253">
        <v>0</v>
      </c>
      <c r="AS33" s="380"/>
      <c r="AT33" s="253">
        <v>0</v>
      </c>
      <c r="AU33" s="380"/>
      <c r="AV33" s="253">
        <v>0</v>
      </c>
      <c r="AW33" s="380"/>
      <c r="AX33" s="253">
        <v>0</v>
      </c>
      <c r="AY33" s="380"/>
      <c r="AZ33" s="253">
        <v>0</v>
      </c>
      <c r="BA33" s="380"/>
      <c r="BB33" s="253">
        <v>0</v>
      </c>
      <c r="BC33" s="380"/>
      <c r="BD33" s="253">
        <v>0</v>
      </c>
      <c r="BE33" s="380"/>
      <c r="BF33" s="253">
        <v>0</v>
      </c>
      <c r="BG33" s="380"/>
      <c r="BH33" s="253"/>
      <c r="BI33" s="254"/>
      <c r="CJ33" s="150"/>
      <c r="CK33" s="150"/>
      <c r="CL33" s="150"/>
      <c r="CM33" s="151"/>
      <c r="CN33" s="150"/>
      <c r="CO33" s="150"/>
      <c r="CP33" s="150"/>
      <c r="CQ33" s="150"/>
      <c r="CR33" s="150"/>
      <c r="CS33" s="150"/>
      <c r="CT33" s="150"/>
    </row>
    <row r="34" spans="1:98" s="12" customFormat="1" ht="12.75" customHeight="1">
      <c r="A34" s="310"/>
      <c r="B34" s="308" t="str">
        <f>Parameters!Q33</f>
        <v>C31_C32</v>
      </c>
      <c r="C34" s="309"/>
      <c r="D34" s="495" t="str">
        <f>Parameters!S33</f>
        <v>Manufacture of furniture; other manufacturing</v>
      </c>
      <c r="E34" s="496"/>
      <c r="F34" s="224"/>
      <c r="G34" s="379"/>
      <c r="H34" s="225"/>
      <c r="I34" s="379"/>
      <c r="J34" s="225"/>
      <c r="K34" s="379"/>
      <c r="L34" s="225"/>
      <c r="M34" s="379"/>
      <c r="N34" s="225"/>
      <c r="O34" s="379"/>
      <c r="P34" s="225"/>
      <c r="Q34" s="379"/>
      <c r="R34" s="225"/>
      <c r="S34" s="379"/>
      <c r="T34" s="225"/>
      <c r="U34" s="379"/>
      <c r="V34" s="225"/>
      <c r="W34" s="379"/>
      <c r="X34" s="225"/>
      <c r="Y34" s="379"/>
      <c r="Z34" s="225"/>
      <c r="AA34" s="379"/>
      <c r="AB34" s="225"/>
      <c r="AC34" s="379"/>
      <c r="AD34" s="225"/>
      <c r="AE34" s="379"/>
      <c r="AF34" s="165">
        <v>0</v>
      </c>
      <c r="AG34" s="379"/>
      <c r="AH34" s="165">
        <v>0</v>
      </c>
      <c r="AI34" s="379"/>
      <c r="AJ34" s="165">
        <v>0</v>
      </c>
      <c r="AK34" s="379"/>
      <c r="AL34" s="165">
        <v>0</v>
      </c>
      <c r="AM34" s="379"/>
      <c r="AN34" s="165">
        <v>0</v>
      </c>
      <c r="AO34" s="379"/>
      <c r="AP34" s="165">
        <v>0</v>
      </c>
      <c r="AQ34" s="379"/>
      <c r="AR34" s="165">
        <v>0</v>
      </c>
      <c r="AS34" s="379"/>
      <c r="AT34" s="165">
        <v>0</v>
      </c>
      <c r="AU34" s="379"/>
      <c r="AV34" s="165">
        <v>0</v>
      </c>
      <c r="AW34" s="379"/>
      <c r="AX34" s="165">
        <v>0</v>
      </c>
      <c r="AY34" s="379"/>
      <c r="AZ34" s="165">
        <v>0</v>
      </c>
      <c r="BA34" s="379"/>
      <c r="BB34" s="165">
        <v>0</v>
      </c>
      <c r="BC34" s="379"/>
      <c r="BD34" s="165">
        <v>0</v>
      </c>
      <c r="BE34" s="379"/>
      <c r="BF34" s="165">
        <v>0</v>
      </c>
      <c r="BG34" s="379"/>
      <c r="BH34" s="225"/>
      <c r="BI34" s="184"/>
      <c r="CJ34" s="150"/>
      <c r="CK34" s="150"/>
      <c r="CL34" s="150"/>
      <c r="CM34" s="151" t="s">
        <v>1137</v>
      </c>
      <c r="CN34" s="150" t="s">
        <v>1130</v>
      </c>
      <c r="CO34" s="150"/>
      <c r="CP34" s="150"/>
      <c r="CQ34" s="150"/>
      <c r="CR34" s="150"/>
      <c r="CS34" s="150"/>
      <c r="CT34" s="150"/>
    </row>
    <row r="35" spans="1:98" s="11" customFormat="1" ht="12.75" customHeight="1">
      <c r="A35" s="310"/>
      <c r="B35" s="308" t="str">
        <f>Parameters!Q34</f>
        <v>C33</v>
      </c>
      <c r="C35" s="309"/>
      <c r="D35" s="495" t="str">
        <f>Parameters!S34</f>
        <v>Repair and installation of machinery and equipment</v>
      </c>
      <c r="E35" s="510"/>
      <c r="F35" s="224"/>
      <c r="G35" s="379"/>
      <c r="H35" s="225"/>
      <c r="I35" s="379"/>
      <c r="J35" s="225"/>
      <c r="K35" s="379"/>
      <c r="L35" s="225"/>
      <c r="M35" s="379"/>
      <c r="N35" s="225"/>
      <c r="O35" s="379"/>
      <c r="P35" s="225"/>
      <c r="Q35" s="379"/>
      <c r="R35" s="225"/>
      <c r="S35" s="379"/>
      <c r="T35" s="225"/>
      <c r="U35" s="379"/>
      <c r="V35" s="225"/>
      <c r="W35" s="379"/>
      <c r="X35" s="225"/>
      <c r="Y35" s="379"/>
      <c r="Z35" s="225"/>
      <c r="AA35" s="379"/>
      <c r="AB35" s="225"/>
      <c r="AC35" s="379"/>
      <c r="AD35" s="225"/>
      <c r="AE35" s="379"/>
      <c r="AF35" s="165">
        <v>0</v>
      </c>
      <c r="AG35" s="379"/>
      <c r="AH35" s="165">
        <v>0</v>
      </c>
      <c r="AI35" s="379"/>
      <c r="AJ35" s="165">
        <v>0</v>
      </c>
      <c r="AK35" s="379"/>
      <c r="AL35" s="165">
        <v>0</v>
      </c>
      <c r="AM35" s="379"/>
      <c r="AN35" s="165">
        <v>0</v>
      </c>
      <c r="AO35" s="379"/>
      <c r="AP35" s="165">
        <v>0</v>
      </c>
      <c r="AQ35" s="379"/>
      <c r="AR35" s="165">
        <v>0</v>
      </c>
      <c r="AS35" s="379"/>
      <c r="AT35" s="165">
        <v>0</v>
      </c>
      <c r="AU35" s="379"/>
      <c r="AV35" s="165">
        <v>0</v>
      </c>
      <c r="AW35" s="379"/>
      <c r="AX35" s="165">
        <v>0</v>
      </c>
      <c r="AY35" s="379"/>
      <c r="AZ35" s="165">
        <v>0</v>
      </c>
      <c r="BA35" s="379"/>
      <c r="BB35" s="165">
        <v>0</v>
      </c>
      <c r="BC35" s="379"/>
      <c r="BD35" s="165">
        <v>0</v>
      </c>
      <c r="BE35" s="379"/>
      <c r="BF35" s="165">
        <v>0</v>
      </c>
      <c r="BG35" s="379"/>
      <c r="BH35" s="225"/>
      <c r="BI35" s="184"/>
      <c r="CJ35" s="150"/>
      <c r="CK35" s="150"/>
      <c r="CL35" s="150"/>
      <c r="CM35" s="151" t="s">
        <v>810</v>
      </c>
      <c r="CN35" s="150" t="s">
        <v>1130</v>
      </c>
      <c r="CO35" s="150"/>
      <c r="CP35" s="150"/>
      <c r="CQ35" s="150"/>
      <c r="CR35" s="150"/>
      <c r="CS35" s="150"/>
      <c r="CT35" s="150"/>
    </row>
    <row r="36" spans="1:98" s="10" customFormat="1" ht="12.75" customHeight="1">
      <c r="A36" s="25"/>
      <c r="B36" s="87" t="str">
        <f>Parameters!Q35</f>
        <v>D</v>
      </c>
      <c r="C36" s="88"/>
      <c r="D36" s="498" t="str">
        <f>Parameters!S35</f>
        <v>Electricity, gas, steam and air conditioning supply</v>
      </c>
      <c r="E36" s="496"/>
      <c r="F36" s="222"/>
      <c r="G36" s="379"/>
      <c r="H36" s="223"/>
      <c r="I36" s="379"/>
      <c r="J36" s="223"/>
      <c r="K36" s="379"/>
      <c r="L36" s="223"/>
      <c r="M36" s="379"/>
      <c r="N36" s="223"/>
      <c r="O36" s="379"/>
      <c r="P36" s="223"/>
      <c r="Q36" s="379"/>
      <c r="R36" s="223"/>
      <c r="S36" s="379"/>
      <c r="T36" s="223"/>
      <c r="U36" s="379"/>
      <c r="V36" s="223"/>
      <c r="W36" s="379"/>
      <c r="X36" s="223"/>
      <c r="Y36" s="379"/>
      <c r="Z36" s="223"/>
      <c r="AA36" s="379"/>
      <c r="AB36" s="223"/>
      <c r="AC36" s="379"/>
      <c r="AD36" s="223"/>
      <c r="AE36" s="379"/>
      <c r="AF36" s="164">
        <v>49564.049914499999</v>
      </c>
      <c r="AG36" s="379"/>
      <c r="AH36" s="164">
        <v>44884.853642000002</v>
      </c>
      <c r="AI36" s="379"/>
      <c r="AJ36" s="164">
        <v>57634.539905500002</v>
      </c>
      <c r="AK36" s="379" t="s">
        <v>428</v>
      </c>
      <c r="AL36" s="164">
        <v>45289.691291000003</v>
      </c>
      <c r="AM36" s="379"/>
      <c r="AN36" s="164">
        <v>44319.142536500003</v>
      </c>
      <c r="AO36" s="379"/>
      <c r="AP36" s="164">
        <v>47260.852115000002</v>
      </c>
      <c r="AQ36" s="379"/>
      <c r="AR36" s="164">
        <v>40508.356757000001</v>
      </c>
      <c r="AS36" s="379"/>
      <c r="AT36" s="164">
        <v>39740.706885</v>
      </c>
      <c r="AU36" s="379"/>
      <c r="AV36" s="164">
        <v>33376.2892345</v>
      </c>
      <c r="AW36" s="379"/>
      <c r="AX36" s="164">
        <v>23642.968124999999</v>
      </c>
      <c r="AY36" s="379"/>
      <c r="AZ36" s="164">
        <v>26322.262862</v>
      </c>
      <c r="BA36" s="379"/>
      <c r="BB36" s="247">
        <v>41126.652684499997</v>
      </c>
      <c r="BC36" s="379" t="s">
        <v>476</v>
      </c>
      <c r="BD36" s="164">
        <v>47284.1855</v>
      </c>
      <c r="BE36" s="379"/>
      <c r="BF36" s="164">
        <v>34020.166745000002</v>
      </c>
      <c r="BG36" s="379"/>
      <c r="BH36" s="223"/>
      <c r="BI36" s="184"/>
      <c r="CJ36" s="150"/>
      <c r="CK36" s="150"/>
      <c r="CL36" s="150"/>
      <c r="CM36" s="151" t="s">
        <v>275</v>
      </c>
      <c r="CN36" s="150" t="s">
        <v>1130</v>
      </c>
      <c r="CO36" s="150"/>
      <c r="CP36" s="150"/>
      <c r="CQ36" s="150"/>
      <c r="CR36" s="150"/>
      <c r="CS36" s="150"/>
      <c r="CT36" s="150"/>
    </row>
    <row r="37" spans="1:98" s="10" customFormat="1">
      <c r="A37" s="25"/>
      <c r="B37" s="87" t="str">
        <f>Parameters!Q36</f>
        <v>E</v>
      </c>
      <c r="C37" s="88"/>
      <c r="D37" s="498" t="str">
        <f>Parameters!S36</f>
        <v>Water supply; sewerage, waste management and remediation activities</v>
      </c>
      <c r="E37" s="499"/>
      <c r="F37" s="222"/>
      <c r="G37" s="379"/>
      <c r="H37" s="223"/>
      <c r="I37" s="379"/>
      <c r="J37" s="223"/>
      <c r="K37" s="379"/>
      <c r="L37" s="223"/>
      <c r="M37" s="379"/>
      <c r="N37" s="223"/>
      <c r="O37" s="379"/>
      <c r="P37" s="223"/>
      <c r="Q37" s="379"/>
      <c r="R37" s="223"/>
      <c r="S37" s="379"/>
      <c r="T37" s="223"/>
      <c r="U37" s="379"/>
      <c r="V37" s="223"/>
      <c r="W37" s="379"/>
      <c r="X37" s="223"/>
      <c r="Y37" s="379"/>
      <c r="Z37" s="223"/>
      <c r="AA37" s="379"/>
      <c r="AB37" s="223"/>
      <c r="AC37" s="379"/>
      <c r="AD37" s="223"/>
      <c r="AE37" s="379"/>
      <c r="AF37" s="164">
        <v>0</v>
      </c>
      <c r="AG37" s="379"/>
      <c r="AH37" s="164">
        <v>0</v>
      </c>
      <c r="AI37" s="379"/>
      <c r="AJ37" s="164">
        <v>0</v>
      </c>
      <c r="AK37" s="379"/>
      <c r="AL37" s="164">
        <v>0</v>
      </c>
      <c r="AM37" s="379"/>
      <c r="AN37" s="164">
        <v>0</v>
      </c>
      <c r="AO37" s="379"/>
      <c r="AP37" s="164">
        <v>0</v>
      </c>
      <c r="AQ37" s="379"/>
      <c r="AR37" s="164">
        <v>0</v>
      </c>
      <c r="AS37" s="379"/>
      <c r="AT37" s="164">
        <v>0</v>
      </c>
      <c r="AU37" s="379"/>
      <c r="AV37" s="164">
        <v>0</v>
      </c>
      <c r="AW37" s="379"/>
      <c r="AX37" s="164">
        <v>0</v>
      </c>
      <c r="AY37" s="379"/>
      <c r="AZ37" s="164">
        <v>0</v>
      </c>
      <c r="BA37" s="379"/>
      <c r="BB37" s="164">
        <v>0</v>
      </c>
      <c r="BC37" s="379"/>
      <c r="BD37" s="164">
        <v>0</v>
      </c>
      <c r="BE37" s="379"/>
      <c r="BF37" s="164">
        <v>0</v>
      </c>
      <c r="BG37" s="379"/>
      <c r="BH37" s="223"/>
      <c r="BI37" s="184"/>
      <c r="CJ37" s="150"/>
      <c r="CK37" s="150"/>
      <c r="CL37" s="150"/>
      <c r="CM37" s="151" t="s">
        <v>269</v>
      </c>
      <c r="CN37" s="150" t="s">
        <v>1130</v>
      </c>
      <c r="CO37" s="150"/>
      <c r="CP37" s="150"/>
      <c r="CQ37" s="150"/>
      <c r="CR37" s="150"/>
      <c r="CS37" s="150"/>
      <c r="CT37" s="150"/>
    </row>
    <row r="38" spans="1:98" s="11" customFormat="1" ht="12.75" customHeight="1">
      <c r="A38" s="310"/>
      <c r="B38" s="308" t="str">
        <f>Parameters!Q37</f>
        <v>E36</v>
      </c>
      <c r="C38" s="309"/>
      <c r="D38" s="495" t="str">
        <f>Parameters!S37</f>
        <v>Water collection, treatment and supply</v>
      </c>
      <c r="E38" s="510"/>
      <c r="F38" s="224"/>
      <c r="G38" s="379"/>
      <c r="H38" s="225"/>
      <c r="I38" s="379"/>
      <c r="J38" s="225"/>
      <c r="K38" s="379"/>
      <c r="L38" s="225"/>
      <c r="M38" s="379"/>
      <c r="N38" s="225"/>
      <c r="O38" s="379"/>
      <c r="P38" s="225"/>
      <c r="Q38" s="379"/>
      <c r="R38" s="225"/>
      <c r="S38" s="379"/>
      <c r="T38" s="225"/>
      <c r="U38" s="379"/>
      <c r="V38" s="225"/>
      <c r="W38" s="379"/>
      <c r="X38" s="225"/>
      <c r="Y38" s="379"/>
      <c r="Z38" s="225"/>
      <c r="AA38" s="379"/>
      <c r="AB38" s="225"/>
      <c r="AC38" s="379"/>
      <c r="AD38" s="225"/>
      <c r="AE38" s="379"/>
      <c r="AF38" s="165">
        <v>0</v>
      </c>
      <c r="AG38" s="379"/>
      <c r="AH38" s="165">
        <v>0</v>
      </c>
      <c r="AI38" s="379"/>
      <c r="AJ38" s="165">
        <v>0</v>
      </c>
      <c r="AK38" s="379"/>
      <c r="AL38" s="165">
        <v>0</v>
      </c>
      <c r="AM38" s="379"/>
      <c r="AN38" s="165">
        <v>0</v>
      </c>
      <c r="AO38" s="379"/>
      <c r="AP38" s="165">
        <v>0</v>
      </c>
      <c r="AQ38" s="379"/>
      <c r="AR38" s="165">
        <v>0</v>
      </c>
      <c r="AS38" s="379"/>
      <c r="AT38" s="165">
        <v>0</v>
      </c>
      <c r="AU38" s="379"/>
      <c r="AV38" s="165">
        <v>0</v>
      </c>
      <c r="AW38" s="379"/>
      <c r="AX38" s="165">
        <v>0</v>
      </c>
      <c r="AY38" s="379"/>
      <c r="AZ38" s="165">
        <v>0</v>
      </c>
      <c r="BA38" s="379"/>
      <c r="BB38" s="165">
        <v>0</v>
      </c>
      <c r="BC38" s="379"/>
      <c r="BD38" s="165">
        <v>0</v>
      </c>
      <c r="BE38" s="379"/>
      <c r="BF38" s="165">
        <v>0</v>
      </c>
      <c r="BG38" s="379"/>
      <c r="BH38" s="225"/>
      <c r="BI38" s="184"/>
      <c r="CJ38" s="150"/>
      <c r="CK38" s="150"/>
      <c r="CL38" s="150"/>
      <c r="CM38" s="151" t="s">
        <v>824</v>
      </c>
      <c r="CN38" s="150" t="s">
        <v>1130</v>
      </c>
      <c r="CO38" s="150"/>
      <c r="CP38" s="150"/>
      <c r="CQ38" s="150"/>
      <c r="CR38" s="150"/>
      <c r="CS38" s="150"/>
      <c r="CT38" s="150"/>
    </row>
    <row r="39" spans="1:98" s="11" customFormat="1" ht="12.75" customHeight="1">
      <c r="A39" s="310"/>
      <c r="B39" s="308" t="str">
        <f>Parameters!Q38</f>
        <v>E37-E39</v>
      </c>
      <c r="C39" s="309"/>
      <c r="D39" s="495" t="str">
        <f>Parameters!S38</f>
        <v>Sewerage, waste management, remediation activities</v>
      </c>
      <c r="E39" s="510"/>
      <c r="F39" s="224"/>
      <c r="G39" s="379"/>
      <c r="H39" s="225"/>
      <c r="I39" s="379"/>
      <c r="J39" s="225"/>
      <c r="K39" s="379"/>
      <c r="L39" s="225"/>
      <c r="M39" s="379"/>
      <c r="N39" s="225"/>
      <c r="O39" s="379"/>
      <c r="P39" s="225"/>
      <c r="Q39" s="379"/>
      <c r="R39" s="225"/>
      <c r="S39" s="379"/>
      <c r="T39" s="225"/>
      <c r="U39" s="379"/>
      <c r="V39" s="225"/>
      <c r="W39" s="379"/>
      <c r="X39" s="225"/>
      <c r="Y39" s="379"/>
      <c r="Z39" s="225"/>
      <c r="AA39" s="379"/>
      <c r="AB39" s="225"/>
      <c r="AC39" s="379"/>
      <c r="AD39" s="225"/>
      <c r="AE39" s="379"/>
      <c r="AF39" s="165">
        <v>0</v>
      </c>
      <c r="AG39" s="379"/>
      <c r="AH39" s="165">
        <v>0</v>
      </c>
      <c r="AI39" s="379"/>
      <c r="AJ39" s="165">
        <v>0</v>
      </c>
      <c r="AK39" s="379"/>
      <c r="AL39" s="165">
        <v>0</v>
      </c>
      <c r="AM39" s="379"/>
      <c r="AN39" s="165">
        <v>0</v>
      </c>
      <c r="AO39" s="379"/>
      <c r="AP39" s="165">
        <v>0</v>
      </c>
      <c r="AQ39" s="379"/>
      <c r="AR39" s="165">
        <v>0</v>
      </c>
      <c r="AS39" s="379"/>
      <c r="AT39" s="165">
        <v>0</v>
      </c>
      <c r="AU39" s="379"/>
      <c r="AV39" s="165">
        <v>0</v>
      </c>
      <c r="AW39" s="379"/>
      <c r="AX39" s="165">
        <v>0</v>
      </c>
      <c r="AY39" s="379"/>
      <c r="AZ39" s="165">
        <v>0</v>
      </c>
      <c r="BA39" s="379"/>
      <c r="BB39" s="165">
        <v>0</v>
      </c>
      <c r="BC39" s="379"/>
      <c r="BD39" s="165">
        <v>0</v>
      </c>
      <c r="BE39" s="379"/>
      <c r="BF39" s="165">
        <v>0</v>
      </c>
      <c r="BG39" s="379"/>
      <c r="BH39" s="225"/>
      <c r="BI39" s="184"/>
      <c r="CJ39" s="150"/>
      <c r="CK39" s="150"/>
      <c r="CL39" s="150"/>
      <c r="CM39" s="151" t="s">
        <v>1138</v>
      </c>
      <c r="CN39" s="150" t="s">
        <v>1130</v>
      </c>
      <c r="CO39" s="150"/>
      <c r="CP39" s="150"/>
      <c r="CQ39" s="150"/>
      <c r="CR39" s="150"/>
      <c r="CS39" s="150"/>
      <c r="CT39" s="150"/>
    </row>
    <row r="40" spans="1:98" s="10" customFormat="1" ht="12.75" customHeight="1">
      <c r="A40" s="27"/>
      <c r="B40" s="87" t="str">
        <f>Parameters!Q39</f>
        <v>F</v>
      </c>
      <c r="C40" s="88"/>
      <c r="D40" s="498" t="str">
        <f>Parameters!S39</f>
        <v>Construction</v>
      </c>
      <c r="E40" s="496"/>
      <c r="F40" s="222"/>
      <c r="G40" s="379"/>
      <c r="H40" s="223"/>
      <c r="I40" s="379"/>
      <c r="J40" s="223"/>
      <c r="K40" s="379"/>
      <c r="L40" s="223"/>
      <c r="M40" s="379"/>
      <c r="N40" s="223"/>
      <c r="O40" s="379"/>
      <c r="P40" s="223"/>
      <c r="Q40" s="379"/>
      <c r="R40" s="223"/>
      <c r="S40" s="379"/>
      <c r="T40" s="223"/>
      <c r="U40" s="379"/>
      <c r="V40" s="223"/>
      <c r="W40" s="379"/>
      <c r="X40" s="223"/>
      <c r="Y40" s="379"/>
      <c r="Z40" s="223"/>
      <c r="AA40" s="379"/>
      <c r="AB40" s="223"/>
      <c r="AC40" s="379"/>
      <c r="AD40" s="223"/>
      <c r="AE40" s="379"/>
      <c r="AF40" s="164">
        <v>0</v>
      </c>
      <c r="AG40" s="379"/>
      <c r="AH40" s="164">
        <v>0</v>
      </c>
      <c r="AI40" s="379"/>
      <c r="AJ40" s="164">
        <v>0</v>
      </c>
      <c r="AK40" s="379"/>
      <c r="AL40" s="164">
        <v>0</v>
      </c>
      <c r="AM40" s="379"/>
      <c r="AN40" s="164">
        <v>0</v>
      </c>
      <c r="AO40" s="379"/>
      <c r="AP40" s="164">
        <v>0</v>
      </c>
      <c r="AQ40" s="379"/>
      <c r="AR40" s="164">
        <v>0</v>
      </c>
      <c r="AS40" s="379"/>
      <c r="AT40" s="164">
        <v>0</v>
      </c>
      <c r="AU40" s="379"/>
      <c r="AV40" s="164">
        <v>0</v>
      </c>
      <c r="AW40" s="379"/>
      <c r="AX40" s="164">
        <v>0</v>
      </c>
      <c r="AY40" s="379"/>
      <c r="AZ40" s="164">
        <v>0</v>
      </c>
      <c r="BA40" s="379"/>
      <c r="BB40" s="164">
        <v>0</v>
      </c>
      <c r="BC40" s="379"/>
      <c r="BD40" s="164">
        <v>0</v>
      </c>
      <c r="BE40" s="379"/>
      <c r="BF40" s="164">
        <v>0</v>
      </c>
      <c r="BG40" s="379"/>
      <c r="BH40" s="223"/>
      <c r="BI40" s="184"/>
      <c r="CJ40" s="150"/>
      <c r="CK40" s="150"/>
      <c r="CL40" s="150"/>
      <c r="CM40" s="151" t="s">
        <v>834</v>
      </c>
      <c r="CN40" s="150" t="s">
        <v>1130</v>
      </c>
      <c r="CO40" s="150"/>
      <c r="CP40" s="150"/>
      <c r="CQ40" s="150"/>
      <c r="CR40" s="150"/>
      <c r="CS40" s="150"/>
      <c r="CT40" s="150"/>
    </row>
    <row r="41" spans="1:98" s="10" customFormat="1">
      <c r="A41" s="25"/>
      <c r="B41" s="87" t="str">
        <f>Parameters!Q40</f>
        <v>G</v>
      </c>
      <c r="C41" s="88"/>
      <c r="D41" s="498" t="str">
        <f>Parameters!S40</f>
        <v>Wholesale and retail trade; repair of motor vehicles and motorcycles</v>
      </c>
      <c r="E41" s="499"/>
      <c r="F41" s="222"/>
      <c r="G41" s="379"/>
      <c r="H41" s="223"/>
      <c r="I41" s="379"/>
      <c r="J41" s="223"/>
      <c r="K41" s="379"/>
      <c r="L41" s="223"/>
      <c r="M41" s="379"/>
      <c r="N41" s="223"/>
      <c r="O41" s="379"/>
      <c r="P41" s="223"/>
      <c r="Q41" s="379"/>
      <c r="R41" s="223"/>
      <c r="S41" s="379"/>
      <c r="T41" s="223"/>
      <c r="U41" s="379"/>
      <c r="V41" s="223"/>
      <c r="W41" s="379"/>
      <c r="X41" s="223"/>
      <c r="Y41" s="379"/>
      <c r="Z41" s="223"/>
      <c r="AA41" s="379"/>
      <c r="AB41" s="223"/>
      <c r="AC41" s="379"/>
      <c r="AD41" s="223"/>
      <c r="AE41" s="379"/>
      <c r="AF41" s="164">
        <v>0</v>
      </c>
      <c r="AG41" s="379"/>
      <c r="AH41" s="164">
        <v>0</v>
      </c>
      <c r="AI41" s="379"/>
      <c r="AJ41" s="164">
        <v>0</v>
      </c>
      <c r="AK41" s="379"/>
      <c r="AL41" s="164">
        <v>0</v>
      </c>
      <c r="AM41" s="379"/>
      <c r="AN41" s="164">
        <v>0</v>
      </c>
      <c r="AO41" s="379"/>
      <c r="AP41" s="164">
        <v>0</v>
      </c>
      <c r="AQ41" s="379"/>
      <c r="AR41" s="164">
        <v>0</v>
      </c>
      <c r="AS41" s="379"/>
      <c r="AT41" s="164">
        <v>0</v>
      </c>
      <c r="AU41" s="379"/>
      <c r="AV41" s="164">
        <v>0</v>
      </c>
      <c r="AW41" s="379"/>
      <c r="AX41" s="164">
        <v>0</v>
      </c>
      <c r="AY41" s="379"/>
      <c r="AZ41" s="164">
        <v>0</v>
      </c>
      <c r="BA41" s="379"/>
      <c r="BB41" s="164">
        <v>0</v>
      </c>
      <c r="BC41" s="379"/>
      <c r="BD41" s="164">
        <v>0</v>
      </c>
      <c r="BE41" s="379"/>
      <c r="BF41" s="164">
        <v>0</v>
      </c>
      <c r="BG41" s="379"/>
      <c r="BH41" s="223"/>
      <c r="BI41" s="184"/>
      <c r="CJ41" s="150"/>
      <c r="CK41" s="150"/>
      <c r="CL41" s="150"/>
      <c r="CM41" s="151" t="s">
        <v>839</v>
      </c>
      <c r="CN41" s="150" t="s">
        <v>1130</v>
      </c>
      <c r="CO41" s="150"/>
      <c r="CP41" s="150"/>
      <c r="CQ41" s="150"/>
      <c r="CR41" s="150"/>
      <c r="CS41" s="150"/>
      <c r="CT41" s="150"/>
    </row>
    <row r="42" spans="1:98" s="10" customFormat="1" ht="12.75" customHeight="1">
      <c r="A42" s="310"/>
      <c r="B42" s="308" t="str">
        <f>Parameters!Q41</f>
        <v>G45</v>
      </c>
      <c r="C42" s="309"/>
      <c r="D42" s="495" t="str">
        <f>Parameters!S41</f>
        <v>Wholesale and retail trade and repair of motor vehicles and motorcycles</v>
      </c>
      <c r="E42" s="496"/>
      <c r="F42" s="224"/>
      <c r="G42" s="379"/>
      <c r="H42" s="225"/>
      <c r="I42" s="379"/>
      <c r="J42" s="225"/>
      <c r="K42" s="379"/>
      <c r="L42" s="225"/>
      <c r="M42" s="379"/>
      <c r="N42" s="225"/>
      <c r="O42" s="379"/>
      <c r="P42" s="225"/>
      <c r="Q42" s="379"/>
      <c r="R42" s="225"/>
      <c r="S42" s="379"/>
      <c r="T42" s="225"/>
      <c r="U42" s="379"/>
      <c r="V42" s="225"/>
      <c r="W42" s="379"/>
      <c r="X42" s="225"/>
      <c r="Y42" s="379"/>
      <c r="Z42" s="225"/>
      <c r="AA42" s="379"/>
      <c r="AB42" s="225"/>
      <c r="AC42" s="379"/>
      <c r="AD42" s="225"/>
      <c r="AE42" s="379"/>
      <c r="AF42" s="165">
        <v>0</v>
      </c>
      <c r="AG42" s="379"/>
      <c r="AH42" s="165">
        <v>0</v>
      </c>
      <c r="AI42" s="379"/>
      <c r="AJ42" s="165">
        <v>0</v>
      </c>
      <c r="AK42" s="379"/>
      <c r="AL42" s="165">
        <v>0</v>
      </c>
      <c r="AM42" s="379"/>
      <c r="AN42" s="165">
        <v>0</v>
      </c>
      <c r="AO42" s="379"/>
      <c r="AP42" s="165">
        <v>0</v>
      </c>
      <c r="AQ42" s="379"/>
      <c r="AR42" s="165">
        <v>0</v>
      </c>
      <c r="AS42" s="379"/>
      <c r="AT42" s="165">
        <v>0</v>
      </c>
      <c r="AU42" s="379"/>
      <c r="AV42" s="165">
        <v>0</v>
      </c>
      <c r="AW42" s="379"/>
      <c r="AX42" s="165">
        <v>0</v>
      </c>
      <c r="AY42" s="379"/>
      <c r="AZ42" s="165">
        <v>0</v>
      </c>
      <c r="BA42" s="379"/>
      <c r="BB42" s="165">
        <v>0</v>
      </c>
      <c r="BC42" s="379"/>
      <c r="BD42" s="165">
        <v>0</v>
      </c>
      <c r="BE42" s="379"/>
      <c r="BF42" s="165">
        <v>0</v>
      </c>
      <c r="BG42" s="379"/>
      <c r="BH42" s="225"/>
      <c r="BI42" s="184"/>
      <c r="CJ42" s="150"/>
      <c r="CK42" s="150"/>
      <c r="CL42" s="150"/>
      <c r="CM42" s="151" t="s">
        <v>844</v>
      </c>
      <c r="CN42" s="150" t="s">
        <v>1130</v>
      </c>
      <c r="CO42" s="150"/>
      <c r="CP42" s="150"/>
      <c r="CQ42" s="150"/>
      <c r="CR42" s="150"/>
      <c r="CS42" s="150"/>
      <c r="CT42" s="150"/>
    </row>
    <row r="43" spans="1:98" s="11" customFormat="1" ht="12.75" customHeight="1">
      <c r="A43" s="310"/>
      <c r="B43" s="308" t="str">
        <f>Parameters!Q42</f>
        <v>G46</v>
      </c>
      <c r="C43" s="309"/>
      <c r="D43" s="495" t="str">
        <f>Parameters!S42</f>
        <v>Wholesale trade, except of motor vehicles and motorcycles</v>
      </c>
      <c r="E43" s="496"/>
      <c r="F43" s="224"/>
      <c r="G43" s="379"/>
      <c r="H43" s="225"/>
      <c r="I43" s="379"/>
      <c r="J43" s="225"/>
      <c r="K43" s="379"/>
      <c r="L43" s="225"/>
      <c r="M43" s="379"/>
      <c r="N43" s="225"/>
      <c r="O43" s="379"/>
      <c r="P43" s="225"/>
      <c r="Q43" s="379"/>
      <c r="R43" s="225"/>
      <c r="S43" s="379"/>
      <c r="T43" s="225"/>
      <c r="U43" s="379"/>
      <c r="V43" s="225"/>
      <c r="W43" s="379"/>
      <c r="X43" s="225"/>
      <c r="Y43" s="379"/>
      <c r="Z43" s="225"/>
      <c r="AA43" s="379"/>
      <c r="AB43" s="225"/>
      <c r="AC43" s="379"/>
      <c r="AD43" s="225"/>
      <c r="AE43" s="379"/>
      <c r="AF43" s="165">
        <v>0</v>
      </c>
      <c r="AG43" s="379"/>
      <c r="AH43" s="165">
        <v>0</v>
      </c>
      <c r="AI43" s="379"/>
      <c r="AJ43" s="165">
        <v>0</v>
      </c>
      <c r="AK43" s="379"/>
      <c r="AL43" s="165">
        <v>0</v>
      </c>
      <c r="AM43" s="379"/>
      <c r="AN43" s="165">
        <v>0</v>
      </c>
      <c r="AO43" s="379"/>
      <c r="AP43" s="165">
        <v>0</v>
      </c>
      <c r="AQ43" s="379"/>
      <c r="AR43" s="165">
        <v>0</v>
      </c>
      <c r="AS43" s="379"/>
      <c r="AT43" s="165">
        <v>0</v>
      </c>
      <c r="AU43" s="379"/>
      <c r="AV43" s="165">
        <v>0</v>
      </c>
      <c r="AW43" s="379"/>
      <c r="AX43" s="165">
        <v>0</v>
      </c>
      <c r="AY43" s="379"/>
      <c r="AZ43" s="165">
        <v>0</v>
      </c>
      <c r="BA43" s="379"/>
      <c r="BB43" s="165">
        <v>0</v>
      </c>
      <c r="BC43" s="379"/>
      <c r="BD43" s="165">
        <v>0</v>
      </c>
      <c r="BE43" s="379"/>
      <c r="BF43" s="165">
        <v>0</v>
      </c>
      <c r="BG43" s="379"/>
      <c r="BH43" s="225"/>
      <c r="BI43" s="184"/>
      <c r="CJ43" s="150"/>
      <c r="CK43" s="150"/>
      <c r="CL43" s="150"/>
      <c r="CM43" s="151" t="s">
        <v>848</v>
      </c>
      <c r="CN43" s="150" t="s">
        <v>1130</v>
      </c>
      <c r="CO43" s="150"/>
      <c r="CP43" s="150"/>
      <c r="CQ43" s="150"/>
      <c r="CR43" s="150"/>
      <c r="CS43" s="150"/>
      <c r="CT43" s="150"/>
    </row>
    <row r="44" spans="1:98" s="11" customFormat="1" ht="12.75" customHeight="1">
      <c r="A44" s="310"/>
      <c r="B44" s="308" t="str">
        <f>Parameters!Q43</f>
        <v>G47</v>
      </c>
      <c r="C44" s="309"/>
      <c r="D44" s="495" t="str">
        <f>Parameters!S43</f>
        <v>Retail trade, except of motor vehicles and motorcycles</v>
      </c>
      <c r="E44" s="496"/>
      <c r="F44" s="224"/>
      <c r="G44" s="379"/>
      <c r="H44" s="225"/>
      <c r="I44" s="379"/>
      <c r="J44" s="225"/>
      <c r="K44" s="379"/>
      <c r="L44" s="225"/>
      <c r="M44" s="379"/>
      <c r="N44" s="225"/>
      <c r="O44" s="379"/>
      <c r="P44" s="225"/>
      <c r="Q44" s="379"/>
      <c r="R44" s="225"/>
      <c r="S44" s="379"/>
      <c r="T44" s="225"/>
      <c r="U44" s="379"/>
      <c r="V44" s="225"/>
      <c r="W44" s="379"/>
      <c r="X44" s="225"/>
      <c r="Y44" s="379"/>
      <c r="Z44" s="225"/>
      <c r="AA44" s="379"/>
      <c r="AB44" s="225"/>
      <c r="AC44" s="379"/>
      <c r="AD44" s="225"/>
      <c r="AE44" s="379"/>
      <c r="AF44" s="165">
        <v>0</v>
      </c>
      <c r="AG44" s="379"/>
      <c r="AH44" s="165">
        <v>0</v>
      </c>
      <c r="AI44" s="379"/>
      <c r="AJ44" s="165">
        <v>0</v>
      </c>
      <c r="AK44" s="379"/>
      <c r="AL44" s="165">
        <v>0</v>
      </c>
      <c r="AM44" s="379"/>
      <c r="AN44" s="165">
        <v>0</v>
      </c>
      <c r="AO44" s="379"/>
      <c r="AP44" s="165">
        <v>0</v>
      </c>
      <c r="AQ44" s="379"/>
      <c r="AR44" s="165">
        <v>0</v>
      </c>
      <c r="AS44" s="379"/>
      <c r="AT44" s="165">
        <v>0</v>
      </c>
      <c r="AU44" s="379"/>
      <c r="AV44" s="165">
        <v>0</v>
      </c>
      <c r="AW44" s="379"/>
      <c r="AX44" s="165">
        <v>0</v>
      </c>
      <c r="AY44" s="379"/>
      <c r="AZ44" s="165">
        <v>0</v>
      </c>
      <c r="BA44" s="379"/>
      <c r="BB44" s="165">
        <v>0</v>
      </c>
      <c r="BC44" s="379"/>
      <c r="BD44" s="165">
        <v>0</v>
      </c>
      <c r="BE44" s="379"/>
      <c r="BF44" s="165">
        <v>0</v>
      </c>
      <c r="BG44" s="379"/>
      <c r="BH44" s="225"/>
      <c r="BI44" s="184"/>
      <c r="CJ44" s="150"/>
      <c r="CK44" s="150"/>
      <c r="CL44" s="150"/>
      <c r="CM44" s="151" t="s">
        <v>854</v>
      </c>
      <c r="CN44" s="150" t="s">
        <v>1130</v>
      </c>
      <c r="CO44" s="150"/>
      <c r="CP44" s="150"/>
      <c r="CQ44" s="150"/>
      <c r="CR44" s="150"/>
      <c r="CS44" s="150"/>
      <c r="CT44" s="150"/>
    </row>
    <row r="45" spans="1:98" s="11" customFormat="1" ht="12.75" customHeight="1">
      <c r="A45" s="25"/>
      <c r="B45" s="87" t="str">
        <f>Parameters!Q44</f>
        <v>H</v>
      </c>
      <c r="C45" s="88"/>
      <c r="D45" s="498" t="str">
        <f>Parameters!S44</f>
        <v>Transportation and storage</v>
      </c>
      <c r="E45" s="499"/>
      <c r="F45" s="222"/>
      <c r="G45" s="379"/>
      <c r="H45" s="223"/>
      <c r="I45" s="379"/>
      <c r="J45" s="223"/>
      <c r="K45" s="379"/>
      <c r="L45" s="223"/>
      <c r="M45" s="379"/>
      <c r="N45" s="223"/>
      <c r="O45" s="379"/>
      <c r="P45" s="223"/>
      <c r="Q45" s="379"/>
      <c r="R45" s="223"/>
      <c r="S45" s="379"/>
      <c r="T45" s="223"/>
      <c r="U45" s="379"/>
      <c r="V45" s="223"/>
      <c r="W45" s="379"/>
      <c r="X45" s="223"/>
      <c r="Y45" s="379"/>
      <c r="Z45" s="223"/>
      <c r="AA45" s="379"/>
      <c r="AB45" s="223"/>
      <c r="AC45" s="379"/>
      <c r="AD45" s="223"/>
      <c r="AE45" s="379"/>
      <c r="AF45" s="164">
        <v>0</v>
      </c>
      <c r="AG45" s="379"/>
      <c r="AH45" s="164">
        <v>0</v>
      </c>
      <c r="AI45" s="379"/>
      <c r="AJ45" s="164">
        <v>0</v>
      </c>
      <c r="AK45" s="379"/>
      <c r="AL45" s="164">
        <v>0</v>
      </c>
      <c r="AM45" s="379"/>
      <c r="AN45" s="164">
        <v>0</v>
      </c>
      <c r="AO45" s="379"/>
      <c r="AP45" s="164">
        <v>0</v>
      </c>
      <c r="AQ45" s="379"/>
      <c r="AR45" s="164">
        <v>0</v>
      </c>
      <c r="AS45" s="379"/>
      <c r="AT45" s="164">
        <v>0</v>
      </c>
      <c r="AU45" s="379"/>
      <c r="AV45" s="164">
        <v>0</v>
      </c>
      <c r="AW45" s="379"/>
      <c r="AX45" s="164">
        <v>0</v>
      </c>
      <c r="AY45" s="379"/>
      <c r="AZ45" s="164">
        <v>0</v>
      </c>
      <c r="BA45" s="379"/>
      <c r="BB45" s="164">
        <v>0</v>
      </c>
      <c r="BC45" s="379"/>
      <c r="BD45" s="164">
        <v>0</v>
      </c>
      <c r="BE45" s="379"/>
      <c r="BF45" s="164">
        <v>0</v>
      </c>
      <c r="BG45" s="379"/>
      <c r="BH45" s="223"/>
      <c r="BI45" s="184"/>
      <c r="CJ45" s="150"/>
      <c r="CK45" s="150"/>
      <c r="CL45" s="150"/>
      <c r="CM45" s="151" t="s">
        <v>862</v>
      </c>
      <c r="CN45" s="150" t="s">
        <v>1130</v>
      </c>
      <c r="CO45" s="150"/>
      <c r="CP45" s="150"/>
      <c r="CQ45" s="150"/>
      <c r="CR45" s="150"/>
      <c r="CS45" s="150"/>
      <c r="CT45" s="150"/>
    </row>
    <row r="46" spans="1:98" s="10" customFormat="1" ht="12.75" customHeight="1">
      <c r="A46" s="310"/>
      <c r="B46" s="308" t="str">
        <f>Parameters!Q45</f>
        <v>H49</v>
      </c>
      <c r="C46" s="309"/>
      <c r="D46" s="495" t="str">
        <f>Parameters!S45</f>
        <v>Land transport and transport via pipelines</v>
      </c>
      <c r="E46" s="496"/>
      <c r="F46" s="224"/>
      <c r="G46" s="379"/>
      <c r="H46" s="225"/>
      <c r="I46" s="379"/>
      <c r="J46" s="225"/>
      <c r="K46" s="379"/>
      <c r="L46" s="225"/>
      <c r="M46" s="379"/>
      <c r="N46" s="225"/>
      <c r="O46" s="379"/>
      <c r="P46" s="225"/>
      <c r="Q46" s="379"/>
      <c r="R46" s="225"/>
      <c r="S46" s="379"/>
      <c r="T46" s="225"/>
      <c r="U46" s="379"/>
      <c r="V46" s="225"/>
      <c r="W46" s="379"/>
      <c r="X46" s="225"/>
      <c r="Y46" s="379"/>
      <c r="Z46" s="225"/>
      <c r="AA46" s="379"/>
      <c r="AB46" s="225"/>
      <c r="AC46" s="379"/>
      <c r="AD46" s="225"/>
      <c r="AE46" s="379"/>
      <c r="AF46" s="165">
        <v>0</v>
      </c>
      <c r="AG46" s="379"/>
      <c r="AH46" s="165">
        <v>0</v>
      </c>
      <c r="AI46" s="379"/>
      <c r="AJ46" s="165">
        <v>0</v>
      </c>
      <c r="AK46" s="379"/>
      <c r="AL46" s="165">
        <v>0</v>
      </c>
      <c r="AM46" s="379"/>
      <c r="AN46" s="165">
        <v>0</v>
      </c>
      <c r="AO46" s="379"/>
      <c r="AP46" s="165">
        <v>0</v>
      </c>
      <c r="AQ46" s="379"/>
      <c r="AR46" s="165">
        <v>0</v>
      </c>
      <c r="AS46" s="379"/>
      <c r="AT46" s="165">
        <v>0</v>
      </c>
      <c r="AU46" s="379"/>
      <c r="AV46" s="165">
        <v>0</v>
      </c>
      <c r="AW46" s="379"/>
      <c r="AX46" s="165">
        <v>0</v>
      </c>
      <c r="AY46" s="379"/>
      <c r="AZ46" s="165">
        <v>0</v>
      </c>
      <c r="BA46" s="379"/>
      <c r="BB46" s="165">
        <v>0</v>
      </c>
      <c r="BC46" s="379"/>
      <c r="BD46" s="165">
        <v>0</v>
      </c>
      <c r="BE46" s="379"/>
      <c r="BF46" s="165">
        <v>0</v>
      </c>
      <c r="BG46" s="379"/>
      <c r="BH46" s="225"/>
      <c r="BI46" s="184"/>
      <c r="CJ46" s="150"/>
      <c r="CK46" s="150"/>
      <c r="CL46" s="150"/>
      <c r="CM46" s="151" t="s">
        <v>869</v>
      </c>
      <c r="CN46" s="150" t="s">
        <v>1130</v>
      </c>
      <c r="CO46" s="150"/>
      <c r="CP46" s="150"/>
      <c r="CQ46" s="150"/>
      <c r="CR46" s="150"/>
      <c r="CS46" s="150"/>
      <c r="CT46" s="150"/>
    </row>
    <row r="47" spans="1:98" s="10" customFormat="1" ht="12.75" customHeight="1">
      <c r="A47" s="310"/>
      <c r="B47" s="308" t="str">
        <f>Parameters!Q46</f>
        <v>H50</v>
      </c>
      <c r="C47" s="309"/>
      <c r="D47" s="495" t="str">
        <f>Parameters!S46</f>
        <v>Water transport</v>
      </c>
      <c r="E47" s="497"/>
      <c r="F47" s="224"/>
      <c r="G47" s="379"/>
      <c r="H47" s="225"/>
      <c r="I47" s="379"/>
      <c r="J47" s="225"/>
      <c r="K47" s="379"/>
      <c r="L47" s="225"/>
      <c r="M47" s="379"/>
      <c r="N47" s="225"/>
      <c r="O47" s="379"/>
      <c r="P47" s="225"/>
      <c r="Q47" s="379"/>
      <c r="R47" s="225"/>
      <c r="S47" s="379"/>
      <c r="T47" s="225"/>
      <c r="U47" s="379"/>
      <c r="V47" s="225"/>
      <c r="W47" s="379"/>
      <c r="X47" s="225"/>
      <c r="Y47" s="379"/>
      <c r="Z47" s="225"/>
      <c r="AA47" s="379"/>
      <c r="AB47" s="225"/>
      <c r="AC47" s="379"/>
      <c r="AD47" s="225"/>
      <c r="AE47" s="379"/>
      <c r="AF47" s="165">
        <v>0</v>
      </c>
      <c r="AG47" s="379"/>
      <c r="AH47" s="165">
        <v>0</v>
      </c>
      <c r="AI47" s="379"/>
      <c r="AJ47" s="165">
        <v>0</v>
      </c>
      <c r="AK47" s="379"/>
      <c r="AL47" s="165">
        <v>0</v>
      </c>
      <c r="AM47" s="379"/>
      <c r="AN47" s="165">
        <v>0</v>
      </c>
      <c r="AO47" s="379"/>
      <c r="AP47" s="165">
        <v>0</v>
      </c>
      <c r="AQ47" s="379"/>
      <c r="AR47" s="165">
        <v>0</v>
      </c>
      <c r="AS47" s="379"/>
      <c r="AT47" s="165">
        <v>0</v>
      </c>
      <c r="AU47" s="379"/>
      <c r="AV47" s="165">
        <v>0</v>
      </c>
      <c r="AW47" s="379"/>
      <c r="AX47" s="165">
        <v>0</v>
      </c>
      <c r="AY47" s="379"/>
      <c r="AZ47" s="165">
        <v>0</v>
      </c>
      <c r="BA47" s="379"/>
      <c r="BB47" s="165">
        <v>0</v>
      </c>
      <c r="BC47" s="379"/>
      <c r="BD47" s="165">
        <v>0</v>
      </c>
      <c r="BE47" s="379"/>
      <c r="BF47" s="165">
        <v>0</v>
      </c>
      <c r="BG47" s="379"/>
      <c r="BH47" s="225"/>
      <c r="BI47" s="184"/>
      <c r="CJ47" s="150"/>
      <c r="CK47" s="150"/>
      <c r="CL47" s="150"/>
      <c r="CM47" s="151" t="s">
        <v>877</v>
      </c>
      <c r="CN47" s="150" t="s">
        <v>1130</v>
      </c>
      <c r="CO47" s="150"/>
      <c r="CP47" s="150"/>
      <c r="CQ47" s="150"/>
      <c r="CR47" s="150"/>
      <c r="CS47" s="150"/>
      <c r="CT47" s="150"/>
    </row>
    <row r="48" spans="1:98" s="11" customFormat="1" ht="12.75" customHeight="1">
      <c r="A48" s="310"/>
      <c r="B48" s="308" t="str">
        <f>Parameters!Q47</f>
        <v>H51</v>
      </c>
      <c r="C48" s="309"/>
      <c r="D48" s="495" t="str">
        <f>Parameters!S47</f>
        <v>Air transport</v>
      </c>
      <c r="E48" s="510"/>
      <c r="F48" s="224"/>
      <c r="G48" s="379"/>
      <c r="H48" s="225"/>
      <c r="I48" s="379"/>
      <c r="J48" s="225"/>
      <c r="K48" s="379"/>
      <c r="L48" s="225"/>
      <c r="M48" s="379"/>
      <c r="N48" s="225"/>
      <c r="O48" s="379"/>
      <c r="P48" s="225"/>
      <c r="Q48" s="379"/>
      <c r="R48" s="225"/>
      <c r="S48" s="379"/>
      <c r="T48" s="225"/>
      <c r="U48" s="379"/>
      <c r="V48" s="225"/>
      <c r="W48" s="379"/>
      <c r="X48" s="225"/>
      <c r="Y48" s="379"/>
      <c r="Z48" s="225"/>
      <c r="AA48" s="379"/>
      <c r="AB48" s="225"/>
      <c r="AC48" s="379"/>
      <c r="AD48" s="225"/>
      <c r="AE48" s="379"/>
      <c r="AF48" s="165">
        <v>0</v>
      </c>
      <c r="AG48" s="379"/>
      <c r="AH48" s="165">
        <v>0</v>
      </c>
      <c r="AI48" s="379"/>
      <c r="AJ48" s="165">
        <v>0</v>
      </c>
      <c r="AK48" s="379"/>
      <c r="AL48" s="165">
        <v>0</v>
      </c>
      <c r="AM48" s="379"/>
      <c r="AN48" s="165">
        <v>0</v>
      </c>
      <c r="AO48" s="379"/>
      <c r="AP48" s="165">
        <v>0</v>
      </c>
      <c r="AQ48" s="379"/>
      <c r="AR48" s="165">
        <v>0</v>
      </c>
      <c r="AS48" s="379"/>
      <c r="AT48" s="165">
        <v>0</v>
      </c>
      <c r="AU48" s="379"/>
      <c r="AV48" s="165">
        <v>0</v>
      </c>
      <c r="AW48" s="379"/>
      <c r="AX48" s="165">
        <v>0</v>
      </c>
      <c r="AY48" s="379"/>
      <c r="AZ48" s="165">
        <v>0</v>
      </c>
      <c r="BA48" s="379"/>
      <c r="BB48" s="165">
        <v>0</v>
      </c>
      <c r="BC48" s="379"/>
      <c r="BD48" s="165">
        <v>0</v>
      </c>
      <c r="BE48" s="379"/>
      <c r="BF48" s="165">
        <v>0</v>
      </c>
      <c r="BG48" s="379"/>
      <c r="BH48" s="225"/>
      <c r="BI48" s="184"/>
      <c r="CJ48" s="150"/>
      <c r="CK48" s="150"/>
      <c r="CL48" s="150"/>
      <c r="CM48" s="151" t="s">
        <v>884</v>
      </c>
      <c r="CN48" s="150" t="s">
        <v>1130</v>
      </c>
      <c r="CO48" s="150"/>
      <c r="CP48" s="150"/>
      <c r="CQ48" s="150"/>
      <c r="CR48" s="150"/>
      <c r="CS48" s="150"/>
      <c r="CT48" s="150"/>
    </row>
    <row r="49" spans="1:98" s="11" customFormat="1" ht="12.75" customHeight="1">
      <c r="A49" s="310"/>
      <c r="B49" s="308" t="str">
        <f>Parameters!Q48</f>
        <v>H52</v>
      </c>
      <c r="C49" s="309"/>
      <c r="D49" s="495" t="str">
        <f>Parameters!S48</f>
        <v>Warehousing and support activities for transportation</v>
      </c>
      <c r="E49" s="510"/>
      <c r="F49" s="224"/>
      <c r="G49" s="379"/>
      <c r="H49" s="225"/>
      <c r="I49" s="379"/>
      <c r="J49" s="225"/>
      <c r="K49" s="379"/>
      <c r="L49" s="225"/>
      <c r="M49" s="379"/>
      <c r="N49" s="225"/>
      <c r="O49" s="379"/>
      <c r="P49" s="225"/>
      <c r="Q49" s="379"/>
      <c r="R49" s="225"/>
      <c r="S49" s="379"/>
      <c r="T49" s="225"/>
      <c r="U49" s="379"/>
      <c r="V49" s="225"/>
      <c r="W49" s="379"/>
      <c r="X49" s="225"/>
      <c r="Y49" s="379"/>
      <c r="Z49" s="225"/>
      <c r="AA49" s="379"/>
      <c r="AB49" s="225"/>
      <c r="AC49" s="379"/>
      <c r="AD49" s="225"/>
      <c r="AE49" s="379"/>
      <c r="AF49" s="165">
        <v>0</v>
      </c>
      <c r="AG49" s="379"/>
      <c r="AH49" s="165">
        <v>0</v>
      </c>
      <c r="AI49" s="379"/>
      <c r="AJ49" s="165">
        <v>0</v>
      </c>
      <c r="AK49" s="379"/>
      <c r="AL49" s="165">
        <v>0</v>
      </c>
      <c r="AM49" s="379"/>
      <c r="AN49" s="165">
        <v>0</v>
      </c>
      <c r="AO49" s="379"/>
      <c r="AP49" s="165">
        <v>0</v>
      </c>
      <c r="AQ49" s="379"/>
      <c r="AR49" s="165">
        <v>0</v>
      </c>
      <c r="AS49" s="379"/>
      <c r="AT49" s="165">
        <v>0</v>
      </c>
      <c r="AU49" s="379"/>
      <c r="AV49" s="165">
        <v>0</v>
      </c>
      <c r="AW49" s="379"/>
      <c r="AX49" s="165">
        <v>0</v>
      </c>
      <c r="AY49" s="379"/>
      <c r="AZ49" s="165">
        <v>0</v>
      </c>
      <c r="BA49" s="379"/>
      <c r="BB49" s="165">
        <v>0</v>
      </c>
      <c r="BC49" s="379"/>
      <c r="BD49" s="165">
        <v>0</v>
      </c>
      <c r="BE49" s="379"/>
      <c r="BF49" s="165">
        <v>0</v>
      </c>
      <c r="BG49" s="379"/>
      <c r="BH49" s="225"/>
      <c r="BI49" s="184"/>
      <c r="CJ49" s="150"/>
      <c r="CK49" s="150"/>
      <c r="CL49" s="150"/>
      <c r="CM49" s="151" t="s">
        <v>891</v>
      </c>
      <c r="CN49" s="150" t="s">
        <v>1130</v>
      </c>
      <c r="CO49" s="150"/>
      <c r="CP49" s="150"/>
      <c r="CQ49" s="150"/>
      <c r="CR49" s="150"/>
      <c r="CS49" s="150"/>
      <c r="CT49" s="150"/>
    </row>
    <row r="50" spans="1:98" s="11" customFormat="1" ht="12.75" customHeight="1">
      <c r="A50" s="310"/>
      <c r="B50" s="308" t="str">
        <f>Parameters!Q49</f>
        <v>H53</v>
      </c>
      <c r="C50" s="309"/>
      <c r="D50" s="495" t="str">
        <f>Parameters!S49</f>
        <v>Postal and courier activities</v>
      </c>
      <c r="E50" s="510"/>
      <c r="F50" s="224"/>
      <c r="G50" s="379"/>
      <c r="H50" s="225"/>
      <c r="I50" s="379"/>
      <c r="J50" s="225"/>
      <c r="K50" s="379"/>
      <c r="L50" s="225"/>
      <c r="M50" s="379"/>
      <c r="N50" s="225"/>
      <c r="O50" s="379"/>
      <c r="P50" s="225"/>
      <c r="Q50" s="379"/>
      <c r="R50" s="225"/>
      <c r="S50" s="379"/>
      <c r="T50" s="225"/>
      <c r="U50" s="379"/>
      <c r="V50" s="225"/>
      <c r="W50" s="379"/>
      <c r="X50" s="225"/>
      <c r="Y50" s="379"/>
      <c r="Z50" s="225"/>
      <c r="AA50" s="379"/>
      <c r="AB50" s="225"/>
      <c r="AC50" s="379"/>
      <c r="AD50" s="225"/>
      <c r="AE50" s="379"/>
      <c r="AF50" s="165">
        <v>0</v>
      </c>
      <c r="AG50" s="379" t="s">
        <v>420</v>
      </c>
      <c r="AH50" s="165">
        <v>0</v>
      </c>
      <c r="AI50" s="379" t="s">
        <v>420</v>
      </c>
      <c r="AJ50" s="165">
        <v>0</v>
      </c>
      <c r="AK50" s="379" t="s">
        <v>420</v>
      </c>
      <c r="AL50" s="165">
        <v>0</v>
      </c>
      <c r="AM50" s="379" t="s">
        <v>420</v>
      </c>
      <c r="AN50" s="165">
        <v>0</v>
      </c>
      <c r="AO50" s="379" t="s">
        <v>420</v>
      </c>
      <c r="AP50" s="165">
        <v>0</v>
      </c>
      <c r="AQ50" s="379" t="s">
        <v>420</v>
      </c>
      <c r="AR50" s="165">
        <v>0</v>
      </c>
      <c r="AS50" s="379" t="s">
        <v>420</v>
      </c>
      <c r="AT50" s="165">
        <v>0</v>
      </c>
      <c r="AU50" s="379" t="s">
        <v>420</v>
      </c>
      <c r="AV50" s="165">
        <v>0</v>
      </c>
      <c r="AW50" s="379" t="s">
        <v>420</v>
      </c>
      <c r="AX50" s="165">
        <v>0</v>
      </c>
      <c r="AY50" s="379" t="s">
        <v>420</v>
      </c>
      <c r="AZ50" s="165">
        <v>0</v>
      </c>
      <c r="BA50" s="379" t="s">
        <v>420</v>
      </c>
      <c r="BB50" s="165">
        <v>0</v>
      </c>
      <c r="BC50" s="379" t="s">
        <v>420</v>
      </c>
      <c r="BD50" s="165">
        <v>0</v>
      </c>
      <c r="BE50" s="379" t="s">
        <v>420</v>
      </c>
      <c r="BF50" s="165">
        <v>0</v>
      </c>
      <c r="BG50" s="379" t="s">
        <v>420</v>
      </c>
      <c r="BH50" s="225"/>
      <c r="BI50" s="184"/>
      <c r="CJ50" s="150"/>
      <c r="CK50" s="150"/>
      <c r="CL50" s="150"/>
      <c r="CM50" s="151" t="s">
        <v>897</v>
      </c>
      <c r="CN50" s="150" t="s">
        <v>1130</v>
      </c>
      <c r="CO50" s="150"/>
      <c r="CP50" s="150"/>
      <c r="CQ50" s="150"/>
      <c r="CR50" s="150"/>
      <c r="CS50" s="150"/>
      <c r="CT50" s="150"/>
    </row>
    <row r="51" spans="1:98" s="10" customFormat="1" ht="12.75" customHeight="1">
      <c r="A51" s="25"/>
      <c r="B51" s="87" t="str">
        <f>Parameters!Q50</f>
        <v>I</v>
      </c>
      <c r="C51" s="88"/>
      <c r="D51" s="498" t="str">
        <f>Parameters!S50</f>
        <v>Accommodation and food service activities</v>
      </c>
      <c r="E51" s="496"/>
      <c r="F51" s="222"/>
      <c r="G51" s="379"/>
      <c r="H51" s="223"/>
      <c r="I51" s="379"/>
      <c r="J51" s="223"/>
      <c r="K51" s="379"/>
      <c r="L51" s="223"/>
      <c r="M51" s="379"/>
      <c r="N51" s="223"/>
      <c r="O51" s="379"/>
      <c r="P51" s="223"/>
      <c r="Q51" s="379"/>
      <c r="R51" s="223"/>
      <c r="S51" s="379"/>
      <c r="T51" s="223"/>
      <c r="U51" s="379"/>
      <c r="V51" s="223"/>
      <c r="W51" s="379"/>
      <c r="X51" s="223"/>
      <c r="Y51" s="379"/>
      <c r="Z51" s="223"/>
      <c r="AA51" s="379"/>
      <c r="AB51" s="223"/>
      <c r="AC51" s="379"/>
      <c r="AD51" s="223"/>
      <c r="AE51" s="379"/>
      <c r="AF51" s="164">
        <v>0</v>
      </c>
      <c r="AG51" s="379"/>
      <c r="AH51" s="164">
        <v>0</v>
      </c>
      <c r="AI51" s="379"/>
      <c r="AJ51" s="164">
        <v>0</v>
      </c>
      <c r="AK51" s="379"/>
      <c r="AL51" s="164">
        <v>0</v>
      </c>
      <c r="AM51" s="379"/>
      <c r="AN51" s="164">
        <v>0</v>
      </c>
      <c r="AO51" s="379"/>
      <c r="AP51" s="164">
        <v>0</v>
      </c>
      <c r="AQ51" s="379"/>
      <c r="AR51" s="164">
        <v>0</v>
      </c>
      <c r="AS51" s="379"/>
      <c r="AT51" s="164">
        <v>0</v>
      </c>
      <c r="AU51" s="379"/>
      <c r="AV51" s="164">
        <v>0</v>
      </c>
      <c r="AW51" s="379"/>
      <c r="AX51" s="164">
        <v>0</v>
      </c>
      <c r="AY51" s="379"/>
      <c r="AZ51" s="164">
        <v>0</v>
      </c>
      <c r="BA51" s="379"/>
      <c r="BB51" s="164">
        <v>0</v>
      </c>
      <c r="BC51" s="379"/>
      <c r="BD51" s="164">
        <v>0</v>
      </c>
      <c r="BE51" s="379"/>
      <c r="BF51" s="164">
        <v>0</v>
      </c>
      <c r="BG51" s="379"/>
      <c r="BH51" s="223"/>
      <c r="BI51" s="184"/>
      <c r="CJ51" s="150"/>
      <c r="CK51" s="150"/>
      <c r="CL51" s="150"/>
      <c r="CM51" s="151" t="s">
        <v>904</v>
      </c>
      <c r="CN51" s="150" t="s">
        <v>1130</v>
      </c>
      <c r="CO51" s="150"/>
      <c r="CP51" s="150"/>
      <c r="CQ51" s="150"/>
      <c r="CR51" s="150"/>
      <c r="CS51" s="150"/>
      <c r="CT51" s="150"/>
    </row>
    <row r="52" spans="1:98" s="10" customFormat="1" ht="12.75" customHeight="1">
      <c r="A52" s="25"/>
      <c r="B52" s="87" t="str">
        <f>Parameters!Q51</f>
        <v>J</v>
      </c>
      <c r="C52" s="88"/>
      <c r="D52" s="498" t="str">
        <f>Parameters!S51</f>
        <v>Information and communication</v>
      </c>
      <c r="E52" s="499"/>
      <c r="F52" s="222"/>
      <c r="G52" s="379"/>
      <c r="H52" s="223"/>
      <c r="I52" s="379"/>
      <c r="J52" s="223"/>
      <c r="K52" s="379"/>
      <c r="L52" s="223"/>
      <c r="M52" s="379"/>
      <c r="N52" s="223"/>
      <c r="O52" s="379"/>
      <c r="P52" s="223"/>
      <c r="Q52" s="379"/>
      <c r="R52" s="223"/>
      <c r="S52" s="379"/>
      <c r="T52" s="223"/>
      <c r="U52" s="379"/>
      <c r="V52" s="223"/>
      <c r="W52" s="379"/>
      <c r="X52" s="223"/>
      <c r="Y52" s="379"/>
      <c r="Z52" s="223"/>
      <c r="AA52" s="379"/>
      <c r="AB52" s="223"/>
      <c r="AC52" s="379"/>
      <c r="AD52" s="223"/>
      <c r="AE52" s="379"/>
      <c r="AF52" s="164">
        <v>0</v>
      </c>
      <c r="AG52" s="379"/>
      <c r="AH52" s="164">
        <v>0</v>
      </c>
      <c r="AI52" s="379"/>
      <c r="AJ52" s="164">
        <v>0</v>
      </c>
      <c r="AK52" s="379"/>
      <c r="AL52" s="164">
        <v>0</v>
      </c>
      <c r="AM52" s="379"/>
      <c r="AN52" s="164">
        <v>0</v>
      </c>
      <c r="AO52" s="379"/>
      <c r="AP52" s="164">
        <v>0</v>
      </c>
      <c r="AQ52" s="379"/>
      <c r="AR52" s="164">
        <v>0</v>
      </c>
      <c r="AS52" s="379"/>
      <c r="AT52" s="164">
        <v>0</v>
      </c>
      <c r="AU52" s="379"/>
      <c r="AV52" s="164">
        <v>0</v>
      </c>
      <c r="AW52" s="379"/>
      <c r="AX52" s="164">
        <v>0</v>
      </c>
      <c r="AY52" s="379"/>
      <c r="AZ52" s="164">
        <v>0</v>
      </c>
      <c r="BA52" s="379"/>
      <c r="BB52" s="164">
        <v>0</v>
      </c>
      <c r="BC52" s="379"/>
      <c r="BD52" s="164">
        <v>0</v>
      </c>
      <c r="BE52" s="379"/>
      <c r="BF52" s="164">
        <v>0</v>
      </c>
      <c r="BG52" s="379"/>
      <c r="BH52" s="223"/>
      <c r="BI52" s="184"/>
      <c r="CJ52" s="150"/>
      <c r="CK52" s="150"/>
      <c r="CL52" s="150"/>
      <c r="CM52" s="153" t="s">
        <v>910</v>
      </c>
      <c r="CN52" s="150" t="s">
        <v>1130</v>
      </c>
      <c r="CO52" s="150"/>
      <c r="CP52" s="150"/>
      <c r="CQ52" s="150"/>
      <c r="CR52" s="150"/>
      <c r="CS52" s="150"/>
      <c r="CT52" s="150"/>
    </row>
    <row r="53" spans="1:98" s="10" customFormat="1" ht="27" customHeight="1">
      <c r="A53" s="26"/>
      <c r="B53" s="89" t="str">
        <f>Parameters!Q52</f>
        <v>J58-J60</v>
      </c>
      <c r="C53" s="90"/>
      <c r="D53" s="504" t="str">
        <f>Parameters!S52</f>
        <v>Publishing, motion picture, video, television programme production; sound recording, programming and broadcasting activities</v>
      </c>
      <c r="E53" s="506"/>
      <c r="F53" s="252"/>
      <c r="G53" s="380"/>
      <c r="H53" s="253"/>
      <c r="I53" s="380"/>
      <c r="J53" s="253"/>
      <c r="K53" s="380"/>
      <c r="L53" s="253"/>
      <c r="M53" s="380"/>
      <c r="N53" s="253"/>
      <c r="O53" s="380"/>
      <c r="P53" s="253"/>
      <c r="Q53" s="380"/>
      <c r="R53" s="253"/>
      <c r="S53" s="380"/>
      <c r="T53" s="253"/>
      <c r="U53" s="380"/>
      <c r="V53" s="253"/>
      <c r="W53" s="380"/>
      <c r="X53" s="253"/>
      <c r="Y53" s="380"/>
      <c r="Z53" s="253"/>
      <c r="AA53" s="380"/>
      <c r="AB53" s="253"/>
      <c r="AC53" s="380"/>
      <c r="AD53" s="253"/>
      <c r="AE53" s="380"/>
      <c r="AF53" s="253">
        <v>0</v>
      </c>
      <c r="AG53" s="380"/>
      <c r="AH53" s="253">
        <v>0</v>
      </c>
      <c r="AI53" s="380"/>
      <c r="AJ53" s="253">
        <v>0</v>
      </c>
      <c r="AK53" s="380"/>
      <c r="AL53" s="253">
        <v>0</v>
      </c>
      <c r="AM53" s="380"/>
      <c r="AN53" s="253">
        <v>0</v>
      </c>
      <c r="AO53" s="380"/>
      <c r="AP53" s="253">
        <v>0</v>
      </c>
      <c r="AQ53" s="380"/>
      <c r="AR53" s="253">
        <v>0</v>
      </c>
      <c r="AS53" s="380"/>
      <c r="AT53" s="253">
        <v>0</v>
      </c>
      <c r="AU53" s="380"/>
      <c r="AV53" s="253">
        <v>0</v>
      </c>
      <c r="AW53" s="380"/>
      <c r="AX53" s="253">
        <v>0</v>
      </c>
      <c r="AY53" s="380"/>
      <c r="AZ53" s="253">
        <v>0</v>
      </c>
      <c r="BA53" s="380"/>
      <c r="BB53" s="253">
        <v>0</v>
      </c>
      <c r="BC53" s="380"/>
      <c r="BD53" s="253">
        <v>0</v>
      </c>
      <c r="BE53" s="380"/>
      <c r="BF53" s="253">
        <v>0</v>
      </c>
      <c r="BG53" s="380"/>
      <c r="BH53" s="253"/>
      <c r="BI53" s="254"/>
      <c r="CJ53" s="150"/>
      <c r="CK53" s="150"/>
      <c r="CL53" s="150"/>
      <c r="CM53" s="151"/>
      <c r="CN53" s="150"/>
      <c r="CO53" s="150"/>
      <c r="CP53" s="150"/>
      <c r="CQ53" s="150"/>
      <c r="CR53" s="150"/>
      <c r="CS53" s="150"/>
      <c r="CT53" s="150"/>
    </row>
    <row r="54" spans="1:98" s="11" customFormat="1" ht="12.75" customHeight="1">
      <c r="A54" s="310"/>
      <c r="B54" s="308" t="str">
        <f>Parameters!Q53</f>
        <v>J58</v>
      </c>
      <c r="C54" s="309"/>
      <c r="D54" s="495" t="str">
        <f>Parameters!S53</f>
        <v>Publishing activities</v>
      </c>
      <c r="E54" s="510"/>
      <c r="F54" s="224"/>
      <c r="G54" s="379"/>
      <c r="H54" s="225"/>
      <c r="I54" s="379"/>
      <c r="J54" s="225"/>
      <c r="K54" s="379"/>
      <c r="L54" s="225"/>
      <c r="M54" s="379"/>
      <c r="N54" s="225"/>
      <c r="O54" s="379"/>
      <c r="P54" s="225"/>
      <c r="Q54" s="379"/>
      <c r="R54" s="225"/>
      <c r="S54" s="379"/>
      <c r="T54" s="225"/>
      <c r="U54" s="379"/>
      <c r="V54" s="225"/>
      <c r="W54" s="379"/>
      <c r="X54" s="225"/>
      <c r="Y54" s="379"/>
      <c r="Z54" s="225"/>
      <c r="AA54" s="379"/>
      <c r="AB54" s="225"/>
      <c r="AC54" s="379"/>
      <c r="AD54" s="225"/>
      <c r="AE54" s="379"/>
      <c r="AF54" s="165">
        <v>0</v>
      </c>
      <c r="AG54" s="379"/>
      <c r="AH54" s="165">
        <v>0</v>
      </c>
      <c r="AI54" s="379"/>
      <c r="AJ54" s="165">
        <v>0</v>
      </c>
      <c r="AK54" s="379"/>
      <c r="AL54" s="165">
        <v>0</v>
      </c>
      <c r="AM54" s="379"/>
      <c r="AN54" s="165">
        <v>0</v>
      </c>
      <c r="AO54" s="379"/>
      <c r="AP54" s="165">
        <v>0</v>
      </c>
      <c r="AQ54" s="379"/>
      <c r="AR54" s="165">
        <v>0</v>
      </c>
      <c r="AS54" s="379"/>
      <c r="AT54" s="165">
        <v>0</v>
      </c>
      <c r="AU54" s="379"/>
      <c r="AV54" s="165">
        <v>0</v>
      </c>
      <c r="AW54" s="379"/>
      <c r="AX54" s="165">
        <v>0</v>
      </c>
      <c r="AY54" s="379"/>
      <c r="AZ54" s="165">
        <v>0</v>
      </c>
      <c r="BA54" s="379"/>
      <c r="BB54" s="165">
        <v>0</v>
      </c>
      <c r="BC54" s="379"/>
      <c r="BD54" s="165">
        <v>0</v>
      </c>
      <c r="BE54" s="379"/>
      <c r="BF54" s="165">
        <v>0</v>
      </c>
      <c r="BG54" s="379"/>
      <c r="BH54" s="225"/>
      <c r="BI54" s="184"/>
      <c r="CJ54" s="150"/>
      <c r="CK54" s="150"/>
      <c r="CL54" s="150"/>
      <c r="CM54" s="151" t="s">
        <v>926</v>
      </c>
      <c r="CN54" s="150" t="s">
        <v>1130</v>
      </c>
      <c r="CO54" s="151"/>
      <c r="CP54" s="150"/>
      <c r="CQ54" s="150"/>
      <c r="CR54" s="150"/>
      <c r="CS54" s="150"/>
      <c r="CT54" s="150"/>
    </row>
    <row r="55" spans="1:98" s="11" customFormat="1">
      <c r="A55" s="310"/>
      <c r="B55" s="308" t="str">
        <f>Parameters!Q54</f>
        <v>J59_J60</v>
      </c>
      <c r="C55" s="309"/>
      <c r="D55" s="495" t="str">
        <f>Parameters!S54</f>
        <v>Motion picture, video, television programme production; programming and broadcasting activities</v>
      </c>
      <c r="E55" s="510"/>
      <c r="F55" s="224"/>
      <c r="G55" s="379"/>
      <c r="H55" s="225"/>
      <c r="I55" s="379"/>
      <c r="J55" s="225"/>
      <c r="K55" s="379"/>
      <c r="L55" s="225"/>
      <c r="M55" s="379"/>
      <c r="N55" s="225"/>
      <c r="O55" s="379"/>
      <c r="P55" s="225"/>
      <c r="Q55" s="379"/>
      <c r="R55" s="225"/>
      <c r="S55" s="379"/>
      <c r="T55" s="225"/>
      <c r="U55" s="379"/>
      <c r="V55" s="225"/>
      <c r="W55" s="379"/>
      <c r="X55" s="225"/>
      <c r="Y55" s="379"/>
      <c r="Z55" s="225"/>
      <c r="AA55" s="379"/>
      <c r="AB55" s="225"/>
      <c r="AC55" s="379"/>
      <c r="AD55" s="225"/>
      <c r="AE55" s="379"/>
      <c r="AF55" s="165">
        <v>0</v>
      </c>
      <c r="AG55" s="379"/>
      <c r="AH55" s="165">
        <v>0</v>
      </c>
      <c r="AI55" s="379"/>
      <c r="AJ55" s="165">
        <v>0</v>
      </c>
      <c r="AK55" s="379"/>
      <c r="AL55" s="165">
        <v>0</v>
      </c>
      <c r="AM55" s="379"/>
      <c r="AN55" s="165">
        <v>0</v>
      </c>
      <c r="AO55" s="379"/>
      <c r="AP55" s="165">
        <v>0</v>
      </c>
      <c r="AQ55" s="379"/>
      <c r="AR55" s="165">
        <v>0</v>
      </c>
      <c r="AS55" s="379"/>
      <c r="AT55" s="165">
        <v>0</v>
      </c>
      <c r="AU55" s="379"/>
      <c r="AV55" s="165">
        <v>0</v>
      </c>
      <c r="AW55" s="379"/>
      <c r="AX55" s="165">
        <v>0</v>
      </c>
      <c r="AY55" s="379"/>
      <c r="AZ55" s="165">
        <v>0</v>
      </c>
      <c r="BA55" s="379"/>
      <c r="BB55" s="165">
        <v>0</v>
      </c>
      <c r="BC55" s="379"/>
      <c r="BD55" s="165">
        <v>0</v>
      </c>
      <c r="BE55" s="379"/>
      <c r="BF55" s="165">
        <v>0</v>
      </c>
      <c r="BG55" s="379"/>
      <c r="BH55" s="225"/>
      <c r="BI55" s="184"/>
      <c r="CJ55" s="150"/>
      <c r="CK55" s="150"/>
      <c r="CL55" s="150"/>
      <c r="CM55" s="151" t="s">
        <v>1139</v>
      </c>
      <c r="CN55" s="150" t="s">
        <v>1130</v>
      </c>
      <c r="CO55" s="150"/>
      <c r="CP55" s="150"/>
      <c r="CQ55" s="150"/>
      <c r="CR55" s="150"/>
      <c r="CS55" s="150"/>
      <c r="CT55" s="150"/>
    </row>
    <row r="56" spans="1:98" s="11" customFormat="1" ht="12.75" customHeight="1">
      <c r="A56" s="26"/>
      <c r="B56" s="89" t="str">
        <f>Parameters!Q55</f>
        <v>J61</v>
      </c>
      <c r="C56" s="90"/>
      <c r="D56" s="504" t="str">
        <f>Parameters!S55</f>
        <v>Telecommunications</v>
      </c>
      <c r="E56" s="505"/>
      <c r="F56" s="226"/>
      <c r="G56" s="379"/>
      <c r="H56" s="227"/>
      <c r="I56" s="379"/>
      <c r="J56" s="227"/>
      <c r="K56" s="379"/>
      <c r="L56" s="227"/>
      <c r="M56" s="379"/>
      <c r="N56" s="227"/>
      <c r="O56" s="379"/>
      <c r="P56" s="227"/>
      <c r="Q56" s="379"/>
      <c r="R56" s="227"/>
      <c r="S56" s="379"/>
      <c r="T56" s="227"/>
      <c r="U56" s="379"/>
      <c r="V56" s="227"/>
      <c r="W56" s="379"/>
      <c r="X56" s="227"/>
      <c r="Y56" s="379"/>
      <c r="Z56" s="227"/>
      <c r="AA56" s="379"/>
      <c r="AB56" s="227"/>
      <c r="AC56" s="379"/>
      <c r="AD56" s="227"/>
      <c r="AE56" s="379"/>
      <c r="AF56" s="166">
        <v>0</v>
      </c>
      <c r="AG56" s="379" t="s">
        <v>420</v>
      </c>
      <c r="AH56" s="166">
        <v>0</v>
      </c>
      <c r="AI56" s="379" t="s">
        <v>420</v>
      </c>
      <c r="AJ56" s="166">
        <v>0</v>
      </c>
      <c r="AK56" s="379" t="s">
        <v>420</v>
      </c>
      <c r="AL56" s="166">
        <v>0</v>
      </c>
      <c r="AM56" s="379" t="s">
        <v>420</v>
      </c>
      <c r="AN56" s="166">
        <v>0</v>
      </c>
      <c r="AO56" s="379" t="s">
        <v>420</v>
      </c>
      <c r="AP56" s="166">
        <v>0</v>
      </c>
      <c r="AQ56" s="379" t="s">
        <v>420</v>
      </c>
      <c r="AR56" s="166">
        <v>0</v>
      </c>
      <c r="AS56" s="379" t="s">
        <v>420</v>
      </c>
      <c r="AT56" s="166">
        <v>0</v>
      </c>
      <c r="AU56" s="379" t="s">
        <v>420</v>
      </c>
      <c r="AV56" s="166">
        <v>0</v>
      </c>
      <c r="AW56" s="379" t="s">
        <v>420</v>
      </c>
      <c r="AX56" s="166">
        <v>0</v>
      </c>
      <c r="AY56" s="379" t="s">
        <v>420</v>
      </c>
      <c r="AZ56" s="166">
        <v>0</v>
      </c>
      <c r="BA56" s="379" t="s">
        <v>420</v>
      </c>
      <c r="BB56" s="166">
        <v>0</v>
      </c>
      <c r="BC56" s="379" t="s">
        <v>420</v>
      </c>
      <c r="BD56" s="166">
        <v>0</v>
      </c>
      <c r="BE56" s="379" t="s">
        <v>420</v>
      </c>
      <c r="BF56" s="166">
        <v>0</v>
      </c>
      <c r="BG56" s="379" t="s">
        <v>420</v>
      </c>
      <c r="BH56" s="227"/>
      <c r="BI56" s="184"/>
      <c r="CJ56" s="150"/>
      <c r="CK56" s="150"/>
      <c r="CL56" s="150"/>
      <c r="CM56" s="151" t="s">
        <v>939</v>
      </c>
      <c r="CN56" s="150" t="s">
        <v>1130</v>
      </c>
      <c r="CO56" s="150"/>
      <c r="CP56" s="150"/>
      <c r="CQ56" s="150"/>
      <c r="CR56" s="150"/>
      <c r="CS56" s="150"/>
      <c r="CT56" s="150"/>
    </row>
    <row r="57" spans="1:98" s="10" customFormat="1" ht="12.75" customHeight="1">
      <c r="A57" s="26"/>
      <c r="B57" s="89" t="str">
        <f>Parameters!Q56</f>
        <v>J62_J63</v>
      </c>
      <c r="C57" s="90"/>
      <c r="D57" s="504" t="str">
        <f>Parameters!S56</f>
        <v>Computer programming, consultancy, and information service activities</v>
      </c>
      <c r="E57" s="505"/>
      <c r="F57" s="226"/>
      <c r="G57" s="379"/>
      <c r="H57" s="227"/>
      <c r="I57" s="379"/>
      <c r="J57" s="227"/>
      <c r="K57" s="379"/>
      <c r="L57" s="227"/>
      <c r="M57" s="379"/>
      <c r="N57" s="227"/>
      <c r="O57" s="379"/>
      <c r="P57" s="227"/>
      <c r="Q57" s="379"/>
      <c r="R57" s="227"/>
      <c r="S57" s="379"/>
      <c r="T57" s="227"/>
      <c r="U57" s="379"/>
      <c r="V57" s="227"/>
      <c r="W57" s="379"/>
      <c r="X57" s="227"/>
      <c r="Y57" s="379"/>
      <c r="Z57" s="227"/>
      <c r="AA57" s="379"/>
      <c r="AB57" s="227"/>
      <c r="AC57" s="379"/>
      <c r="AD57" s="227"/>
      <c r="AE57" s="379"/>
      <c r="AF57" s="166">
        <v>0</v>
      </c>
      <c r="AG57" s="379"/>
      <c r="AH57" s="166">
        <v>0</v>
      </c>
      <c r="AI57" s="379"/>
      <c r="AJ57" s="166">
        <v>0</v>
      </c>
      <c r="AK57" s="379"/>
      <c r="AL57" s="166">
        <v>0</v>
      </c>
      <c r="AM57" s="379"/>
      <c r="AN57" s="166">
        <v>0</v>
      </c>
      <c r="AO57" s="379"/>
      <c r="AP57" s="166">
        <v>0</v>
      </c>
      <c r="AQ57" s="379"/>
      <c r="AR57" s="166">
        <v>0</v>
      </c>
      <c r="AS57" s="379"/>
      <c r="AT57" s="166">
        <v>0</v>
      </c>
      <c r="AU57" s="379"/>
      <c r="AV57" s="166">
        <v>0</v>
      </c>
      <c r="AW57" s="379"/>
      <c r="AX57" s="166">
        <v>0</v>
      </c>
      <c r="AY57" s="379"/>
      <c r="AZ57" s="166">
        <v>0</v>
      </c>
      <c r="BA57" s="379"/>
      <c r="BB57" s="166">
        <v>0</v>
      </c>
      <c r="BC57" s="379"/>
      <c r="BD57" s="166">
        <v>0</v>
      </c>
      <c r="BE57" s="379"/>
      <c r="BF57" s="166">
        <v>0</v>
      </c>
      <c r="BG57" s="379"/>
      <c r="BH57" s="227"/>
      <c r="BI57" s="184"/>
      <c r="CJ57" s="158"/>
      <c r="CK57" s="150"/>
      <c r="CL57" s="158"/>
      <c r="CM57" s="151" t="s">
        <v>1140</v>
      </c>
      <c r="CN57" s="150" t="s">
        <v>1130</v>
      </c>
      <c r="CO57" s="150"/>
      <c r="CP57" s="158"/>
      <c r="CQ57" s="158"/>
      <c r="CR57" s="158"/>
      <c r="CS57" s="158"/>
      <c r="CT57" s="158"/>
    </row>
    <row r="58" spans="1:98" s="10" customFormat="1" ht="12.75" customHeight="1">
      <c r="A58" s="25"/>
      <c r="B58" s="87" t="str">
        <f>Parameters!Q57</f>
        <v>K</v>
      </c>
      <c r="C58" s="88"/>
      <c r="D58" s="498" t="str">
        <f>Parameters!S57</f>
        <v>Financial and insurance activities</v>
      </c>
      <c r="E58" s="499"/>
      <c r="F58" s="222"/>
      <c r="G58" s="379"/>
      <c r="H58" s="223"/>
      <c r="I58" s="379"/>
      <c r="J58" s="223"/>
      <c r="K58" s="379"/>
      <c r="L58" s="223"/>
      <c r="M58" s="379"/>
      <c r="N58" s="223"/>
      <c r="O58" s="379"/>
      <c r="P58" s="223"/>
      <c r="Q58" s="379"/>
      <c r="R58" s="223"/>
      <c r="S58" s="379"/>
      <c r="T58" s="223"/>
      <c r="U58" s="379"/>
      <c r="V58" s="223"/>
      <c r="W58" s="379"/>
      <c r="X58" s="223"/>
      <c r="Y58" s="379"/>
      <c r="Z58" s="223"/>
      <c r="AA58" s="379"/>
      <c r="AB58" s="223"/>
      <c r="AC58" s="379"/>
      <c r="AD58" s="223"/>
      <c r="AE58" s="379"/>
      <c r="AF58" s="164">
        <v>0</v>
      </c>
      <c r="AG58" s="379"/>
      <c r="AH58" s="164">
        <v>0</v>
      </c>
      <c r="AI58" s="379"/>
      <c r="AJ58" s="164">
        <v>0</v>
      </c>
      <c r="AK58" s="379"/>
      <c r="AL58" s="164">
        <v>0</v>
      </c>
      <c r="AM58" s="379"/>
      <c r="AN58" s="164">
        <v>0</v>
      </c>
      <c r="AO58" s="379"/>
      <c r="AP58" s="164">
        <v>0</v>
      </c>
      <c r="AQ58" s="379"/>
      <c r="AR58" s="164">
        <v>0</v>
      </c>
      <c r="AS58" s="379"/>
      <c r="AT58" s="164">
        <v>0</v>
      </c>
      <c r="AU58" s="379"/>
      <c r="AV58" s="164">
        <v>0</v>
      </c>
      <c r="AW58" s="379"/>
      <c r="AX58" s="164">
        <v>0</v>
      </c>
      <c r="AY58" s="379"/>
      <c r="AZ58" s="164">
        <v>0</v>
      </c>
      <c r="BA58" s="379"/>
      <c r="BB58" s="164">
        <v>0</v>
      </c>
      <c r="BC58" s="379"/>
      <c r="BD58" s="164">
        <v>0</v>
      </c>
      <c r="BE58" s="379"/>
      <c r="BF58" s="164">
        <v>0</v>
      </c>
      <c r="BG58" s="379"/>
      <c r="BH58" s="223"/>
      <c r="BI58" s="184"/>
      <c r="CJ58" s="150"/>
      <c r="CK58" s="150"/>
      <c r="CL58" s="150"/>
      <c r="CM58" s="151" t="s">
        <v>951</v>
      </c>
      <c r="CN58" s="150" t="s">
        <v>1130</v>
      </c>
      <c r="CO58" s="150"/>
      <c r="CP58" s="150"/>
      <c r="CQ58" s="150"/>
      <c r="CR58" s="150"/>
      <c r="CS58" s="150"/>
      <c r="CT58" s="150"/>
    </row>
    <row r="59" spans="1:98" s="11" customFormat="1" ht="12.75" customHeight="1">
      <c r="A59" s="310"/>
      <c r="B59" s="308" t="str">
        <f>Parameters!Q58</f>
        <v>K64</v>
      </c>
      <c r="C59" s="309"/>
      <c r="D59" s="495" t="str">
        <f>Parameters!S58</f>
        <v>Financial service activities, except insurance and pension funding</v>
      </c>
      <c r="E59" s="496"/>
      <c r="F59" s="224"/>
      <c r="G59" s="379"/>
      <c r="H59" s="225"/>
      <c r="I59" s="379"/>
      <c r="J59" s="225"/>
      <c r="K59" s="379"/>
      <c r="L59" s="225"/>
      <c r="M59" s="379"/>
      <c r="N59" s="225"/>
      <c r="O59" s="379"/>
      <c r="P59" s="225"/>
      <c r="Q59" s="379"/>
      <c r="R59" s="225"/>
      <c r="S59" s="379"/>
      <c r="T59" s="225"/>
      <c r="U59" s="379"/>
      <c r="V59" s="225"/>
      <c r="W59" s="379"/>
      <c r="X59" s="225"/>
      <c r="Y59" s="379"/>
      <c r="Z59" s="225"/>
      <c r="AA59" s="379"/>
      <c r="AB59" s="225"/>
      <c r="AC59" s="379"/>
      <c r="AD59" s="225"/>
      <c r="AE59" s="379"/>
      <c r="AF59" s="165">
        <v>0</v>
      </c>
      <c r="AG59" s="379"/>
      <c r="AH59" s="165">
        <v>0</v>
      </c>
      <c r="AI59" s="379"/>
      <c r="AJ59" s="165">
        <v>0</v>
      </c>
      <c r="AK59" s="379"/>
      <c r="AL59" s="165">
        <v>0</v>
      </c>
      <c r="AM59" s="379"/>
      <c r="AN59" s="165">
        <v>0</v>
      </c>
      <c r="AO59" s="379"/>
      <c r="AP59" s="165">
        <v>0</v>
      </c>
      <c r="AQ59" s="379"/>
      <c r="AR59" s="165">
        <v>0</v>
      </c>
      <c r="AS59" s="379"/>
      <c r="AT59" s="165">
        <v>0</v>
      </c>
      <c r="AU59" s="379"/>
      <c r="AV59" s="165">
        <v>0</v>
      </c>
      <c r="AW59" s="379"/>
      <c r="AX59" s="165">
        <v>0</v>
      </c>
      <c r="AY59" s="379"/>
      <c r="AZ59" s="165">
        <v>0</v>
      </c>
      <c r="BA59" s="379"/>
      <c r="BB59" s="165">
        <v>0</v>
      </c>
      <c r="BC59" s="379"/>
      <c r="BD59" s="165">
        <v>0</v>
      </c>
      <c r="BE59" s="379"/>
      <c r="BF59" s="165">
        <v>0</v>
      </c>
      <c r="BG59" s="379"/>
      <c r="BH59" s="225"/>
      <c r="BI59" s="184"/>
      <c r="CJ59" s="150"/>
      <c r="CK59" s="150"/>
      <c r="CL59" s="150"/>
      <c r="CM59" s="151" t="s">
        <v>957</v>
      </c>
      <c r="CN59" s="150" t="s">
        <v>1130</v>
      </c>
      <c r="CO59" s="150"/>
      <c r="CP59" s="150"/>
      <c r="CQ59" s="150"/>
      <c r="CR59" s="150"/>
      <c r="CS59" s="150"/>
      <c r="CT59" s="150"/>
    </row>
    <row r="60" spans="1:98" s="11" customFormat="1" ht="12.75" customHeight="1">
      <c r="A60" s="310"/>
      <c r="B60" s="308" t="str">
        <f>Parameters!Q59</f>
        <v>K65</v>
      </c>
      <c r="C60" s="309"/>
      <c r="D60" s="495" t="str">
        <f>Parameters!S59</f>
        <v>Insurance, reinsurance and pension funding, except compulsory social security</v>
      </c>
      <c r="E60" s="496"/>
      <c r="F60" s="224"/>
      <c r="G60" s="379"/>
      <c r="H60" s="225"/>
      <c r="I60" s="379"/>
      <c r="J60" s="225"/>
      <c r="K60" s="379"/>
      <c r="L60" s="225"/>
      <c r="M60" s="379"/>
      <c r="N60" s="225"/>
      <c r="O60" s="379"/>
      <c r="P60" s="225"/>
      <c r="Q60" s="379"/>
      <c r="R60" s="225"/>
      <c r="S60" s="379"/>
      <c r="T60" s="225"/>
      <c r="U60" s="379"/>
      <c r="V60" s="225"/>
      <c r="W60" s="379"/>
      <c r="X60" s="225"/>
      <c r="Y60" s="379"/>
      <c r="Z60" s="225"/>
      <c r="AA60" s="379"/>
      <c r="AB60" s="225"/>
      <c r="AC60" s="379"/>
      <c r="AD60" s="225"/>
      <c r="AE60" s="379"/>
      <c r="AF60" s="165">
        <v>0</v>
      </c>
      <c r="AG60" s="379"/>
      <c r="AH60" s="165">
        <v>0</v>
      </c>
      <c r="AI60" s="379"/>
      <c r="AJ60" s="165">
        <v>0</v>
      </c>
      <c r="AK60" s="379"/>
      <c r="AL60" s="165">
        <v>0</v>
      </c>
      <c r="AM60" s="379"/>
      <c r="AN60" s="165">
        <v>0</v>
      </c>
      <c r="AO60" s="379"/>
      <c r="AP60" s="165">
        <v>0</v>
      </c>
      <c r="AQ60" s="379"/>
      <c r="AR60" s="165">
        <v>0</v>
      </c>
      <c r="AS60" s="379"/>
      <c r="AT60" s="165">
        <v>0</v>
      </c>
      <c r="AU60" s="379"/>
      <c r="AV60" s="165">
        <v>0</v>
      </c>
      <c r="AW60" s="379"/>
      <c r="AX60" s="165">
        <v>0</v>
      </c>
      <c r="AY60" s="379"/>
      <c r="AZ60" s="165">
        <v>0</v>
      </c>
      <c r="BA60" s="379"/>
      <c r="BB60" s="165">
        <v>0</v>
      </c>
      <c r="BC60" s="379"/>
      <c r="BD60" s="165">
        <v>0</v>
      </c>
      <c r="BE60" s="379"/>
      <c r="BF60" s="165">
        <v>0</v>
      </c>
      <c r="BG60" s="379"/>
      <c r="BH60" s="225"/>
      <c r="BI60" s="184"/>
      <c r="CJ60" s="150"/>
      <c r="CK60" s="150"/>
      <c r="CL60" s="150"/>
      <c r="CM60" s="151" t="s">
        <v>963</v>
      </c>
      <c r="CN60" s="150" t="s">
        <v>1130</v>
      </c>
      <c r="CO60" s="150"/>
      <c r="CP60" s="150"/>
      <c r="CQ60" s="150"/>
      <c r="CR60" s="150"/>
      <c r="CS60" s="150"/>
      <c r="CT60" s="150"/>
    </row>
    <row r="61" spans="1:98" s="11" customFormat="1" ht="12.75" customHeight="1">
      <c r="A61" s="310"/>
      <c r="B61" s="308" t="str">
        <f>Parameters!Q60</f>
        <v>K66</v>
      </c>
      <c r="C61" s="309"/>
      <c r="D61" s="495" t="str">
        <f>Parameters!S60</f>
        <v>Activities auxiliary to financial services and insurance activities</v>
      </c>
      <c r="E61" s="510"/>
      <c r="F61" s="224"/>
      <c r="G61" s="379"/>
      <c r="H61" s="225"/>
      <c r="I61" s="379"/>
      <c r="J61" s="225"/>
      <c r="K61" s="379"/>
      <c r="L61" s="225"/>
      <c r="M61" s="379"/>
      <c r="N61" s="225"/>
      <c r="O61" s="379"/>
      <c r="P61" s="225"/>
      <c r="Q61" s="379"/>
      <c r="R61" s="225"/>
      <c r="S61" s="379"/>
      <c r="T61" s="225"/>
      <c r="U61" s="379"/>
      <c r="V61" s="225"/>
      <c r="W61" s="379"/>
      <c r="X61" s="225"/>
      <c r="Y61" s="379"/>
      <c r="Z61" s="225"/>
      <c r="AA61" s="379"/>
      <c r="AB61" s="225"/>
      <c r="AC61" s="379"/>
      <c r="AD61" s="225"/>
      <c r="AE61" s="379"/>
      <c r="AF61" s="165">
        <v>0</v>
      </c>
      <c r="AG61" s="379"/>
      <c r="AH61" s="165">
        <v>0</v>
      </c>
      <c r="AI61" s="379"/>
      <c r="AJ61" s="165">
        <v>0</v>
      </c>
      <c r="AK61" s="379"/>
      <c r="AL61" s="165">
        <v>0</v>
      </c>
      <c r="AM61" s="379"/>
      <c r="AN61" s="165">
        <v>0</v>
      </c>
      <c r="AO61" s="379"/>
      <c r="AP61" s="165">
        <v>0</v>
      </c>
      <c r="AQ61" s="379"/>
      <c r="AR61" s="165">
        <v>0</v>
      </c>
      <c r="AS61" s="379"/>
      <c r="AT61" s="165">
        <v>0</v>
      </c>
      <c r="AU61" s="379"/>
      <c r="AV61" s="165">
        <v>0</v>
      </c>
      <c r="AW61" s="379"/>
      <c r="AX61" s="165">
        <v>0</v>
      </c>
      <c r="AY61" s="379"/>
      <c r="AZ61" s="165">
        <v>0</v>
      </c>
      <c r="BA61" s="379"/>
      <c r="BB61" s="165">
        <v>0</v>
      </c>
      <c r="BC61" s="379"/>
      <c r="BD61" s="165">
        <v>0</v>
      </c>
      <c r="BE61" s="379"/>
      <c r="BF61" s="165">
        <v>0</v>
      </c>
      <c r="BG61" s="379"/>
      <c r="BH61" s="225"/>
      <c r="BI61" s="184"/>
      <c r="CJ61" s="150"/>
      <c r="CK61" s="150"/>
      <c r="CL61" s="150"/>
      <c r="CM61" s="151" t="s">
        <v>969</v>
      </c>
      <c r="CN61" s="150" t="s">
        <v>1130</v>
      </c>
      <c r="CO61" s="150"/>
      <c r="CP61" s="150"/>
      <c r="CQ61" s="150"/>
      <c r="CR61" s="150"/>
      <c r="CS61" s="150"/>
      <c r="CT61" s="150"/>
    </row>
    <row r="62" spans="1:98" s="11" customFormat="1" ht="12.75" customHeight="1">
      <c r="A62" s="25"/>
      <c r="B62" s="87" t="str">
        <f>Parameters!Q61</f>
        <v>L</v>
      </c>
      <c r="C62" s="88"/>
      <c r="D62" s="498" t="str">
        <f>Parameters!S61</f>
        <v>Real estate activities</v>
      </c>
      <c r="E62" s="507"/>
      <c r="F62" s="222"/>
      <c r="G62" s="379"/>
      <c r="H62" s="223"/>
      <c r="I62" s="379"/>
      <c r="J62" s="223"/>
      <c r="K62" s="379"/>
      <c r="L62" s="223"/>
      <c r="M62" s="379"/>
      <c r="N62" s="223"/>
      <c r="O62" s="379"/>
      <c r="P62" s="223"/>
      <c r="Q62" s="379"/>
      <c r="R62" s="223"/>
      <c r="S62" s="379"/>
      <c r="T62" s="223"/>
      <c r="U62" s="379"/>
      <c r="V62" s="223"/>
      <c r="W62" s="379"/>
      <c r="X62" s="223"/>
      <c r="Y62" s="379"/>
      <c r="Z62" s="223"/>
      <c r="AA62" s="379"/>
      <c r="AB62" s="223"/>
      <c r="AC62" s="379"/>
      <c r="AD62" s="223"/>
      <c r="AE62" s="379"/>
      <c r="AF62" s="164">
        <v>0</v>
      </c>
      <c r="AG62" s="379"/>
      <c r="AH62" s="164">
        <v>0</v>
      </c>
      <c r="AI62" s="379"/>
      <c r="AJ62" s="164">
        <v>0</v>
      </c>
      <c r="AK62" s="379"/>
      <c r="AL62" s="164">
        <v>0</v>
      </c>
      <c r="AM62" s="379"/>
      <c r="AN62" s="164">
        <v>0</v>
      </c>
      <c r="AO62" s="379"/>
      <c r="AP62" s="164">
        <v>0</v>
      </c>
      <c r="AQ62" s="379"/>
      <c r="AR62" s="164">
        <v>0</v>
      </c>
      <c r="AS62" s="379"/>
      <c r="AT62" s="164">
        <v>0</v>
      </c>
      <c r="AU62" s="379"/>
      <c r="AV62" s="164">
        <v>0</v>
      </c>
      <c r="AW62" s="379"/>
      <c r="AX62" s="164">
        <v>0</v>
      </c>
      <c r="AY62" s="379"/>
      <c r="AZ62" s="164">
        <v>0</v>
      </c>
      <c r="BA62" s="379"/>
      <c r="BB62" s="164">
        <v>0</v>
      </c>
      <c r="BC62" s="379"/>
      <c r="BD62" s="164">
        <v>0</v>
      </c>
      <c r="BE62" s="379"/>
      <c r="BF62" s="164">
        <v>0</v>
      </c>
      <c r="BG62" s="379"/>
      <c r="BH62" s="223"/>
      <c r="BI62" s="184"/>
      <c r="CJ62" s="150"/>
      <c r="CK62" s="150"/>
      <c r="CL62" s="150"/>
      <c r="CM62" s="151" t="s">
        <v>974</v>
      </c>
      <c r="CN62" s="150" t="s">
        <v>1130</v>
      </c>
      <c r="CO62" s="150"/>
      <c r="CP62" s="150"/>
      <c r="CQ62" s="150"/>
      <c r="CR62" s="150"/>
      <c r="CS62" s="150"/>
      <c r="CT62" s="150"/>
    </row>
    <row r="63" spans="1:98" s="11" customFormat="1" ht="12.75" customHeight="1">
      <c r="A63" s="310"/>
      <c r="B63" s="308" t="str">
        <f>Parameters!Q62</f>
        <v>L68A</v>
      </c>
      <c r="C63" s="309"/>
      <c r="D63" s="508" t="str">
        <f>Parameters!S62</f>
        <v>Imputed rents of owner-occupied dwellings</v>
      </c>
      <c r="E63" s="509"/>
      <c r="F63" s="229"/>
      <c r="G63" s="379"/>
      <c r="H63" s="230"/>
      <c r="I63" s="379"/>
      <c r="J63" s="230"/>
      <c r="K63" s="379"/>
      <c r="L63" s="230"/>
      <c r="M63" s="379"/>
      <c r="N63" s="230"/>
      <c r="O63" s="379"/>
      <c r="P63" s="230"/>
      <c r="Q63" s="379"/>
      <c r="R63" s="230"/>
      <c r="S63" s="379"/>
      <c r="T63" s="230"/>
      <c r="U63" s="379"/>
      <c r="V63" s="230"/>
      <c r="W63" s="379"/>
      <c r="X63" s="230"/>
      <c r="Y63" s="379"/>
      <c r="Z63" s="230"/>
      <c r="AA63" s="379"/>
      <c r="AB63" s="230"/>
      <c r="AC63" s="379"/>
      <c r="AD63" s="230"/>
      <c r="AE63" s="379"/>
      <c r="AF63" s="168">
        <v>0</v>
      </c>
      <c r="AG63" s="379"/>
      <c r="AH63" s="168">
        <v>0</v>
      </c>
      <c r="AI63" s="379"/>
      <c r="AJ63" s="168">
        <v>0</v>
      </c>
      <c r="AK63" s="379"/>
      <c r="AL63" s="168">
        <v>0</v>
      </c>
      <c r="AM63" s="379"/>
      <c r="AN63" s="168">
        <v>0</v>
      </c>
      <c r="AO63" s="379"/>
      <c r="AP63" s="168">
        <v>0</v>
      </c>
      <c r="AQ63" s="379"/>
      <c r="AR63" s="168">
        <v>0</v>
      </c>
      <c r="AS63" s="379"/>
      <c r="AT63" s="168">
        <v>0</v>
      </c>
      <c r="AU63" s="379"/>
      <c r="AV63" s="168">
        <v>0</v>
      </c>
      <c r="AW63" s="379"/>
      <c r="AX63" s="168">
        <v>0</v>
      </c>
      <c r="AY63" s="379"/>
      <c r="AZ63" s="168">
        <v>0</v>
      </c>
      <c r="BA63" s="379"/>
      <c r="BB63" s="168">
        <v>0</v>
      </c>
      <c r="BC63" s="379"/>
      <c r="BD63" s="168">
        <v>0</v>
      </c>
      <c r="BE63" s="379"/>
      <c r="BF63" s="168">
        <v>0</v>
      </c>
      <c r="BG63" s="379"/>
      <c r="BH63" s="230"/>
      <c r="BI63" s="184"/>
      <c r="CJ63" s="150"/>
      <c r="CK63" s="150"/>
      <c r="CL63" s="150"/>
      <c r="CM63" s="151" t="s">
        <v>981</v>
      </c>
      <c r="CN63" s="150" t="s">
        <v>1130</v>
      </c>
      <c r="CO63" s="150"/>
      <c r="CP63" s="150"/>
      <c r="CQ63" s="150"/>
      <c r="CR63" s="150"/>
      <c r="CS63" s="150"/>
      <c r="CT63" s="150"/>
    </row>
    <row r="64" spans="1:98" s="11" customFormat="1" ht="12.75" customHeight="1">
      <c r="A64" s="25"/>
      <c r="B64" s="87" t="str">
        <f>Parameters!Q63</f>
        <v>M</v>
      </c>
      <c r="C64" s="88"/>
      <c r="D64" s="498" t="str">
        <f>Parameters!S63</f>
        <v>Professional, scientific and technical activities</v>
      </c>
      <c r="E64" s="499"/>
      <c r="F64" s="222"/>
      <c r="G64" s="379"/>
      <c r="H64" s="223"/>
      <c r="I64" s="379"/>
      <c r="J64" s="223"/>
      <c r="K64" s="379"/>
      <c r="L64" s="223"/>
      <c r="M64" s="379"/>
      <c r="N64" s="223"/>
      <c r="O64" s="379"/>
      <c r="P64" s="223"/>
      <c r="Q64" s="379"/>
      <c r="R64" s="223"/>
      <c r="S64" s="379"/>
      <c r="T64" s="223"/>
      <c r="U64" s="379"/>
      <c r="V64" s="223"/>
      <c r="W64" s="379"/>
      <c r="X64" s="223"/>
      <c r="Y64" s="379"/>
      <c r="Z64" s="223"/>
      <c r="AA64" s="379"/>
      <c r="AB64" s="223"/>
      <c r="AC64" s="379"/>
      <c r="AD64" s="223"/>
      <c r="AE64" s="379"/>
      <c r="AF64" s="164">
        <v>3525</v>
      </c>
      <c r="AG64" s="379"/>
      <c r="AH64" s="164">
        <v>3525</v>
      </c>
      <c r="AI64" s="379"/>
      <c r="AJ64" s="164">
        <v>3525</v>
      </c>
      <c r="AK64" s="379"/>
      <c r="AL64" s="164">
        <v>3525</v>
      </c>
      <c r="AM64" s="379"/>
      <c r="AN64" s="164">
        <v>3525</v>
      </c>
      <c r="AO64" s="379"/>
      <c r="AP64" s="164">
        <v>3525</v>
      </c>
      <c r="AQ64" s="379"/>
      <c r="AR64" s="164">
        <v>3525</v>
      </c>
      <c r="AS64" s="379"/>
      <c r="AT64" s="164">
        <v>3525</v>
      </c>
      <c r="AU64" s="379"/>
      <c r="AV64" s="164">
        <v>3525</v>
      </c>
      <c r="AW64" s="379"/>
      <c r="AX64" s="247">
        <v>8460</v>
      </c>
      <c r="AY64" s="379" t="s">
        <v>466</v>
      </c>
      <c r="AZ64" s="247">
        <v>3525</v>
      </c>
      <c r="BA64" s="379" t="s">
        <v>466</v>
      </c>
      <c r="BB64" s="164">
        <v>3525</v>
      </c>
      <c r="BC64" s="379"/>
      <c r="BD64" s="164">
        <v>3525</v>
      </c>
      <c r="BE64" s="379"/>
      <c r="BF64" s="164">
        <v>3525</v>
      </c>
      <c r="BG64" s="379"/>
      <c r="BH64" s="223"/>
      <c r="BI64" s="184"/>
      <c r="CJ64" s="150"/>
      <c r="CK64" s="150"/>
      <c r="CL64" s="150"/>
      <c r="CM64" s="151" t="s">
        <v>988</v>
      </c>
      <c r="CN64" s="150" t="s">
        <v>1130</v>
      </c>
      <c r="CO64" s="150"/>
      <c r="CP64" s="150"/>
      <c r="CQ64" s="150"/>
      <c r="CR64" s="150"/>
      <c r="CS64" s="150"/>
      <c r="CT64" s="150"/>
    </row>
    <row r="65" spans="1:98" s="11" customFormat="1" ht="26.25" customHeight="1">
      <c r="A65" s="26"/>
      <c r="B65" s="89" t="str">
        <f>Parameters!Q64</f>
        <v>M69-M71</v>
      </c>
      <c r="C65" s="90"/>
      <c r="D65" s="504" t="str">
        <f>Parameters!S64</f>
        <v>Legal and accounting activities; activities of head offices; management consultancy activities; architectural and engineering activities; technical testing and analysis</v>
      </c>
      <c r="E65" s="506"/>
      <c r="F65" s="252"/>
      <c r="G65" s="380"/>
      <c r="H65" s="253"/>
      <c r="I65" s="380"/>
      <c r="J65" s="253"/>
      <c r="K65" s="380"/>
      <c r="L65" s="253"/>
      <c r="M65" s="380"/>
      <c r="N65" s="253"/>
      <c r="O65" s="380"/>
      <c r="P65" s="253"/>
      <c r="Q65" s="380"/>
      <c r="R65" s="253"/>
      <c r="S65" s="380"/>
      <c r="T65" s="253"/>
      <c r="U65" s="380"/>
      <c r="V65" s="253"/>
      <c r="W65" s="380"/>
      <c r="X65" s="253"/>
      <c r="Y65" s="380"/>
      <c r="Z65" s="253"/>
      <c r="AA65" s="380"/>
      <c r="AB65" s="253"/>
      <c r="AC65" s="380"/>
      <c r="AD65" s="253"/>
      <c r="AE65" s="380"/>
      <c r="AF65" s="253">
        <v>0</v>
      </c>
      <c r="AG65" s="380"/>
      <c r="AH65" s="253">
        <v>0</v>
      </c>
      <c r="AI65" s="380"/>
      <c r="AJ65" s="253">
        <v>0</v>
      </c>
      <c r="AK65" s="380"/>
      <c r="AL65" s="253">
        <v>0</v>
      </c>
      <c r="AM65" s="380"/>
      <c r="AN65" s="253">
        <v>0</v>
      </c>
      <c r="AO65" s="380"/>
      <c r="AP65" s="253">
        <v>0</v>
      </c>
      <c r="AQ65" s="380"/>
      <c r="AR65" s="253">
        <v>0</v>
      </c>
      <c r="AS65" s="380"/>
      <c r="AT65" s="253">
        <v>0</v>
      </c>
      <c r="AU65" s="380"/>
      <c r="AV65" s="253">
        <v>0</v>
      </c>
      <c r="AW65" s="380"/>
      <c r="AX65" s="253">
        <v>0</v>
      </c>
      <c r="AY65" s="380"/>
      <c r="AZ65" s="253">
        <v>0</v>
      </c>
      <c r="BA65" s="380"/>
      <c r="BB65" s="253">
        <v>0</v>
      </c>
      <c r="BC65" s="380"/>
      <c r="BD65" s="253">
        <v>0</v>
      </c>
      <c r="BE65" s="380"/>
      <c r="BF65" s="253">
        <v>0</v>
      </c>
      <c r="BG65" s="380"/>
      <c r="BH65" s="253"/>
      <c r="BI65" s="254"/>
      <c r="CJ65" s="150"/>
      <c r="CK65" s="150"/>
      <c r="CL65" s="150"/>
      <c r="CM65" s="151"/>
      <c r="CN65" s="150"/>
      <c r="CO65" s="150"/>
      <c r="CP65" s="150"/>
      <c r="CQ65" s="150"/>
      <c r="CR65" s="150"/>
      <c r="CS65" s="150"/>
      <c r="CT65" s="150"/>
    </row>
    <row r="66" spans="1:98" s="10" customFormat="1">
      <c r="A66" s="310"/>
      <c r="B66" s="308" t="str">
        <f>Parameters!Q65</f>
        <v>M69_M70</v>
      </c>
      <c r="C66" s="309"/>
      <c r="D66" s="495" t="str">
        <f>Parameters!S65</f>
        <v>Legal and accounting activities; activities of head offices; management consultancy activities</v>
      </c>
      <c r="E66" s="496"/>
      <c r="F66" s="224"/>
      <c r="G66" s="379"/>
      <c r="H66" s="225"/>
      <c r="I66" s="379"/>
      <c r="J66" s="225"/>
      <c r="K66" s="379"/>
      <c r="L66" s="225"/>
      <c r="M66" s="379"/>
      <c r="N66" s="225"/>
      <c r="O66" s="379"/>
      <c r="P66" s="225"/>
      <c r="Q66" s="379"/>
      <c r="R66" s="225"/>
      <c r="S66" s="379"/>
      <c r="T66" s="225"/>
      <c r="U66" s="379"/>
      <c r="V66" s="225"/>
      <c r="W66" s="379"/>
      <c r="X66" s="225"/>
      <c r="Y66" s="379"/>
      <c r="Z66" s="225"/>
      <c r="AA66" s="379"/>
      <c r="AB66" s="225"/>
      <c r="AC66" s="379"/>
      <c r="AD66" s="225"/>
      <c r="AE66" s="379"/>
      <c r="AF66" s="165">
        <v>0</v>
      </c>
      <c r="AG66" s="379"/>
      <c r="AH66" s="165">
        <v>0</v>
      </c>
      <c r="AI66" s="379"/>
      <c r="AJ66" s="165">
        <v>0</v>
      </c>
      <c r="AK66" s="379"/>
      <c r="AL66" s="165">
        <v>0</v>
      </c>
      <c r="AM66" s="379"/>
      <c r="AN66" s="165">
        <v>0</v>
      </c>
      <c r="AO66" s="379"/>
      <c r="AP66" s="165">
        <v>0</v>
      </c>
      <c r="AQ66" s="379"/>
      <c r="AR66" s="165">
        <v>0</v>
      </c>
      <c r="AS66" s="379"/>
      <c r="AT66" s="165">
        <v>0</v>
      </c>
      <c r="AU66" s="379"/>
      <c r="AV66" s="165">
        <v>0</v>
      </c>
      <c r="AW66" s="379"/>
      <c r="AX66" s="165">
        <v>0</v>
      </c>
      <c r="AY66" s="379"/>
      <c r="AZ66" s="165">
        <v>0</v>
      </c>
      <c r="BA66" s="379"/>
      <c r="BB66" s="165">
        <v>0</v>
      </c>
      <c r="BC66" s="379"/>
      <c r="BD66" s="165">
        <v>0</v>
      </c>
      <c r="BE66" s="379"/>
      <c r="BF66" s="165">
        <v>0</v>
      </c>
      <c r="BG66" s="379"/>
      <c r="BH66" s="225"/>
      <c r="BI66" s="184"/>
      <c r="CJ66" s="150"/>
      <c r="CK66" s="150"/>
      <c r="CL66" s="150"/>
      <c r="CM66" s="151" t="s">
        <v>1141</v>
      </c>
      <c r="CN66" s="150" t="s">
        <v>1130</v>
      </c>
      <c r="CO66" s="150"/>
      <c r="CP66" s="150"/>
      <c r="CQ66" s="150"/>
      <c r="CR66" s="150"/>
      <c r="CS66" s="150"/>
      <c r="CT66" s="150"/>
    </row>
    <row r="67" spans="1:98" s="10" customFormat="1" ht="12.75" customHeight="1">
      <c r="A67" s="310"/>
      <c r="B67" s="308" t="str">
        <f>Parameters!Q66</f>
        <v>M71</v>
      </c>
      <c r="C67" s="309"/>
      <c r="D67" s="495" t="str">
        <f>Parameters!S66</f>
        <v>Architectural and engineering activities; technical testing and analysis</v>
      </c>
      <c r="E67" s="496"/>
      <c r="F67" s="224"/>
      <c r="G67" s="379"/>
      <c r="H67" s="225"/>
      <c r="I67" s="379"/>
      <c r="J67" s="225"/>
      <c r="K67" s="379"/>
      <c r="L67" s="225"/>
      <c r="M67" s="379"/>
      <c r="N67" s="225"/>
      <c r="O67" s="379"/>
      <c r="P67" s="225"/>
      <c r="Q67" s="379"/>
      <c r="R67" s="225"/>
      <c r="S67" s="379"/>
      <c r="T67" s="225"/>
      <c r="U67" s="379"/>
      <c r="V67" s="225"/>
      <c r="W67" s="379"/>
      <c r="X67" s="225"/>
      <c r="Y67" s="379"/>
      <c r="Z67" s="225"/>
      <c r="AA67" s="379"/>
      <c r="AB67" s="225"/>
      <c r="AC67" s="379"/>
      <c r="AD67" s="225"/>
      <c r="AE67" s="379"/>
      <c r="AF67" s="165">
        <v>0</v>
      </c>
      <c r="AG67" s="379"/>
      <c r="AH67" s="165">
        <v>0</v>
      </c>
      <c r="AI67" s="379"/>
      <c r="AJ67" s="165">
        <v>0</v>
      </c>
      <c r="AK67" s="379"/>
      <c r="AL67" s="165">
        <v>0</v>
      </c>
      <c r="AM67" s="379"/>
      <c r="AN67" s="165">
        <v>0</v>
      </c>
      <c r="AO67" s="379"/>
      <c r="AP67" s="165">
        <v>0</v>
      </c>
      <c r="AQ67" s="379"/>
      <c r="AR67" s="165">
        <v>0</v>
      </c>
      <c r="AS67" s="379"/>
      <c r="AT67" s="165">
        <v>0</v>
      </c>
      <c r="AU67" s="379"/>
      <c r="AV67" s="165">
        <v>0</v>
      </c>
      <c r="AW67" s="379"/>
      <c r="AX67" s="165">
        <v>0</v>
      </c>
      <c r="AY67" s="379"/>
      <c r="AZ67" s="165">
        <v>0</v>
      </c>
      <c r="BA67" s="379"/>
      <c r="BB67" s="165">
        <v>0</v>
      </c>
      <c r="BC67" s="379"/>
      <c r="BD67" s="165">
        <v>0</v>
      </c>
      <c r="BE67" s="379"/>
      <c r="BF67" s="165">
        <v>0</v>
      </c>
      <c r="BG67" s="379"/>
      <c r="BH67" s="225"/>
      <c r="BI67" s="184"/>
      <c r="CJ67" s="150"/>
      <c r="CK67" s="150"/>
      <c r="CL67" s="150"/>
      <c r="CM67" s="151" t="s">
        <v>1007</v>
      </c>
      <c r="CN67" s="150" t="s">
        <v>1130</v>
      </c>
      <c r="CO67" s="150"/>
      <c r="CP67" s="150"/>
      <c r="CQ67" s="150"/>
      <c r="CR67" s="150"/>
      <c r="CS67" s="150"/>
      <c r="CT67" s="150"/>
    </row>
    <row r="68" spans="1:98" s="10" customFormat="1" ht="12.75" customHeight="1">
      <c r="A68" s="26"/>
      <c r="B68" s="89" t="str">
        <f>Parameters!Q67</f>
        <v>M72</v>
      </c>
      <c r="C68" s="90"/>
      <c r="D68" s="504" t="str">
        <f>Parameters!S67</f>
        <v>Scientific research and development</v>
      </c>
      <c r="E68" s="505"/>
      <c r="F68" s="226"/>
      <c r="G68" s="379"/>
      <c r="H68" s="227"/>
      <c r="I68" s="379"/>
      <c r="J68" s="227"/>
      <c r="K68" s="379"/>
      <c r="L68" s="227"/>
      <c r="M68" s="379"/>
      <c r="N68" s="227"/>
      <c r="O68" s="379"/>
      <c r="P68" s="227"/>
      <c r="Q68" s="379"/>
      <c r="R68" s="227"/>
      <c r="S68" s="379"/>
      <c r="T68" s="227"/>
      <c r="U68" s="379"/>
      <c r="V68" s="227"/>
      <c r="W68" s="379"/>
      <c r="X68" s="227"/>
      <c r="Y68" s="379"/>
      <c r="Z68" s="227"/>
      <c r="AA68" s="379"/>
      <c r="AB68" s="227"/>
      <c r="AC68" s="379"/>
      <c r="AD68" s="227"/>
      <c r="AE68" s="379"/>
      <c r="AF68" s="166">
        <v>3525</v>
      </c>
      <c r="AG68" s="379"/>
      <c r="AH68" s="166">
        <v>3525</v>
      </c>
      <c r="AI68" s="379"/>
      <c r="AJ68" s="166">
        <v>3525</v>
      </c>
      <c r="AK68" s="379"/>
      <c r="AL68" s="166">
        <v>3525</v>
      </c>
      <c r="AM68" s="379"/>
      <c r="AN68" s="166">
        <v>3525</v>
      </c>
      <c r="AO68" s="379"/>
      <c r="AP68" s="166">
        <v>3525</v>
      </c>
      <c r="AQ68" s="379"/>
      <c r="AR68" s="166">
        <v>3525</v>
      </c>
      <c r="AS68" s="379"/>
      <c r="AT68" s="166">
        <v>3525</v>
      </c>
      <c r="AU68" s="379"/>
      <c r="AV68" s="166">
        <v>3525</v>
      </c>
      <c r="AW68" s="379"/>
      <c r="AX68" s="244">
        <v>8460</v>
      </c>
      <c r="AY68" s="379" t="s">
        <v>466</v>
      </c>
      <c r="AZ68" s="166">
        <v>3525</v>
      </c>
      <c r="BA68" s="379"/>
      <c r="BB68" s="166">
        <v>3525</v>
      </c>
      <c r="BC68" s="379"/>
      <c r="BD68" s="166">
        <v>3525</v>
      </c>
      <c r="BE68" s="379"/>
      <c r="BF68" s="166">
        <v>3525</v>
      </c>
      <c r="BG68" s="379"/>
      <c r="BH68" s="227"/>
      <c r="BI68" s="184"/>
      <c r="CJ68" s="150"/>
      <c r="CK68" s="150"/>
      <c r="CL68" s="150"/>
      <c r="CM68" s="151" t="s">
        <v>1011</v>
      </c>
      <c r="CN68" s="150" t="s">
        <v>1130</v>
      </c>
      <c r="CO68" s="150"/>
      <c r="CP68" s="150"/>
      <c r="CQ68" s="150"/>
      <c r="CR68" s="150"/>
      <c r="CS68" s="150"/>
      <c r="CT68" s="150"/>
    </row>
    <row r="69" spans="1:98" s="10" customFormat="1" ht="24" customHeight="1">
      <c r="A69" s="26"/>
      <c r="B69" s="89" t="str">
        <f>Parameters!Q68</f>
        <v>M73-M75</v>
      </c>
      <c r="C69" s="90"/>
      <c r="D69" s="504" t="str">
        <f>Parameters!S68</f>
        <v>Advertising and market research; other professional, scientific and technical activities; veterinary activities</v>
      </c>
      <c r="E69" s="506"/>
      <c r="F69" s="252"/>
      <c r="G69" s="380"/>
      <c r="H69" s="253"/>
      <c r="I69" s="380"/>
      <c r="J69" s="253"/>
      <c r="K69" s="380"/>
      <c r="L69" s="253"/>
      <c r="M69" s="380"/>
      <c r="N69" s="253"/>
      <c r="O69" s="380"/>
      <c r="P69" s="253"/>
      <c r="Q69" s="380"/>
      <c r="R69" s="253"/>
      <c r="S69" s="380"/>
      <c r="T69" s="253"/>
      <c r="U69" s="380"/>
      <c r="V69" s="253"/>
      <c r="W69" s="380"/>
      <c r="X69" s="253"/>
      <c r="Y69" s="380"/>
      <c r="Z69" s="253"/>
      <c r="AA69" s="380"/>
      <c r="AB69" s="253"/>
      <c r="AC69" s="380"/>
      <c r="AD69" s="253"/>
      <c r="AE69" s="380"/>
      <c r="AF69" s="253">
        <v>0</v>
      </c>
      <c r="AG69" s="380"/>
      <c r="AH69" s="253">
        <v>0</v>
      </c>
      <c r="AI69" s="380"/>
      <c r="AJ69" s="253">
        <v>0</v>
      </c>
      <c r="AK69" s="380"/>
      <c r="AL69" s="253">
        <v>0</v>
      </c>
      <c r="AM69" s="380"/>
      <c r="AN69" s="253">
        <v>0</v>
      </c>
      <c r="AO69" s="380"/>
      <c r="AP69" s="253">
        <v>0</v>
      </c>
      <c r="AQ69" s="380"/>
      <c r="AR69" s="253">
        <v>0</v>
      </c>
      <c r="AS69" s="380"/>
      <c r="AT69" s="253">
        <v>0</v>
      </c>
      <c r="AU69" s="380"/>
      <c r="AV69" s="253">
        <v>0</v>
      </c>
      <c r="AW69" s="380"/>
      <c r="AX69" s="253">
        <v>0</v>
      </c>
      <c r="AY69" s="380"/>
      <c r="AZ69" s="253">
        <v>0</v>
      </c>
      <c r="BA69" s="380"/>
      <c r="BB69" s="253">
        <v>0</v>
      </c>
      <c r="BC69" s="380"/>
      <c r="BD69" s="253">
        <v>0</v>
      </c>
      <c r="BE69" s="380"/>
      <c r="BF69" s="253">
        <v>0</v>
      </c>
      <c r="BG69" s="380"/>
      <c r="BH69" s="253"/>
      <c r="BI69" s="254"/>
      <c r="CJ69" s="150"/>
      <c r="CK69" s="150"/>
      <c r="CL69" s="150"/>
      <c r="CM69" s="151"/>
      <c r="CN69" s="150"/>
      <c r="CO69" s="150"/>
      <c r="CP69" s="150"/>
      <c r="CQ69" s="150"/>
      <c r="CR69" s="150"/>
      <c r="CS69" s="150"/>
      <c r="CT69" s="150"/>
    </row>
    <row r="70" spans="1:98" s="10" customFormat="1" ht="12.75" customHeight="1">
      <c r="A70" s="310"/>
      <c r="B70" s="308" t="str">
        <f>Parameters!Q69</f>
        <v>M73</v>
      </c>
      <c r="C70" s="309"/>
      <c r="D70" s="495" t="str">
        <f>Parameters!S69</f>
        <v>Advertising and market research</v>
      </c>
      <c r="E70" s="496"/>
      <c r="F70" s="224"/>
      <c r="G70" s="379"/>
      <c r="H70" s="225"/>
      <c r="I70" s="379"/>
      <c r="J70" s="225"/>
      <c r="K70" s="379"/>
      <c r="L70" s="225"/>
      <c r="M70" s="379"/>
      <c r="N70" s="225"/>
      <c r="O70" s="379"/>
      <c r="P70" s="225"/>
      <c r="Q70" s="379"/>
      <c r="R70" s="225"/>
      <c r="S70" s="379"/>
      <c r="T70" s="225"/>
      <c r="U70" s="379"/>
      <c r="V70" s="225"/>
      <c r="W70" s="379"/>
      <c r="X70" s="225"/>
      <c r="Y70" s="379"/>
      <c r="Z70" s="225"/>
      <c r="AA70" s="379"/>
      <c r="AB70" s="225"/>
      <c r="AC70" s="379"/>
      <c r="AD70" s="225"/>
      <c r="AE70" s="379"/>
      <c r="AF70" s="165">
        <v>0</v>
      </c>
      <c r="AG70" s="379"/>
      <c r="AH70" s="165">
        <v>0</v>
      </c>
      <c r="AI70" s="379"/>
      <c r="AJ70" s="165">
        <v>0</v>
      </c>
      <c r="AK70" s="379"/>
      <c r="AL70" s="165">
        <v>0</v>
      </c>
      <c r="AM70" s="379"/>
      <c r="AN70" s="165">
        <v>0</v>
      </c>
      <c r="AO70" s="379"/>
      <c r="AP70" s="165">
        <v>0</v>
      </c>
      <c r="AQ70" s="379"/>
      <c r="AR70" s="165">
        <v>0</v>
      </c>
      <c r="AS70" s="379"/>
      <c r="AT70" s="165">
        <v>0</v>
      </c>
      <c r="AU70" s="379"/>
      <c r="AV70" s="165">
        <v>0</v>
      </c>
      <c r="AW70" s="379"/>
      <c r="AX70" s="165">
        <v>0</v>
      </c>
      <c r="AY70" s="379"/>
      <c r="AZ70" s="165">
        <v>0</v>
      </c>
      <c r="BA70" s="379"/>
      <c r="BB70" s="165">
        <v>0</v>
      </c>
      <c r="BC70" s="379"/>
      <c r="BD70" s="165">
        <v>0</v>
      </c>
      <c r="BE70" s="379"/>
      <c r="BF70" s="165">
        <v>0</v>
      </c>
      <c r="BG70" s="379"/>
      <c r="BH70" s="225"/>
      <c r="BI70" s="184"/>
      <c r="CJ70" s="150"/>
      <c r="CK70" s="150"/>
      <c r="CL70" s="150"/>
      <c r="CM70" s="151" t="s">
        <v>1022</v>
      </c>
      <c r="CN70" s="150" t="s">
        <v>1130</v>
      </c>
      <c r="CO70" s="150"/>
      <c r="CP70" s="150"/>
      <c r="CQ70" s="150"/>
      <c r="CR70" s="150"/>
      <c r="CS70" s="150"/>
      <c r="CT70" s="150"/>
    </row>
    <row r="71" spans="1:98" s="11" customFormat="1" ht="12.75" customHeight="1">
      <c r="A71" s="310"/>
      <c r="B71" s="308" t="str">
        <f>Parameters!Q70</f>
        <v>M74_M75</v>
      </c>
      <c r="C71" s="309"/>
      <c r="D71" s="495" t="str">
        <f>Parameters!S70</f>
        <v>Other professional, scientific and technical activities; veterinary activities</v>
      </c>
      <c r="E71" s="496"/>
      <c r="F71" s="224"/>
      <c r="G71" s="379"/>
      <c r="H71" s="225"/>
      <c r="I71" s="379"/>
      <c r="J71" s="225"/>
      <c r="K71" s="379"/>
      <c r="L71" s="225"/>
      <c r="M71" s="379"/>
      <c r="N71" s="225"/>
      <c r="O71" s="379"/>
      <c r="P71" s="225"/>
      <c r="Q71" s="379"/>
      <c r="R71" s="225"/>
      <c r="S71" s="379"/>
      <c r="T71" s="225"/>
      <c r="U71" s="379"/>
      <c r="V71" s="225"/>
      <c r="W71" s="379"/>
      <c r="X71" s="225"/>
      <c r="Y71" s="379"/>
      <c r="Z71" s="225"/>
      <c r="AA71" s="379"/>
      <c r="AB71" s="225"/>
      <c r="AC71" s="379"/>
      <c r="AD71" s="225"/>
      <c r="AE71" s="379"/>
      <c r="AF71" s="165">
        <v>0</v>
      </c>
      <c r="AG71" s="379"/>
      <c r="AH71" s="165">
        <v>0</v>
      </c>
      <c r="AI71" s="379"/>
      <c r="AJ71" s="165">
        <v>0</v>
      </c>
      <c r="AK71" s="379"/>
      <c r="AL71" s="165">
        <v>0</v>
      </c>
      <c r="AM71" s="379"/>
      <c r="AN71" s="165">
        <v>0</v>
      </c>
      <c r="AO71" s="379"/>
      <c r="AP71" s="165">
        <v>0</v>
      </c>
      <c r="AQ71" s="379"/>
      <c r="AR71" s="165">
        <v>0</v>
      </c>
      <c r="AS71" s="379"/>
      <c r="AT71" s="165">
        <v>0</v>
      </c>
      <c r="AU71" s="379"/>
      <c r="AV71" s="165">
        <v>0</v>
      </c>
      <c r="AW71" s="379"/>
      <c r="AX71" s="165">
        <v>0</v>
      </c>
      <c r="AY71" s="379"/>
      <c r="AZ71" s="165">
        <v>0</v>
      </c>
      <c r="BA71" s="379"/>
      <c r="BB71" s="165">
        <v>0</v>
      </c>
      <c r="BC71" s="379"/>
      <c r="BD71" s="165">
        <v>0</v>
      </c>
      <c r="BE71" s="379"/>
      <c r="BF71" s="165">
        <v>0</v>
      </c>
      <c r="BG71" s="379"/>
      <c r="BH71" s="225"/>
      <c r="BI71" s="184"/>
      <c r="CJ71" s="150"/>
      <c r="CK71" s="150"/>
      <c r="CL71" s="150"/>
      <c r="CM71" s="151" t="s">
        <v>1142</v>
      </c>
      <c r="CN71" s="150" t="s">
        <v>1130</v>
      </c>
      <c r="CO71" s="150"/>
      <c r="CP71" s="150"/>
      <c r="CQ71" s="150"/>
      <c r="CR71" s="150"/>
      <c r="CS71" s="150"/>
      <c r="CT71" s="150"/>
    </row>
    <row r="72" spans="1:98" s="11" customFormat="1" ht="12.75" customHeight="1">
      <c r="A72" s="25"/>
      <c r="B72" s="87" t="str">
        <f>Parameters!Q71</f>
        <v>N</v>
      </c>
      <c r="C72" s="88"/>
      <c r="D72" s="498" t="str">
        <f>Parameters!S71</f>
        <v>Administrative and support service activities</v>
      </c>
      <c r="E72" s="499"/>
      <c r="F72" s="222"/>
      <c r="G72" s="379"/>
      <c r="H72" s="223"/>
      <c r="I72" s="379"/>
      <c r="J72" s="223"/>
      <c r="K72" s="379"/>
      <c r="L72" s="223"/>
      <c r="M72" s="379"/>
      <c r="N72" s="223"/>
      <c r="O72" s="379"/>
      <c r="P72" s="223"/>
      <c r="Q72" s="379"/>
      <c r="R72" s="223"/>
      <c r="S72" s="379"/>
      <c r="T72" s="223"/>
      <c r="U72" s="379"/>
      <c r="V72" s="223"/>
      <c r="W72" s="379"/>
      <c r="X72" s="223"/>
      <c r="Y72" s="379"/>
      <c r="Z72" s="223"/>
      <c r="AA72" s="379"/>
      <c r="AB72" s="223"/>
      <c r="AC72" s="379"/>
      <c r="AD72" s="223"/>
      <c r="AE72" s="379"/>
      <c r="AF72" s="164">
        <v>0</v>
      </c>
      <c r="AG72" s="379"/>
      <c r="AH72" s="164">
        <v>0</v>
      </c>
      <c r="AI72" s="379"/>
      <c r="AJ72" s="164">
        <v>0</v>
      </c>
      <c r="AK72" s="379"/>
      <c r="AL72" s="164">
        <v>0</v>
      </c>
      <c r="AM72" s="379"/>
      <c r="AN72" s="164">
        <v>0</v>
      </c>
      <c r="AO72" s="379"/>
      <c r="AP72" s="164">
        <v>0</v>
      </c>
      <c r="AQ72" s="379"/>
      <c r="AR72" s="164">
        <v>0</v>
      </c>
      <c r="AS72" s="379"/>
      <c r="AT72" s="164">
        <v>0</v>
      </c>
      <c r="AU72" s="379"/>
      <c r="AV72" s="164">
        <v>0</v>
      </c>
      <c r="AW72" s="379"/>
      <c r="AX72" s="164">
        <v>0</v>
      </c>
      <c r="AY72" s="379"/>
      <c r="AZ72" s="164">
        <v>0</v>
      </c>
      <c r="BA72" s="379"/>
      <c r="BB72" s="164">
        <v>0</v>
      </c>
      <c r="BC72" s="379"/>
      <c r="BD72" s="164">
        <v>0</v>
      </c>
      <c r="BE72" s="379"/>
      <c r="BF72" s="164">
        <v>0</v>
      </c>
      <c r="BG72" s="379"/>
      <c r="BH72" s="223"/>
      <c r="BI72" s="184"/>
      <c r="CJ72" s="150"/>
      <c r="CK72" s="150"/>
      <c r="CL72" s="150"/>
      <c r="CM72" s="151" t="s">
        <v>1031</v>
      </c>
      <c r="CN72" s="150" t="s">
        <v>1130</v>
      </c>
      <c r="CO72" s="150"/>
      <c r="CP72" s="150"/>
      <c r="CQ72" s="150"/>
      <c r="CR72" s="150"/>
      <c r="CS72" s="150"/>
      <c r="CT72" s="150"/>
    </row>
    <row r="73" spans="1:98" s="11" customFormat="1" ht="12.75" customHeight="1">
      <c r="A73" s="310"/>
      <c r="B73" s="308" t="str">
        <f>Parameters!Q72</f>
        <v>N77</v>
      </c>
      <c r="C73" s="309"/>
      <c r="D73" s="495" t="str">
        <f>Parameters!S72</f>
        <v>Rental and leasing activities</v>
      </c>
      <c r="E73" s="496"/>
      <c r="F73" s="224"/>
      <c r="G73" s="379"/>
      <c r="H73" s="225"/>
      <c r="I73" s="379"/>
      <c r="J73" s="225"/>
      <c r="K73" s="379"/>
      <c r="L73" s="225"/>
      <c r="M73" s="379"/>
      <c r="N73" s="225"/>
      <c r="O73" s="379"/>
      <c r="P73" s="225"/>
      <c r="Q73" s="379"/>
      <c r="R73" s="225"/>
      <c r="S73" s="379"/>
      <c r="T73" s="225"/>
      <c r="U73" s="379"/>
      <c r="V73" s="225"/>
      <c r="W73" s="379"/>
      <c r="X73" s="225"/>
      <c r="Y73" s="379"/>
      <c r="Z73" s="225"/>
      <c r="AA73" s="379"/>
      <c r="AB73" s="225"/>
      <c r="AC73" s="379"/>
      <c r="AD73" s="225"/>
      <c r="AE73" s="379"/>
      <c r="AF73" s="165">
        <v>0</v>
      </c>
      <c r="AG73" s="379"/>
      <c r="AH73" s="165">
        <v>0</v>
      </c>
      <c r="AI73" s="379"/>
      <c r="AJ73" s="165">
        <v>0</v>
      </c>
      <c r="AK73" s="379"/>
      <c r="AL73" s="165">
        <v>0</v>
      </c>
      <c r="AM73" s="379"/>
      <c r="AN73" s="165">
        <v>0</v>
      </c>
      <c r="AO73" s="379"/>
      <c r="AP73" s="165">
        <v>0</v>
      </c>
      <c r="AQ73" s="379"/>
      <c r="AR73" s="165">
        <v>0</v>
      </c>
      <c r="AS73" s="379"/>
      <c r="AT73" s="165">
        <v>0</v>
      </c>
      <c r="AU73" s="379"/>
      <c r="AV73" s="165">
        <v>0</v>
      </c>
      <c r="AW73" s="379"/>
      <c r="AX73" s="165">
        <v>0</v>
      </c>
      <c r="AY73" s="379"/>
      <c r="AZ73" s="165">
        <v>0</v>
      </c>
      <c r="BA73" s="379"/>
      <c r="BB73" s="165">
        <v>0</v>
      </c>
      <c r="BC73" s="379"/>
      <c r="BD73" s="165">
        <v>0</v>
      </c>
      <c r="BE73" s="379"/>
      <c r="BF73" s="165">
        <v>0</v>
      </c>
      <c r="BG73" s="379"/>
      <c r="BH73" s="225"/>
      <c r="BI73" s="184"/>
      <c r="CJ73" s="150"/>
      <c r="CK73" s="150"/>
      <c r="CL73" s="150"/>
      <c r="CM73" s="151" t="s">
        <v>1035</v>
      </c>
      <c r="CN73" s="150" t="s">
        <v>1130</v>
      </c>
      <c r="CO73" s="150"/>
      <c r="CP73" s="150"/>
      <c r="CQ73" s="150"/>
      <c r="CR73" s="150"/>
      <c r="CS73" s="150"/>
      <c r="CT73" s="150"/>
    </row>
    <row r="74" spans="1:98" s="11" customFormat="1" ht="12.75" customHeight="1">
      <c r="A74" s="310"/>
      <c r="B74" s="308" t="str">
        <f>Parameters!Q73</f>
        <v>N78</v>
      </c>
      <c r="C74" s="309"/>
      <c r="D74" s="495" t="str">
        <f>Parameters!S73</f>
        <v>Employment activities</v>
      </c>
      <c r="E74" s="496"/>
      <c r="F74" s="224"/>
      <c r="G74" s="379"/>
      <c r="H74" s="225"/>
      <c r="I74" s="379"/>
      <c r="J74" s="225"/>
      <c r="K74" s="379"/>
      <c r="L74" s="225"/>
      <c r="M74" s="379"/>
      <c r="N74" s="225"/>
      <c r="O74" s="379"/>
      <c r="P74" s="225"/>
      <c r="Q74" s="379"/>
      <c r="R74" s="225"/>
      <c r="S74" s="379"/>
      <c r="T74" s="225"/>
      <c r="U74" s="379"/>
      <c r="V74" s="225"/>
      <c r="W74" s="379"/>
      <c r="X74" s="225"/>
      <c r="Y74" s="379"/>
      <c r="Z74" s="225"/>
      <c r="AA74" s="379"/>
      <c r="AB74" s="225"/>
      <c r="AC74" s="379"/>
      <c r="AD74" s="225"/>
      <c r="AE74" s="379"/>
      <c r="AF74" s="165">
        <v>0</v>
      </c>
      <c r="AG74" s="379"/>
      <c r="AH74" s="165">
        <v>0</v>
      </c>
      <c r="AI74" s="379"/>
      <c r="AJ74" s="165">
        <v>0</v>
      </c>
      <c r="AK74" s="379"/>
      <c r="AL74" s="165">
        <v>0</v>
      </c>
      <c r="AM74" s="379"/>
      <c r="AN74" s="165">
        <v>0</v>
      </c>
      <c r="AO74" s="379"/>
      <c r="AP74" s="165">
        <v>0</v>
      </c>
      <c r="AQ74" s="379"/>
      <c r="AR74" s="165">
        <v>0</v>
      </c>
      <c r="AS74" s="379"/>
      <c r="AT74" s="165">
        <v>0</v>
      </c>
      <c r="AU74" s="379"/>
      <c r="AV74" s="165">
        <v>0</v>
      </c>
      <c r="AW74" s="379"/>
      <c r="AX74" s="165">
        <v>0</v>
      </c>
      <c r="AY74" s="379"/>
      <c r="AZ74" s="165">
        <v>0</v>
      </c>
      <c r="BA74" s="379"/>
      <c r="BB74" s="165">
        <v>0</v>
      </c>
      <c r="BC74" s="379"/>
      <c r="BD74" s="165">
        <v>0</v>
      </c>
      <c r="BE74" s="379"/>
      <c r="BF74" s="165">
        <v>0</v>
      </c>
      <c r="BG74" s="379"/>
      <c r="BH74" s="225"/>
      <c r="BI74" s="184"/>
      <c r="CJ74" s="150"/>
      <c r="CK74" s="150"/>
      <c r="CL74" s="150"/>
      <c r="CM74" s="151" t="s">
        <v>1039</v>
      </c>
      <c r="CN74" s="150" t="s">
        <v>1130</v>
      </c>
      <c r="CO74" s="150"/>
      <c r="CP74" s="150"/>
      <c r="CQ74" s="150"/>
      <c r="CR74" s="150"/>
      <c r="CS74" s="150"/>
      <c r="CT74" s="150"/>
    </row>
    <row r="75" spans="1:98" s="11" customFormat="1" ht="12.75" customHeight="1">
      <c r="A75" s="310"/>
      <c r="B75" s="308" t="str">
        <f>Parameters!Q74</f>
        <v>N79</v>
      </c>
      <c r="C75" s="309"/>
      <c r="D75" s="495" t="str">
        <f>Parameters!S74</f>
        <v>Travel agency, tour operator reservation service and related activities</v>
      </c>
      <c r="E75" s="496"/>
      <c r="F75" s="224"/>
      <c r="G75" s="379"/>
      <c r="H75" s="225"/>
      <c r="I75" s="379"/>
      <c r="J75" s="225"/>
      <c r="K75" s="379"/>
      <c r="L75" s="225"/>
      <c r="M75" s="379"/>
      <c r="N75" s="225"/>
      <c r="O75" s="379"/>
      <c r="P75" s="225"/>
      <c r="Q75" s="379"/>
      <c r="R75" s="225"/>
      <c r="S75" s="379"/>
      <c r="T75" s="225"/>
      <c r="U75" s="379"/>
      <c r="V75" s="225"/>
      <c r="W75" s="379"/>
      <c r="X75" s="225"/>
      <c r="Y75" s="379"/>
      <c r="Z75" s="225"/>
      <c r="AA75" s="379"/>
      <c r="AB75" s="225"/>
      <c r="AC75" s="379"/>
      <c r="AD75" s="225"/>
      <c r="AE75" s="379"/>
      <c r="AF75" s="165">
        <v>0</v>
      </c>
      <c r="AG75" s="379"/>
      <c r="AH75" s="165">
        <v>0</v>
      </c>
      <c r="AI75" s="379"/>
      <c r="AJ75" s="165">
        <v>0</v>
      </c>
      <c r="AK75" s="379"/>
      <c r="AL75" s="165">
        <v>0</v>
      </c>
      <c r="AM75" s="379"/>
      <c r="AN75" s="165">
        <v>0</v>
      </c>
      <c r="AO75" s="379"/>
      <c r="AP75" s="165">
        <v>0</v>
      </c>
      <c r="AQ75" s="379"/>
      <c r="AR75" s="165">
        <v>0</v>
      </c>
      <c r="AS75" s="379"/>
      <c r="AT75" s="165">
        <v>0</v>
      </c>
      <c r="AU75" s="379"/>
      <c r="AV75" s="165">
        <v>0</v>
      </c>
      <c r="AW75" s="379"/>
      <c r="AX75" s="165">
        <v>0</v>
      </c>
      <c r="AY75" s="379"/>
      <c r="AZ75" s="165">
        <v>0</v>
      </c>
      <c r="BA75" s="379"/>
      <c r="BB75" s="165">
        <v>0</v>
      </c>
      <c r="BC75" s="379"/>
      <c r="BD75" s="165">
        <v>0</v>
      </c>
      <c r="BE75" s="379"/>
      <c r="BF75" s="165">
        <v>0</v>
      </c>
      <c r="BG75" s="379"/>
      <c r="BH75" s="225"/>
      <c r="BI75" s="184"/>
      <c r="CJ75" s="150"/>
      <c r="CK75" s="150"/>
      <c r="CL75" s="150"/>
      <c r="CM75" s="151" t="s">
        <v>1043</v>
      </c>
      <c r="CN75" s="150" t="s">
        <v>1130</v>
      </c>
      <c r="CO75" s="150"/>
      <c r="CP75" s="150"/>
      <c r="CQ75" s="150"/>
      <c r="CR75" s="150"/>
      <c r="CS75" s="150"/>
      <c r="CT75" s="150"/>
    </row>
    <row r="76" spans="1:98" s="11" customFormat="1">
      <c r="A76" s="310"/>
      <c r="B76" s="308" t="str">
        <f>Parameters!Q75</f>
        <v>N80-N82</v>
      </c>
      <c r="C76" s="309"/>
      <c r="D76" s="495" t="str">
        <f>Parameters!S75</f>
        <v>Security and investigation, service and landscape, office administrative and support activities</v>
      </c>
      <c r="E76" s="497"/>
      <c r="F76" s="224"/>
      <c r="G76" s="379"/>
      <c r="H76" s="225"/>
      <c r="I76" s="379"/>
      <c r="J76" s="225"/>
      <c r="K76" s="379"/>
      <c r="L76" s="225"/>
      <c r="M76" s="379"/>
      <c r="N76" s="225"/>
      <c r="O76" s="379"/>
      <c r="P76" s="225"/>
      <c r="Q76" s="379"/>
      <c r="R76" s="225"/>
      <c r="S76" s="379"/>
      <c r="T76" s="225"/>
      <c r="U76" s="379"/>
      <c r="V76" s="225"/>
      <c r="W76" s="379"/>
      <c r="X76" s="225"/>
      <c r="Y76" s="379"/>
      <c r="Z76" s="225"/>
      <c r="AA76" s="379"/>
      <c r="AB76" s="225"/>
      <c r="AC76" s="379"/>
      <c r="AD76" s="225"/>
      <c r="AE76" s="379"/>
      <c r="AF76" s="165">
        <v>0</v>
      </c>
      <c r="AG76" s="379"/>
      <c r="AH76" s="165">
        <v>0</v>
      </c>
      <c r="AI76" s="379"/>
      <c r="AJ76" s="165">
        <v>0</v>
      </c>
      <c r="AK76" s="379"/>
      <c r="AL76" s="165">
        <v>0</v>
      </c>
      <c r="AM76" s="379"/>
      <c r="AN76" s="165">
        <v>0</v>
      </c>
      <c r="AO76" s="379"/>
      <c r="AP76" s="165">
        <v>0</v>
      </c>
      <c r="AQ76" s="379"/>
      <c r="AR76" s="165">
        <v>0</v>
      </c>
      <c r="AS76" s="379"/>
      <c r="AT76" s="165">
        <v>0</v>
      </c>
      <c r="AU76" s="379"/>
      <c r="AV76" s="165">
        <v>0</v>
      </c>
      <c r="AW76" s="379"/>
      <c r="AX76" s="165">
        <v>0</v>
      </c>
      <c r="AY76" s="379"/>
      <c r="AZ76" s="165">
        <v>0</v>
      </c>
      <c r="BA76" s="379"/>
      <c r="BB76" s="165">
        <v>0</v>
      </c>
      <c r="BC76" s="379"/>
      <c r="BD76" s="165">
        <v>0</v>
      </c>
      <c r="BE76" s="379"/>
      <c r="BF76" s="165">
        <v>0</v>
      </c>
      <c r="BG76" s="379"/>
      <c r="BH76" s="225"/>
      <c r="BI76" s="184"/>
      <c r="CJ76" s="150"/>
      <c r="CK76" s="150"/>
      <c r="CL76" s="150"/>
      <c r="CM76" s="151" t="s">
        <v>1143</v>
      </c>
      <c r="CN76" s="150" t="s">
        <v>1130</v>
      </c>
      <c r="CO76" s="150"/>
      <c r="CP76" s="150"/>
      <c r="CQ76" s="150"/>
      <c r="CR76" s="150"/>
      <c r="CS76" s="150"/>
      <c r="CT76" s="150"/>
    </row>
    <row r="77" spans="1:98" s="11" customFormat="1" ht="12.75" customHeight="1">
      <c r="A77" s="25"/>
      <c r="B77" s="87" t="str">
        <f>Parameters!Q76</f>
        <v>O</v>
      </c>
      <c r="C77" s="88"/>
      <c r="D77" s="498" t="str">
        <f>Parameters!S76</f>
        <v>Public administration and defence; compulsory social security</v>
      </c>
      <c r="E77" s="499"/>
      <c r="F77" s="222"/>
      <c r="G77" s="379"/>
      <c r="H77" s="223"/>
      <c r="I77" s="379"/>
      <c r="J77" s="223"/>
      <c r="K77" s="379"/>
      <c r="L77" s="223"/>
      <c r="M77" s="379"/>
      <c r="N77" s="223"/>
      <c r="O77" s="379"/>
      <c r="P77" s="223"/>
      <c r="Q77" s="379"/>
      <c r="R77" s="223"/>
      <c r="S77" s="379"/>
      <c r="T77" s="223"/>
      <c r="U77" s="379"/>
      <c r="V77" s="223"/>
      <c r="W77" s="379"/>
      <c r="X77" s="223"/>
      <c r="Y77" s="379"/>
      <c r="Z77" s="223"/>
      <c r="AA77" s="379"/>
      <c r="AB77" s="223"/>
      <c r="AC77" s="379"/>
      <c r="AD77" s="223"/>
      <c r="AE77" s="379"/>
      <c r="AF77" s="164">
        <v>0</v>
      </c>
      <c r="AG77" s="379"/>
      <c r="AH77" s="164">
        <v>0</v>
      </c>
      <c r="AI77" s="379"/>
      <c r="AJ77" s="164">
        <v>0</v>
      </c>
      <c r="AK77" s="379"/>
      <c r="AL77" s="164">
        <v>0</v>
      </c>
      <c r="AM77" s="379"/>
      <c r="AN77" s="164">
        <v>0</v>
      </c>
      <c r="AO77" s="379"/>
      <c r="AP77" s="164">
        <v>0</v>
      </c>
      <c r="AQ77" s="379"/>
      <c r="AR77" s="164">
        <v>0</v>
      </c>
      <c r="AS77" s="379"/>
      <c r="AT77" s="164">
        <v>0</v>
      </c>
      <c r="AU77" s="379"/>
      <c r="AV77" s="164">
        <v>0</v>
      </c>
      <c r="AW77" s="379"/>
      <c r="AX77" s="164">
        <v>0</v>
      </c>
      <c r="AY77" s="379"/>
      <c r="AZ77" s="164">
        <v>0</v>
      </c>
      <c r="BA77" s="379"/>
      <c r="BB77" s="164">
        <v>0</v>
      </c>
      <c r="BC77" s="379"/>
      <c r="BD77" s="164">
        <v>0</v>
      </c>
      <c r="BE77" s="379"/>
      <c r="BF77" s="164">
        <v>0</v>
      </c>
      <c r="BG77" s="379"/>
      <c r="BH77" s="223"/>
      <c r="BI77" s="184"/>
      <c r="CJ77" s="150"/>
      <c r="CK77" s="150"/>
      <c r="CL77" s="150"/>
      <c r="CM77" s="151" t="s">
        <v>1051</v>
      </c>
      <c r="CN77" s="150" t="s">
        <v>1130</v>
      </c>
      <c r="CO77" s="150"/>
      <c r="CP77" s="150"/>
      <c r="CQ77" s="150"/>
      <c r="CR77" s="150"/>
      <c r="CS77" s="150"/>
      <c r="CT77" s="150"/>
    </row>
    <row r="78" spans="1:98" s="11" customFormat="1" ht="12.75" customHeight="1">
      <c r="A78" s="25"/>
      <c r="B78" s="87" t="str">
        <f>Parameters!Q77</f>
        <v>P</v>
      </c>
      <c r="C78" s="88"/>
      <c r="D78" s="498" t="str">
        <f>Parameters!S77</f>
        <v>Education</v>
      </c>
      <c r="E78" s="499"/>
      <c r="F78" s="222"/>
      <c r="G78" s="379"/>
      <c r="H78" s="223"/>
      <c r="I78" s="379"/>
      <c r="J78" s="223"/>
      <c r="K78" s="379"/>
      <c r="L78" s="223"/>
      <c r="M78" s="379"/>
      <c r="N78" s="223"/>
      <c r="O78" s="379"/>
      <c r="P78" s="223"/>
      <c r="Q78" s="379"/>
      <c r="R78" s="223"/>
      <c r="S78" s="379"/>
      <c r="T78" s="223"/>
      <c r="U78" s="379"/>
      <c r="V78" s="223"/>
      <c r="W78" s="379"/>
      <c r="X78" s="223"/>
      <c r="Y78" s="379"/>
      <c r="Z78" s="223"/>
      <c r="AA78" s="379"/>
      <c r="AB78" s="223"/>
      <c r="AC78" s="379"/>
      <c r="AD78" s="223"/>
      <c r="AE78" s="379"/>
      <c r="AF78" s="164">
        <v>0</v>
      </c>
      <c r="AG78" s="379"/>
      <c r="AH78" s="164">
        <v>0</v>
      </c>
      <c r="AI78" s="379"/>
      <c r="AJ78" s="164">
        <v>0</v>
      </c>
      <c r="AK78" s="379"/>
      <c r="AL78" s="164">
        <v>0</v>
      </c>
      <c r="AM78" s="379"/>
      <c r="AN78" s="164">
        <v>0</v>
      </c>
      <c r="AO78" s="379"/>
      <c r="AP78" s="164">
        <v>0</v>
      </c>
      <c r="AQ78" s="379"/>
      <c r="AR78" s="164">
        <v>0</v>
      </c>
      <c r="AS78" s="379"/>
      <c r="AT78" s="164">
        <v>0</v>
      </c>
      <c r="AU78" s="379"/>
      <c r="AV78" s="164">
        <v>0</v>
      </c>
      <c r="AW78" s="379"/>
      <c r="AX78" s="164">
        <v>0</v>
      </c>
      <c r="AY78" s="379"/>
      <c r="AZ78" s="164">
        <v>0</v>
      </c>
      <c r="BA78" s="379"/>
      <c r="BB78" s="164">
        <v>0</v>
      </c>
      <c r="BC78" s="379"/>
      <c r="BD78" s="164">
        <v>0</v>
      </c>
      <c r="BE78" s="379"/>
      <c r="BF78" s="164">
        <v>0</v>
      </c>
      <c r="BG78" s="379"/>
      <c r="BH78" s="223"/>
      <c r="BI78" s="184"/>
      <c r="CJ78" s="150"/>
      <c r="CK78" s="150"/>
      <c r="CL78" s="150"/>
      <c r="CM78" s="151" t="s">
        <v>271</v>
      </c>
      <c r="CN78" s="150" t="s">
        <v>1130</v>
      </c>
      <c r="CO78" s="150"/>
      <c r="CP78" s="150"/>
      <c r="CQ78" s="150"/>
      <c r="CR78" s="150"/>
      <c r="CS78" s="150"/>
      <c r="CT78" s="150"/>
    </row>
    <row r="79" spans="1:98" s="11" customFormat="1" ht="12.75" customHeight="1">
      <c r="A79" s="25"/>
      <c r="B79" s="87" t="str">
        <f>Parameters!Q78</f>
        <v>Q</v>
      </c>
      <c r="C79" s="88"/>
      <c r="D79" s="498" t="str">
        <f>Parameters!S78</f>
        <v>Human health and social work activities</v>
      </c>
      <c r="E79" s="499"/>
      <c r="F79" s="222"/>
      <c r="G79" s="379"/>
      <c r="H79" s="223"/>
      <c r="I79" s="379"/>
      <c r="J79" s="223"/>
      <c r="K79" s="379"/>
      <c r="L79" s="223"/>
      <c r="M79" s="379"/>
      <c r="N79" s="223"/>
      <c r="O79" s="379"/>
      <c r="P79" s="223"/>
      <c r="Q79" s="379"/>
      <c r="R79" s="223"/>
      <c r="S79" s="379"/>
      <c r="T79" s="223"/>
      <c r="U79" s="379"/>
      <c r="V79" s="223"/>
      <c r="W79" s="379"/>
      <c r="X79" s="223"/>
      <c r="Y79" s="379"/>
      <c r="Z79" s="223"/>
      <c r="AA79" s="379"/>
      <c r="AB79" s="223"/>
      <c r="AC79" s="379"/>
      <c r="AD79" s="223"/>
      <c r="AE79" s="379"/>
      <c r="AF79" s="164">
        <v>235</v>
      </c>
      <c r="AG79" s="379"/>
      <c r="AH79" s="164">
        <v>235</v>
      </c>
      <c r="AI79" s="379"/>
      <c r="AJ79" s="164">
        <v>235</v>
      </c>
      <c r="AK79" s="379"/>
      <c r="AL79" s="164">
        <v>235</v>
      </c>
      <c r="AM79" s="379"/>
      <c r="AN79" s="164">
        <v>235</v>
      </c>
      <c r="AO79" s="379"/>
      <c r="AP79" s="164">
        <v>235</v>
      </c>
      <c r="AQ79" s="379"/>
      <c r="AR79" s="164">
        <v>235</v>
      </c>
      <c r="AS79" s="379"/>
      <c r="AT79" s="164">
        <v>235</v>
      </c>
      <c r="AU79" s="379"/>
      <c r="AV79" s="164">
        <v>235</v>
      </c>
      <c r="AW79" s="379"/>
      <c r="AX79" s="164">
        <v>235</v>
      </c>
      <c r="AY79" s="379"/>
      <c r="AZ79" s="164">
        <v>235</v>
      </c>
      <c r="BA79" s="379"/>
      <c r="BB79" s="164">
        <v>235</v>
      </c>
      <c r="BC79" s="379"/>
      <c r="BD79" s="164">
        <v>235</v>
      </c>
      <c r="BE79" s="379"/>
      <c r="BF79" s="164">
        <v>235</v>
      </c>
      <c r="BG79" s="379"/>
      <c r="BH79" s="223"/>
      <c r="BI79" s="184"/>
      <c r="CJ79" s="150"/>
      <c r="CK79" s="150"/>
      <c r="CL79" s="150"/>
      <c r="CM79" s="151" t="s">
        <v>1059</v>
      </c>
      <c r="CN79" s="150" t="s">
        <v>1130</v>
      </c>
      <c r="CO79" s="150"/>
      <c r="CP79" s="150"/>
      <c r="CQ79" s="150"/>
      <c r="CR79" s="150"/>
      <c r="CS79" s="150"/>
      <c r="CT79" s="150"/>
    </row>
    <row r="80" spans="1:98" s="11" customFormat="1" ht="12.75" customHeight="1">
      <c r="A80" s="310"/>
      <c r="B80" s="308" t="str">
        <f>Parameters!Q79</f>
        <v>Q86</v>
      </c>
      <c r="C80" s="309"/>
      <c r="D80" s="495" t="str">
        <f>Parameters!S79</f>
        <v>Human health activities</v>
      </c>
      <c r="E80" s="497"/>
      <c r="F80" s="224"/>
      <c r="G80" s="379"/>
      <c r="H80" s="225"/>
      <c r="I80" s="379"/>
      <c r="J80" s="225"/>
      <c r="K80" s="379"/>
      <c r="L80" s="225"/>
      <c r="M80" s="379"/>
      <c r="N80" s="225"/>
      <c r="O80" s="379"/>
      <c r="P80" s="225"/>
      <c r="Q80" s="379"/>
      <c r="R80" s="225"/>
      <c r="S80" s="379"/>
      <c r="T80" s="225"/>
      <c r="U80" s="379"/>
      <c r="V80" s="225"/>
      <c r="W80" s="379"/>
      <c r="X80" s="225"/>
      <c r="Y80" s="379"/>
      <c r="Z80" s="225"/>
      <c r="AA80" s="379"/>
      <c r="AB80" s="225"/>
      <c r="AC80" s="379"/>
      <c r="AD80" s="225"/>
      <c r="AE80" s="379"/>
      <c r="AF80" s="165">
        <v>235</v>
      </c>
      <c r="AG80" s="379"/>
      <c r="AH80" s="165">
        <v>235</v>
      </c>
      <c r="AI80" s="379"/>
      <c r="AJ80" s="165">
        <v>235</v>
      </c>
      <c r="AK80" s="379"/>
      <c r="AL80" s="165">
        <v>235</v>
      </c>
      <c r="AM80" s="379"/>
      <c r="AN80" s="165">
        <v>235</v>
      </c>
      <c r="AO80" s="379"/>
      <c r="AP80" s="165">
        <v>235</v>
      </c>
      <c r="AQ80" s="379"/>
      <c r="AR80" s="165">
        <v>235</v>
      </c>
      <c r="AS80" s="379"/>
      <c r="AT80" s="165">
        <v>235</v>
      </c>
      <c r="AU80" s="379"/>
      <c r="AV80" s="165">
        <v>235</v>
      </c>
      <c r="AW80" s="379"/>
      <c r="AX80" s="165">
        <v>235</v>
      </c>
      <c r="AY80" s="379"/>
      <c r="AZ80" s="165">
        <v>235</v>
      </c>
      <c r="BA80" s="379"/>
      <c r="BB80" s="165">
        <v>235</v>
      </c>
      <c r="BC80" s="379"/>
      <c r="BD80" s="165">
        <v>235</v>
      </c>
      <c r="BE80" s="379"/>
      <c r="BF80" s="165">
        <v>235</v>
      </c>
      <c r="BG80" s="379"/>
      <c r="BH80" s="225"/>
      <c r="BI80" s="184"/>
      <c r="CJ80" s="150"/>
      <c r="CK80" s="150"/>
      <c r="CL80" s="150"/>
      <c r="CM80" s="151" t="s">
        <v>1063</v>
      </c>
      <c r="CN80" s="150" t="s">
        <v>1130</v>
      </c>
      <c r="CO80" s="150"/>
      <c r="CP80" s="150"/>
      <c r="CQ80" s="150"/>
      <c r="CR80" s="150"/>
      <c r="CS80" s="150"/>
      <c r="CT80" s="150"/>
    </row>
    <row r="81" spans="1:98" s="11" customFormat="1" ht="12.75" customHeight="1">
      <c r="A81" s="310"/>
      <c r="B81" s="308" t="str">
        <f>Parameters!Q80</f>
        <v>Q87_Q88</v>
      </c>
      <c r="C81" s="309"/>
      <c r="D81" s="495" t="str">
        <f>Parameters!S80</f>
        <v>Residential care activities and social work activities without accommodation</v>
      </c>
      <c r="E81" s="497"/>
      <c r="F81" s="224"/>
      <c r="G81" s="379"/>
      <c r="H81" s="225"/>
      <c r="I81" s="379"/>
      <c r="J81" s="225"/>
      <c r="K81" s="379"/>
      <c r="L81" s="225"/>
      <c r="M81" s="379"/>
      <c r="N81" s="225"/>
      <c r="O81" s="379"/>
      <c r="P81" s="225"/>
      <c r="Q81" s="379"/>
      <c r="R81" s="225"/>
      <c r="S81" s="379"/>
      <c r="T81" s="225"/>
      <c r="U81" s="379"/>
      <c r="V81" s="225"/>
      <c r="W81" s="379"/>
      <c r="X81" s="225"/>
      <c r="Y81" s="379"/>
      <c r="Z81" s="225"/>
      <c r="AA81" s="379"/>
      <c r="AB81" s="225"/>
      <c r="AC81" s="379"/>
      <c r="AD81" s="225"/>
      <c r="AE81" s="379"/>
      <c r="AF81" s="165">
        <v>0</v>
      </c>
      <c r="AG81" s="379"/>
      <c r="AH81" s="165">
        <v>0</v>
      </c>
      <c r="AI81" s="379"/>
      <c r="AJ81" s="165">
        <v>0</v>
      </c>
      <c r="AK81" s="379"/>
      <c r="AL81" s="165">
        <v>0</v>
      </c>
      <c r="AM81" s="379"/>
      <c r="AN81" s="165">
        <v>0</v>
      </c>
      <c r="AO81" s="379"/>
      <c r="AP81" s="165">
        <v>0</v>
      </c>
      <c r="AQ81" s="379"/>
      <c r="AR81" s="165">
        <v>0</v>
      </c>
      <c r="AS81" s="379"/>
      <c r="AT81" s="165">
        <v>0</v>
      </c>
      <c r="AU81" s="379"/>
      <c r="AV81" s="165">
        <v>0</v>
      </c>
      <c r="AW81" s="379"/>
      <c r="AX81" s="165">
        <v>0</v>
      </c>
      <c r="AY81" s="379"/>
      <c r="AZ81" s="165">
        <v>0</v>
      </c>
      <c r="BA81" s="379"/>
      <c r="BB81" s="165">
        <v>0</v>
      </c>
      <c r="BC81" s="379"/>
      <c r="BD81" s="165">
        <v>0</v>
      </c>
      <c r="BE81" s="379"/>
      <c r="BF81" s="165">
        <v>0</v>
      </c>
      <c r="BG81" s="379"/>
      <c r="BH81" s="225"/>
      <c r="BI81" s="184"/>
      <c r="CJ81" s="157"/>
      <c r="CK81" s="150"/>
      <c r="CL81" s="157"/>
      <c r="CM81" s="151" t="s">
        <v>1144</v>
      </c>
      <c r="CN81" s="150" t="s">
        <v>1130</v>
      </c>
      <c r="CO81" s="157"/>
      <c r="CP81" s="157"/>
      <c r="CQ81" s="157"/>
      <c r="CR81" s="157"/>
      <c r="CS81" s="157"/>
      <c r="CT81" s="157"/>
    </row>
    <row r="82" spans="1:98" s="11" customFormat="1" ht="12.75" customHeight="1">
      <c r="A82" s="25"/>
      <c r="B82" s="87" t="str">
        <f>Parameters!Q81</f>
        <v>R</v>
      </c>
      <c r="C82" s="88"/>
      <c r="D82" s="498" t="str">
        <f>Parameters!S81</f>
        <v>Arts, entertainment and recreation</v>
      </c>
      <c r="E82" s="499"/>
      <c r="F82" s="222"/>
      <c r="G82" s="379"/>
      <c r="H82" s="223"/>
      <c r="I82" s="379"/>
      <c r="J82" s="223"/>
      <c r="K82" s="379"/>
      <c r="L82" s="223"/>
      <c r="M82" s="379"/>
      <c r="N82" s="223"/>
      <c r="O82" s="379"/>
      <c r="P82" s="223"/>
      <c r="Q82" s="379"/>
      <c r="R82" s="223"/>
      <c r="S82" s="379"/>
      <c r="T82" s="223"/>
      <c r="U82" s="379"/>
      <c r="V82" s="223"/>
      <c r="W82" s="379"/>
      <c r="X82" s="223"/>
      <c r="Y82" s="379"/>
      <c r="Z82" s="223"/>
      <c r="AA82" s="379"/>
      <c r="AB82" s="223"/>
      <c r="AC82" s="379"/>
      <c r="AD82" s="223"/>
      <c r="AE82" s="379"/>
      <c r="AF82" s="164">
        <v>0</v>
      </c>
      <c r="AG82" s="379"/>
      <c r="AH82" s="164">
        <v>0</v>
      </c>
      <c r="AI82" s="379"/>
      <c r="AJ82" s="164">
        <v>0</v>
      </c>
      <c r="AK82" s="379"/>
      <c r="AL82" s="164">
        <v>0</v>
      </c>
      <c r="AM82" s="379"/>
      <c r="AN82" s="164">
        <v>0</v>
      </c>
      <c r="AO82" s="379"/>
      <c r="AP82" s="164">
        <v>0</v>
      </c>
      <c r="AQ82" s="379"/>
      <c r="AR82" s="164">
        <v>0</v>
      </c>
      <c r="AS82" s="379"/>
      <c r="AT82" s="164">
        <v>0</v>
      </c>
      <c r="AU82" s="379"/>
      <c r="AV82" s="164">
        <v>0</v>
      </c>
      <c r="AW82" s="379"/>
      <c r="AX82" s="164">
        <v>0</v>
      </c>
      <c r="AY82" s="379"/>
      <c r="AZ82" s="164">
        <v>0</v>
      </c>
      <c r="BA82" s="379"/>
      <c r="BB82" s="164">
        <v>0</v>
      </c>
      <c r="BC82" s="379"/>
      <c r="BD82" s="164">
        <v>0</v>
      </c>
      <c r="BE82" s="379"/>
      <c r="BF82" s="164">
        <v>0</v>
      </c>
      <c r="BG82" s="379"/>
      <c r="BH82" s="223"/>
      <c r="BI82" s="184"/>
      <c r="CJ82" s="157"/>
      <c r="CK82" s="150"/>
      <c r="CL82" s="157"/>
      <c r="CM82" s="151" t="s">
        <v>1070</v>
      </c>
      <c r="CN82" s="150" t="s">
        <v>1130</v>
      </c>
      <c r="CO82" s="157"/>
      <c r="CP82" s="157"/>
      <c r="CQ82" s="157"/>
      <c r="CR82" s="157"/>
      <c r="CS82" s="157"/>
      <c r="CT82" s="157"/>
    </row>
    <row r="83" spans="1:98" s="11" customFormat="1" ht="25.5" customHeight="1">
      <c r="A83" s="310"/>
      <c r="B83" s="308" t="str">
        <f>Parameters!Q82</f>
        <v>R90-R92</v>
      </c>
      <c r="C83" s="309"/>
      <c r="D83" s="495" t="str">
        <f>Parameters!S82</f>
        <v>Creative, arts and entertainment activities; libraries, archives, museums and other cultural activities; gambling and betting activities</v>
      </c>
      <c r="E83" s="497"/>
      <c r="F83" s="224"/>
      <c r="G83" s="379"/>
      <c r="H83" s="225"/>
      <c r="I83" s="379"/>
      <c r="J83" s="225"/>
      <c r="K83" s="379"/>
      <c r="L83" s="225"/>
      <c r="M83" s="379"/>
      <c r="N83" s="225"/>
      <c r="O83" s="379"/>
      <c r="P83" s="225"/>
      <c r="Q83" s="379"/>
      <c r="R83" s="225"/>
      <c r="S83" s="379"/>
      <c r="T83" s="225"/>
      <c r="U83" s="379"/>
      <c r="V83" s="225"/>
      <c r="W83" s="379"/>
      <c r="X83" s="225"/>
      <c r="Y83" s="379"/>
      <c r="Z83" s="225"/>
      <c r="AA83" s="379"/>
      <c r="AB83" s="225"/>
      <c r="AC83" s="379"/>
      <c r="AD83" s="225"/>
      <c r="AE83" s="379"/>
      <c r="AF83" s="165">
        <v>0</v>
      </c>
      <c r="AG83" s="379"/>
      <c r="AH83" s="165">
        <v>0</v>
      </c>
      <c r="AI83" s="379"/>
      <c r="AJ83" s="165">
        <v>0</v>
      </c>
      <c r="AK83" s="379"/>
      <c r="AL83" s="165">
        <v>0</v>
      </c>
      <c r="AM83" s="379"/>
      <c r="AN83" s="165">
        <v>0</v>
      </c>
      <c r="AO83" s="379"/>
      <c r="AP83" s="165">
        <v>0</v>
      </c>
      <c r="AQ83" s="379"/>
      <c r="AR83" s="165">
        <v>0</v>
      </c>
      <c r="AS83" s="379"/>
      <c r="AT83" s="165">
        <v>0</v>
      </c>
      <c r="AU83" s="379"/>
      <c r="AV83" s="165">
        <v>0</v>
      </c>
      <c r="AW83" s="379"/>
      <c r="AX83" s="165">
        <v>0</v>
      </c>
      <c r="AY83" s="379"/>
      <c r="AZ83" s="165">
        <v>0</v>
      </c>
      <c r="BA83" s="379"/>
      <c r="BB83" s="165">
        <v>0</v>
      </c>
      <c r="BC83" s="379"/>
      <c r="BD83" s="165">
        <v>0</v>
      </c>
      <c r="BE83" s="379"/>
      <c r="BF83" s="165">
        <v>0</v>
      </c>
      <c r="BG83" s="379"/>
      <c r="BH83" s="225"/>
      <c r="BI83" s="184"/>
      <c r="CJ83" s="157"/>
      <c r="CK83" s="150"/>
      <c r="CL83" s="157"/>
      <c r="CM83" s="151" t="s">
        <v>1145</v>
      </c>
      <c r="CN83" s="150" t="s">
        <v>1130</v>
      </c>
      <c r="CO83" s="157"/>
      <c r="CP83" s="157"/>
      <c r="CQ83" s="157"/>
      <c r="CR83" s="157"/>
      <c r="CS83" s="157"/>
      <c r="CT83" s="157"/>
    </row>
    <row r="84" spans="1:98" s="11" customFormat="1" ht="12.75" customHeight="1">
      <c r="A84" s="310"/>
      <c r="B84" s="308" t="str">
        <f>Parameters!Q83</f>
        <v>R93</v>
      </c>
      <c r="C84" s="309"/>
      <c r="D84" s="495" t="str">
        <f>Parameters!S83</f>
        <v>Sports activities and amusement and recreation activities</v>
      </c>
      <c r="E84" s="497"/>
      <c r="F84" s="224"/>
      <c r="G84" s="379"/>
      <c r="H84" s="225"/>
      <c r="I84" s="379"/>
      <c r="J84" s="225"/>
      <c r="K84" s="379"/>
      <c r="L84" s="225"/>
      <c r="M84" s="379"/>
      <c r="N84" s="225"/>
      <c r="O84" s="379"/>
      <c r="P84" s="225"/>
      <c r="Q84" s="379"/>
      <c r="R84" s="225"/>
      <c r="S84" s="379"/>
      <c r="T84" s="225"/>
      <c r="U84" s="379"/>
      <c r="V84" s="225"/>
      <c r="W84" s="379"/>
      <c r="X84" s="225"/>
      <c r="Y84" s="379"/>
      <c r="Z84" s="225"/>
      <c r="AA84" s="379"/>
      <c r="AB84" s="225"/>
      <c r="AC84" s="379"/>
      <c r="AD84" s="225"/>
      <c r="AE84" s="379"/>
      <c r="AF84" s="165">
        <v>0</v>
      </c>
      <c r="AG84" s="379"/>
      <c r="AH84" s="165">
        <v>0</v>
      </c>
      <c r="AI84" s="379"/>
      <c r="AJ84" s="165">
        <v>0</v>
      </c>
      <c r="AK84" s="379"/>
      <c r="AL84" s="165">
        <v>0</v>
      </c>
      <c r="AM84" s="379"/>
      <c r="AN84" s="165">
        <v>0</v>
      </c>
      <c r="AO84" s="379"/>
      <c r="AP84" s="165">
        <v>0</v>
      </c>
      <c r="AQ84" s="379"/>
      <c r="AR84" s="165">
        <v>0</v>
      </c>
      <c r="AS84" s="379"/>
      <c r="AT84" s="165">
        <v>0</v>
      </c>
      <c r="AU84" s="379"/>
      <c r="AV84" s="165">
        <v>0</v>
      </c>
      <c r="AW84" s="379"/>
      <c r="AX84" s="165">
        <v>0</v>
      </c>
      <c r="AY84" s="379"/>
      <c r="AZ84" s="165">
        <v>0</v>
      </c>
      <c r="BA84" s="379"/>
      <c r="BB84" s="165">
        <v>0</v>
      </c>
      <c r="BC84" s="379"/>
      <c r="BD84" s="165">
        <v>0</v>
      </c>
      <c r="BE84" s="379"/>
      <c r="BF84" s="165">
        <v>0</v>
      </c>
      <c r="BG84" s="379"/>
      <c r="BH84" s="225"/>
      <c r="BI84" s="184"/>
      <c r="CJ84" s="157"/>
      <c r="CK84" s="150"/>
      <c r="CL84" s="157"/>
      <c r="CM84" s="151" t="s">
        <v>1074</v>
      </c>
      <c r="CN84" s="150" t="s">
        <v>1130</v>
      </c>
      <c r="CO84" s="157"/>
      <c r="CP84" s="157"/>
      <c r="CQ84" s="157"/>
      <c r="CR84" s="157"/>
      <c r="CS84" s="157"/>
      <c r="CT84" s="157"/>
    </row>
    <row r="85" spans="1:98" s="11" customFormat="1" ht="12.75" customHeight="1">
      <c r="A85" s="25"/>
      <c r="B85" s="87" t="str">
        <f>Parameters!Q84</f>
        <v>S</v>
      </c>
      <c r="C85" s="88"/>
      <c r="D85" s="498" t="str">
        <f>Parameters!S84</f>
        <v>Other service activities</v>
      </c>
      <c r="E85" s="499"/>
      <c r="F85" s="222"/>
      <c r="G85" s="379"/>
      <c r="H85" s="223"/>
      <c r="I85" s="379"/>
      <c r="J85" s="223"/>
      <c r="K85" s="379"/>
      <c r="L85" s="223"/>
      <c r="M85" s="379"/>
      <c r="N85" s="223"/>
      <c r="O85" s="379"/>
      <c r="P85" s="223"/>
      <c r="Q85" s="379"/>
      <c r="R85" s="223"/>
      <c r="S85" s="379"/>
      <c r="T85" s="223"/>
      <c r="U85" s="379"/>
      <c r="V85" s="223"/>
      <c r="W85" s="379"/>
      <c r="X85" s="223"/>
      <c r="Y85" s="379"/>
      <c r="Z85" s="223"/>
      <c r="AA85" s="379"/>
      <c r="AB85" s="223"/>
      <c r="AC85" s="379"/>
      <c r="AD85" s="223"/>
      <c r="AE85" s="379"/>
      <c r="AF85" s="164">
        <v>0</v>
      </c>
      <c r="AG85" s="379"/>
      <c r="AH85" s="164">
        <v>0</v>
      </c>
      <c r="AI85" s="379"/>
      <c r="AJ85" s="164">
        <v>0</v>
      </c>
      <c r="AK85" s="379"/>
      <c r="AL85" s="164">
        <v>0</v>
      </c>
      <c r="AM85" s="379"/>
      <c r="AN85" s="164">
        <v>0</v>
      </c>
      <c r="AO85" s="379"/>
      <c r="AP85" s="164">
        <v>0</v>
      </c>
      <c r="AQ85" s="379"/>
      <c r="AR85" s="164">
        <v>0</v>
      </c>
      <c r="AS85" s="379"/>
      <c r="AT85" s="164">
        <v>0</v>
      </c>
      <c r="AU85" s="379"/>
      <c r="AV85" s="164">
        <v>0</v>
      </c>
      <c r="AW85" s="379"/>
      <c r="AX85" s="164">
        <v>0</v>
      </c>
      <c r="AY85" s="379"/>
      <c r="AZ85" s="164">
        <v>0</v>
      </c>
      <c r="BA85" s="379"/>
      <c r="BB85" s="164">
        <v>0</v>
      </c>
      <c r="BC85" s="379"/>
      <c r="BD85" s="164">
        <v>0</v>
      </c>
      <c r="BE85" s="379"/>
      <c r="BF85" s="164">
        <v>0</v>
      </c>
      <c r="BG85" s="379"/>
      <c r="BH85" s="223"/>
      <c r="BI85" s="184"/>
      <c r="CJ85" s="157"/>
      <c r="CK85" s="150"/>
      <c r="CL85" s="157"/>
      <c r="CM85" s="151" t="s">
        <v>1076</v>
      </c>
      <c r="CN85" s="150" t="s">
        <v>1130</v>
      </c>
      <c r="CO85" s="157"/>
      <c r="CP85" s="157"/>
      <c r="CQ85" s="157"/>
      <c r="CR85" s="157"/>
      <c r="CS85" s="157"/>
      <c r="CT85" s="157"/>
    </row>
    <row r="86" spans="1:98" s="10" customFormat="1" ht="12.75" customHeight="1">
      <c r="A86" s="310"/>
      <c r="B86" s="308" t="str">
        <f>Parameters!Q85</f>
        <v>S94</v>
      </c>
      <c r="C86" s="309"/>
      <c r="D86" s="495" t="str">
        <f>Parameters!S85</f>
        <v>Activities of membership organisations</v>
      </c>
      <c r="E86" s="496"/>
      <c r="F86" s="224"/>
      <c r="G86" s="379"/>
      <c r="H86" s="225"/>
      <c r="I86" s="379"/>
      <c r="J86" s="225"/>
      <c r="K86" s="379"/>
      <c r="L86" s="225"/>
      <c r="M86" s="379"/>
      <c r="N86" s="225"/>
      <c r="O86" s="379"/>
      <c r="P86" s="225"/>
      <c r="Q86" s="379"/>
      <c r="R86" s="225"/>
      <c r="S86" s="379"/>
      <c r="T86" s="225"/>
      <c r="U86" s="379"/>
      <c r="V86" s="225"/>
      <c r="W86" s="379"/>
      <c r="X86" s="225"/>
      <c r="Y86" s="379"/>
      <c r="Z86" s="225"/>
      <c r="AA86" s="379"/>
      <c r="AB86" s="225"/>
      <c r="AC86" s="379"/>
      <c r="AD86" s="225"/>
      <c r="AE86" s="379"/>
      <c r="AF86" s="165">
        <v>0</v>
      </c>
      <c r="AG86" s="379"/>
      <c r="AH86" s="165">
        <v>0</v>
      </c>
      <c r="AI86" s="379"/>
      <c r="AJ86" s="165">
        <v>0</v>
      </c>
      <c r="AK86" s="379"/>
      <c r="AL86" s="165">
        <v>0</v>
      </c>
      <c r="AM86" s="379"/>
      <c r="AN86" s="165">
        <v>0</v>
      </c>
      <c r="AO86" s="379"/>
      <c r="AP86" s="165">
        <v>0</v>
      </c>
      <c r="AQ86" s="379"/>
      <c r="AR86" s="165">
        <v>0</v>
      </c>
      <c r="AS86" s="379"/>
      <c r="AT86" s="165">
        <v>0</v>
      </c>
      <c r="AU86" s="379"/>
      <c r="AV86" s="165">
        <v>0</v>
      </c>
      <c r="AW86" s="379"/>
      <c r="AX86" s="165">
        <v>0</v>
      </c>
      <c r="AY86" s="379"/>
      <c r="AZ86" s="165">
        <v>0</v>
      </c>
      <c r="BA86" s="379"/>
      <c r="BB86" s="165">
        <v>0</v>
      </c>
      <c r="BC86" s="379"/>
      <c r="BD86" s="165">
        <v>0</v>
      </c>
      <c r="BE86" s="379"/>
      <c r="BF86" s="165">
        <v>0</v>
      </c>
      <c r="BG86" s="379"/>
      <c r="BH86" s="225"/>
      <c r="BI86" s="184"/>
      <c r="CJ86" s="157"/>
      <c r="CK86" s="150"/>
      <c r="CL86" s="157"/>
      <c r="CM86" s="151" t="s">
        <v>1078</v>
      </c>
      <c r="CN86" s="150" t="s">
        <v>1130</v>
      </c>
      <c r="CO86" s="157"/>
      <c r="CP86" s="157"/>
      <c r="CQ86" s="157"/>
      <c r="CR86" s="157"/>
      <c r="CS86" s="157"/>
      <c r="CT86" s="157"/>
    </row>
    <row r="87" spans="1:98" s="10" customFormat="1" ht="12.75" customHeight="1">
      <c r="A87" s="310"/>
      <c r="B87" s="308" t="str">
        <f>Parameters!Q86</f>
        <v>S95</v>
      </c>
      <c r="C87" s="309"/>
      <c r="D87" s="495" t="str">
        <f>Parameters!S86</f>
        <v>Repair of computers and personal and household goods</v>
      </c>
      <c r="E87" s="497"/>
      <c r="F87" s="224"/>
      <c r="G87" s="379"/>
      <c r="H87" s="225"/>
      <c r="I87" s="379"/>
      <c r="J87" s="225"/>
      <c r="K87" s="379"/>
      <c r="L87" s="225"/>
      <c r="M87" s="379"/>
      <c r="N87" s="225"/>
      <c r="O87" s="379"/>
      <c r="P87" s="225"/>
      <c r="Q87" s="379"/>
      <c r="R87" s="225"/>
      <c r="S87" s="379"/>
      <c r="T87" s="225"/>
      <c r="U87" s="379"/>
      <c r="V87" s="225"/>
      <c r="W87" s="379"/>
      <c r="X87" s="225"/>
      <c r="Y87" s="379"/>
      <c r="Z87" s="225"/>
      <c r="AA87" s="379"/>
      <c r="AB87" s="225"/>
      <c r="AC87" s="379"/>
      <c r="AD87" s="225"/>
      <c r="AE87" s="379"/>
      <c r="AF87" s="165">
        <v>0</v>
      </c>
      <c r="AG87" s="379"/>
      <c r="AH87" s="165">
        <v>0</v>
      </c>
      <c r="AI87" s="379"/>
      <c r="AJ87" s="165">
        <v>0</v>
      </c>
      <c r="AK87" s="379"/>
      <c r="AL87" s="165">
        <v>0</v>
      </c>
      <c r="AM87" s="379"/>
      <c r="AN87" s="165">
        <v>0</v>
      </c>
      <c r="AO87" s="379"/>
      <c r="AP87" s="165">
        <v>0</v>
      </c>
      <c r="AQ87" s="379"/>
      <c r="AR87" s="165">
        <v>0</v>
      </c>
      <c r="AS87" s="379"/>
      <c r="AT87" s="165">
        <v>0</v>
      </c>
      <c r="AU87" s="379"/>
      <c r="AV87" s="165">
        <v>0</v>
      </c>
      <c r="AW87" s="379"/>
      <c r="AX87" s="165">
        <v>0</v>
      </c>
      <c r="AY87" s="379"/>
      <c r="AZ87" s="165">
        <v>0</v>
      </c>
      <c r="BA87" s="379"/>
      <c r="BB87" s="165">
        <v>0</v>
      </c>
      <c r="BC87" s="379"/>
      <c r="BD87" s="165">
        <v>0</v>
      </c>
      <c r="BE87" s="379"/>
      <c r="BF87" s="165">
        <v>0</v>
      </c>
      <c r="BG87" s="379"/>
      <c r="BH87" s="225"/>
      <c r="BI87" s="184"/>
      <c r="CJ87" s="157"/>
      <c r="CK87" s="150"/>
      <c r="CL87" s="157"/>
      <c r="CM87" s="151" t="s">
        <v>1080</v>
      </c>
      <c r="CN87" s="150" t="s">
        <v>1130</v>
      </c>
      <c r="CO87" s="157"/>
      <c r="CP87" s="157"/>
      <c r="CQ87" s="157"/>
      <c r="CR87" s="157"/>
      <c r="CS87" s="157"/>
      <c r="CT87" s="157"/>
    </row>
    <row r="88" spans="1:98" s="10" customFormat="1" ht="12.75" customHeight="1">
      <c r="A88" s="310"/>
      <c r="B88" s="308" t="str">
        <f>Parameters!Q87</f>
        <v>S96</v>
      </c>
      <c r="C88" s="309"/>
      <c r="D88" s="495" t="str">
        <f>Parameters!S87</f>
        <v>Other personal service activities</v>
      </c>
      <c r="E88" s="497"/>
      <c r="F88" s="224"/>
      <c r="G88" s="379"/>
      <c r="H88" s="225"/>
      <c r="I88" s="379"/>
      <c r="J88" s="225"/>
      <c r="K88" s="379"/>
      <c r="L88" s="225"/>
      <c r="M88" s="379"/>
      <c r="N88" s="225"/>
      <c r="O88" s="379"/>
      <c r="P88" s="225"/>
      <c r="Q88" s="379"/>
      <c r="R88" s="225"/>
      <c r="S88" s="379"/>
      <c r="T88" s="225"/>
      <c r="U88" s="379"/>
      <c r="V88" s="225"/>
      <c r="W88" s="379"/>
      <c r="X88" s="225"/>
      <c r="Y88" s="379"/>
      <c r="Z88" s="225"/>
      <c r="AA88" s="379"/>
      <c r="AB88" s="225"/>
      <c r="AC88" s="379"/>
      <c r="AD88" s="225"/>
      <c r="AE88" s="379"/>
      <c r="AF88" s="165">
        <v>0</v>
      </c>
      <c r="AG88" s="379"/>
      <c r="AH88" s="165">
        <v>0</v>
      </c>
      <c r="AI88" s="379"/>
      <c r="AJ88" s="165">
        <v>0</v>
      </c>
      <c r="AK88" s="379"/>
      <c r="AL88" s="165">
        <v>0</v>
      </c>
      <c r="AM88" s="379"/>
      <c r="AN88" s="165">
        <v>0</v>
      </c>
      <c r="AO88" s="379"/>
      <c r="AP88" s="165">
        <v>0</v>
      </c>
      <c r="AQ88" s="379"/>
      <c r="AR88" s="165">
        <v>0</v>
      </c>
      <c r="AS88" s="379"/>
      <c r="AT88" s="165">
        <v>0</v>
      </c>
      <c r="AU88" s="379"/>
      <c r="AV88" s="165">
        <v>0</v>
      </c>
      <c r="AW88" s="379"/>
      <c r="AX88" s="165">
        <v>0</v>
      </c>
      <c r="AY88" s="379"/>
      <c r="AZ88" s="165">
        <v>0</v>
      </c>
      <c r="BA88" s="379"/>
      <c r="BB88" s="165">
        <v>0</v>
      </c>
      <c r="BC88" s="379"/>
      <c r="BD88" s="165">
        <v>0</v>
      </c>
      <c r="BE88" s="379"/>
      <c r="BF88" s="165">
        <v>0</v>
      </c>
      <c r="BG88" s="379"/>
      <c r="BH88" s="225"/>
      <c r="BI88" s="184"/>
      <c r="CJ88" s="157"/>
      <c r="CK88" s="150"/>
      <c r="CL88" s="157"/>
      <c r="CM88" s="151" t="s">
        <v>1082</v>
      </c>
      <c r="CN88" s="150" t="s">
        <v>1130</v>
      </c>
      <c r="CO88" s="157"/>
      <c r="CP88" s="157"/>
      <c r="CQ88" s="157"/>
      <c r="CR88" s="157"/>
      <c r="CS88" s="157"/>
      <c r="CT88" s="157"/>
    </row>
    <row r="89" spans="1:98" s="10" customFormat="1" ht="30.75" customHeight="1">
      <c r="A89" s="25"/>
      <c r="B89" s="87" t="str">
        <f>Parameters!Q88</f>
        <v>T</v>
      </c>
      <c r="C89" s="88"/>
      <c r="D89" s="498" t="str">
        <f>Parameters!S88</f>
        <v>Activities of households as employers; undifferentiated goods- and services-producing activities of households for own use</v>
      </c>
      <c r="E89" s="499"/>
      <c r="F89" s="222"/>
      <c r="G89" s="379"/>
      <c r="H89" s="231"/>
      <c r="I89" s="379"/>
      <c r="J89" s="231"/>
      <c r="K89" s="379"/>
      <c r="L89" s="231"/>
      <c r="M89" s="379"/>
      <c r="N89" s="231"/>
      <c r="O89" s="379"/>
      <c r="P89" s="231"/>
      <c r="Q89" s="379"/>
      <c r="R89" s="231"/>
      <c r="S89" s="379"/>
      <c r="T89" s="231"/>
      <c r="U89" s="379"/>
      <c r="V89" s="231"/>
      <c r="W89" s="379"/>
      <c r="X89" s="231"/>
      <c r="Y89" s="379"/>
      <c r="Z89" s="231"/>
      <c r="AA89" s="379"/>
      <c r="AB89" s="231"/>
      <c r="AC89" s="379"/>
      <c r="AD89" s="231"/>
      <c r="AE89" s="379"/>
      <c r="AF89" s="169">
        <v>0</v>
      </c>
      <c r="AG89" s="379"/>
      <c r="AH89" s="169">
        <v>0</v>
      </c>
      <c r="AI89" s="379"/>
      <c r="AJ89" s="169">
        <v>0</v>
      </c>
      <c r="AK89" s="379"/>
      <c r="AL89" s="169">
        <v>0</v>
      </c>
      <c r="AM89" s="379"/>
      <c r="AN89" s="169">
        <v>0</v>
      </c>
      <c r="AO89" s="379"/>
      <c r="AP89" s="169">
        <v>0</v>
      </c>
      <c r="AQ89" s="379"/>
      <c r="AR89" s="169">
        <v>0</v>
      </c>
      <c r="AS89" s="379"/>
      <c r="AT89" s="169">
        <v>0</v>
      </c>
      <c r="AU89" s="379"/>
      <c r="AV89" s="164">
        <v>0</v>
      </c>
      <c r="AW89" s="379"/>
      <c r="AX89" s="164">
        <v>0</v>
      </c>
      <c r="AY89" s="379"/>
      <c r="AZ89" s="164">
        <v>0</v>
      </c>
      <c r="BA89" s="379"/>
      <c r="BB89" s="164">
        <v>0</v>
      </c>
      <c r="BC89" s="379"/>
      <c r="BD89" s="164">
        <v>0</v>
      </c>
      <c r="BE89" s="379"/>
      <c r="BF89" s="164">
        <v>0</v>
      </c>
      <c r="BG89" s="379"/>
      <c r="BH89" s="223"/>
      <c r="BI89" s="184"/>
      <c r="CJ89" s="157"/>
      <c r="CK89" s="150"/>
      <c r="CL89" s="157"/>
      <c r="CM89" s="151" t="s">
        <v>647</v>
      </c>
      <c r="CN89" s="150" t="s">
        <v>1130</v>
      </c>
      <c r="CO89" s="157"/>
      <c r="CP89" s="157"/>
      <c r="CQ89" s="157"/>
      <c r="CR89" s="157"/>
      <c r="CS89" s="157"/>
      <c r="CT89" s="157"/>
    </row>
    <row r="90" spans="1:98" s="10" customFormat="1" ht="17.25" customHeight="1" thickBot="1">
      <c r="A90" s="25"/>
      <c r="B90" s="98" t="str">
        <f>Parameters!Q89</f>
        <v>U</v>
      </c>
      <c r="C90" s="14"/>
      <c r="D90" s="500" t="str">
        <f>Parameters!S89</f>
        <v>Activities of extraterritorial organisations and bodies</v>
      </c>
      <c r="E90" s="501"/>
      <c r="F90" s="222"/>
      <c r="G90" s="379"/>
      <c r="H90" s="223"/>
      <c r="I90" s="379"/>
      <c r="J90" s="223"/>
      <c r="K90" s="379"/>
      <c r="L90" s="223"/>
      <c r="M90" s="379"/>
      <c r="N90" s="223"/>
      <c r="O90" s="379"/>
      <c r="P90" s="223"/>
      <c r="Q90" s="379"/>
      <c r="R90" s="223"/>
      <c r="S90" s="379"/>
      <c r="T90" s="223"/>
      <c r="U90" s="379"/>
      <c r="V90" s="223"/>
      <c r="W90" s="379"/>
      <c r="X90" s="223"/>
      <c r="Y90" s="379"/>
      <c r="Z90" s="223"/>
      <c r="AA90" s="379"/>
      <c r="AB90" s="223"/>
      <c r="AC90" s="379"/>
      <c r="AD90" s="223"/>
      <c r="AE90" s="379"/>
      <c r="AF90" s="164">
        <v>0</v>
      </c>
      <c r="AG90" s="379" t="s">
        <v>422</v>
      </c>
      <c r="AH90" s="164">
        <v>0</v>
      </c>
      <c r="AI90" s="379" t="s">
        <v>422</v>
      </c>
      <c r="AJ90" s="164">
        <v>0</v>
      </c>
      <c r="AK90" s="379" t="s">
        <v>422</v>
      </c>
      <c r="AL90" s="164">
        <v>0</v>
      </c>
      <c r="AM90" s="379" t="s">
        <v>422</v>
      </c>
      <c r="AN90" s="164">
        <v>0</v>
      </c>
      <c r="AO90" s="379" t="s">
        <v>422</v>
      </c>
      <c r="AP90" s="164">
        <v>0</v>
      </c>
      <c r="AQ90" s="379" t="s">
        <v>422</v>
      </c>
      <c r="AR90" s="164">
        <v>0</v>
      </c>
      <c r="AS90" s="379" t="s">
        <v>422</v>
      </c>
      <c r="AT90" s="164">
        <v>0</v>
      </c>
      <c r="AU90" s="379" t="s">
        <v>422</v>
      </c>
      <c r="AV90" s="164">
        <v>0</v>
      </c>
      <c r="AW90" s="379" t="s">
        <v>422</v>
      </c>
      <c r="AX90" s="164">
        <v>0</v>
      </c>
      <c r="AY90" s="379" t="s">
        <v>422</v>
      </c>
      <c r="AZ90" s="164">
        <v>0</v>
      </c>
      <c r="BA90" s="379" t="s">
        <v>422</v>
      </c>
      <c r="BB90" s="164">
        <v>0</v>
      </c>
      <c r="BC90" s="379" t="s">
        <v>422</v>
      </c>
      <c r="BD90" s="164">
        <v>0</v>
      </c>
      <c r="BE90" s="379" t="s">
        <v>422</v>
      </c>
      <c r="BF90" s="164">
        <v>0</v>
      </c>
      <c r="BG90" s="379" t="s">
        <v>422</v>
      </c>
      <c r="BH90" s="223"/>
      <c r="BI90" s="184"/>
      <c r="CJ90" s="157"/>
      <c r="CK90" s="150"/>
      <c r="CL90" s="157"/>
      <c r="CM90" s="151" t="s">
        <v>1085</v>
      </c>
      <c r="CN90" s="150" t="s">
        <v>1130</v>
      </c>
      <c r="CO90" s="157"/>
      <c r="CP90" s="157"/>
      <c r="CQ90" s="157"/>
      <c r="CR90" s="157"/>
      <c r="CS90" s="157"/>
      <c r="CT90" s="157"/>
    </row>
    <row r="91" spans="1:98" ht="45" customHeight="1">
      <c r="A91" s="66"/>
      <c r="B91" s="492" t="s">
        <v>571</v>
      </c>
      <c r="C91" s="502"/>
      <c r="D91" s="502"/>
      <c r="E91" s="503"/>
      <c r="F91" s="232"/>
      <c r="G91" s="181"/>
      <c r="H91" s="233"/>
      <c r="I91" s="181"/>
      <c r="J91" s="233"/>
      <c r="K91" s="181"/>
      <c r="L91" s="233"/>
      <c r="M91" s="181"/>
      <c r="N91" s="233"/>
      <c r="O91" s="181"/>
      <c r="P91" s="233"/>
      <c r="Q91" s="181"/>
      <c r="R91" s="233"/>
      <c r="S91" s="181"/>
      <c r="T91" s="233"/>
      <c r="U91" s="181"/>
      <c r="V91" s="233"/>
      <c r="W91" s="181"/>
      <c r="X91" s="233"/>
      <c r="Y91" s="181"/>
      <c r="Z91" s="233"/>
      <c r="AA91" s="181"/>
      <c r="AB91" s="233"/>
      <c r="AC91" s="181"/>
      <c r="AD91" s="233"/>
      <c r="AE91" s="181"/>
      <c r="AF91" s="170">
        <v>8134.9844720000001</v>
      </c>
      <c r="AG91" s="181"/>
      <c r="AH91" s="170">
        <v>8083.0096160000003</v>
      </c>
      <c r="AI91" s="181"/>
      <c r="AJ91" s="170">
        <v>8031.5545330000004</v>
      </c>
      <c r="AK91" s="181"/>
      <c r="AL91" s="170">
        <v>5043.1139825</v>
      </c>
      <c r="AM91" s="181"/>
      <c r="AN91" s="170">
        <v>4992.6828415</v>
      </c>
      <c r="AO91" s="181"/>
      <c r="AP91" s="170">
        <v>4942.7560105000002</v>
      </c>
      <c r="AQ91" s="181"/>
      <c r="AR91" s="170">
        <v>4893.3284604999999</v>
      </c>
      <c r="AS91" s="181"/>
      <c r="AT91" s="248">
        <v>24989.199324000001</v>
      </c>
      <c r="AU91" s="181" t="s">
        <v>434</v>
      </c>
      <c r="AV91" s="171">
        <v>24739.307350499999</v>
      </c>
      <c r="AW91" s="181"/>
      <c r="AX91" s="171">
        <v>24491.914272999999</v>
      </c>
      <c r="AY91" s="181"/>
      <c r="AZ91" s="171">
        <v>24246.995134500001</v>
      </c>
      <c r="BA91" s="181"/>
      <c r="BB91" s="171">
        <v>24004.521499999999</v>
      </c>
      <c r="BC91" s="181"/>
      <c r="BD91" s="171">
        <v>23765.55</v>
      </c>
      <c r="BE91" s="181"/>
      <c r="BF91" s="171">
        <v>23526.83512</v>
      </c>
      <c r="BG91" s="181"/>
      <c r="BH91" s="234"/>
      <c r="BI91" s="183"/>
      <c r="CJ91" s="157"/>
      <c r="CK91" s="150"/>
      <c r="CL91" s="157"/>
      <c r="CM91" s="151" t="s">
        <v>1088</v>
      </c>
      <c r="CN91" s="150" t="s">
        <v>1130</v>
      </c>
      <c r="CO91" s="157"/>
      <c r="CP91" s="157"/>
      <c r="CQ91" s="157"/>
      <c r="CR91" s="157"/>
      <c r="CS91" s="157"/>
      <c r="CT91" s="157"/>
    </row>
    <row r="92" spans="1:98">
      <c r="A92" s="66"/>
      <c r="B92" s="3"/>
      <c r="C92" s="99"/>
      <c r="D92" s="488" t="s">
        <v>572</v>
      </c>
      <c r="E92" s="489"/>
      <c r="F92" s="235"/>
      <c r="G92" s="379"/>
      <c r="H92" s="236"/>
      <c r="I92" s="379"/>
      <c r="J92" s="236"/>
      <c r="K92" s="379"/>
      <c r="L92" s="236"/>
      <c r="M92" s="379"/>
      <c r="N92" s="236"/>
      <c r="O92" s="379"/>
      <c r="P92" s="236"/>
      <c r="Q92" s="379"/>
      <c r="R92" s="236"/>
      <c r="S92" s="379"/>
      <c r="T92" s="236"/>
      <c r="U92" s="379"/>
      <c r="V92" s="236"/>
      <c r="W92" s="379"/>
      <c r="X92" s="236"/>
      <c r="Y92" s="379"/>
      <c r="Z92" s="236"/>
      <c r="AA92" s="379"/>
      <c r="AB92" s="236"/>
      <c r="AC92" s="379"/>
      <c r="AD92" s="236"/>
      <c r="AE92" s="379"/>
      <c r="AF92" s="172">
        <v>0</v>
      </c>
      <c r="AG92" s="379"/>
      <c r="AH92" s="172">
        <v>0</v>
      </c>
      <c r="AI92" s="379"/>
      <c r="AJ92" s="172">
        <v>0</v>
      </c>
      <c r="AK92" s="379"/>
      <c r="AL92" s="172">
        <v>0</v>
      </c>
      <c r="AM92" s="379"/>
      <c r="AN92" s="172">
        <v>0</v>
      </c>
      <c r="AO92" s="379"/>
      <c r="AP92" s="172">
        <v>0</v>
      </c>
      <c r="AQ92" s="379"/>
      <c r="AR92" s="172">
        <v>0</v>
      </c>
      <c r="AS92" s="379"/>
      <c r="AT92" s="172">
        <v>0</v>
      </c>
      <c r="AU92" s="379"/>
      <c r="AV92" s="173">
        <v>0</v>
      </c>
      <c r="AW92" s="379"/>
      <c r="AX92" s="173">
        <v>0</v>
      </c>
      <c r="AY92" s="379"/>
      <c r="AZ92" s="173">
        <v>0</v>
      </c>
      <c r="BA92" s="379"/>
      <c r="BB92" s="173">
        <v>0</v>
      </c>
      <c r="BC92" s="379"/>
      <c r="BD92" s="173">
        <v>0</v>
      </c>
      <c r="BE92" s="379"/>
      <c r="BF92" s="173">
        <v>0</v>
      </c>
      <c r="BG92" s="379"/>
      <c r="BH92" s="237"/>
      <c r="BI92" s="184"/>
      <c r="CJ92" s="157"/>
      <c r="CK92" s="150"/>
      <c r="CL92" s="157"/>
      <c r="CM92" s="151" t="s">
        <v>1146</v>
      </c>
      <c r="CN92" s="150" t="s">
        <v>1130</v>
      </c>
      <c r="CO92" s="157"/>
      <c r="CP92" s="157"/>
      <c r="CQ92" s="157"/>
      <c r="CR92" s="157"/>
      <c r="CS92" s="157"/>
      <c r="CT92" s="157"/>
    </row>
    <row r="93" spans="1:98">
      <c r="A93" s="314"/>
      <c r="B93" s="3"/>
      <c r="C93" s="99"/>
      <c r="D93" s="488" t="s">
        <v>573</v>
      </c>
      <c r="E93" s="489"/>
      <c r="F93" s="235"/>
      <c r="G93" s="379"/>
      <c r="H93" s="236"/>
      <c r="I93" s="379"/>
      <c r="J93" s="236"/>
      <c r="K93" s="379"/>
      <c r="L93" s="236"/>
      <c r="M93" s="379"/>
      <c r="N93" s="236"/>
      <c r="O93" s="379"/>
      <c r="P93" s="236"/>
      <c r="Q93" s="379"/>
      <c r="R93" s="236"/>
      <c r="S93" s="379"/>
      <c r="T93" s="236"/>
      <c r="U93" s="379"/>
      <c r="V93" s="236"/>
      <c r="W93" s="379"/>
      <c r="X93" s="236"/>
      <c r="Y93" s="379"/>
      <c r="Z93" s="236"/>
      <c r="AA93" s="379"/>
      <c r="AB93" s="236"/>
      <c r="AC93" s="379"/>
      <c r="AD93" s="236"/>
      <c r="AE93" s="379"/>
      <c r="AF93" s="172">
        <v>0</v>
      </c>
      <c r="AG93" s="379"/>
      <c r="AH93" s="172">
        <v>0</v>
      </c>
      <c r="AI93" s="379"/>
      <c r="AJ93" s="172">
        <v>0</v>
      </c>
      <c r="AK93" s="379"/>
      <c r="AL93" s="172">
        <v>0</v>
      </c>
      <c r="AM93" s="379"/>
      <c r="AN93" s="172">
        <v>0</v>
      </c>
      <c r="AO93" s="379"/>
      <c r="AP93" s="172">
        <v>0</v>
      </c>
      <c r="AQ93" s="379"/>
      <c r="AR93" s="172">
        <v>0</v>
      </c>
      <c r="AS93" s="379"/>
      <c r="AT93" s="172">
        <v>0</v>
      </c>
      <c r="AU93" s="379"/>
      <c r="AV93" s="173">
        <v>0</v>
      </c>
      <c r="AW93" s="379"/>
      <c r="AX93" s="173">
        <v>0</v>
      </c>
      <c r="AY93" s="379"/>
      <c r="AZ93" s="173">
        <v>0</v>
      </c>
      <c r="BA93" s="379"/>
      <c r="BB93" s="173">
        <v>0</v>
      </c>
      <c r="BC93" s="379"/>
      <c r="BD93" s="173">
        <v>0</v>
      </c>
      <c r="BE93" s="379"/>
      <c r="BF93" s="173">
        <v>0</v>
      </c>
      <c r="BG93" s="379"/>
      <c r="BH93" s="237"/>
      <c r="BI93" s="184"/>
      <c r="CJ93" s="157"/>
      <c r="CK93" s="150"/>
      <c r="CL93" s="157"/>
      <c r="CM93" s="151" t="s">
        <v>1094</v>
      </c>
      <c r="CN93" s="150" t="s">
        <v>1130</v>
      </c>
      <c r="CO93" s="157"/>
      <c r="CP93" s="157"/>
      <c r="CQ93" s="157"/>
      <c r="CR93" s="157"/>
      <c r="CS93" s="157"/>
      <c r="CT93" s="157"/>
    </row>
    <row r="94" spans="1:98" ht="15" customHeight="1" thickBot="1">
      <c r="A94" s="314"/>
      <c r="B94" s="4"/>
      <c r="C94" s="2"/>
      <c r="D94" s="490" t="s">
        <v>574</v>
      </c>
      <c r="E94" s="491"/>
      <c r="F94" s="238"/>
      <c r="G94" s="182"/>
      <c r="H94" s="239"/>
      <c r="I94" s="182"/>
      <c r="J94" s="239"/>
      <c r="K94" s="182"/>
      <c r="L94" s="239"/>
      <c r="M94" s="182"/>
      <c r="N94" s="239"/>
      <c r="O94" s="182"/>
      <c r="P94" s="239"/>
      <c r="Q94" s="182"/>
      <c r="R94" s="239"/>
      <c r="S94" s="182"/>
      <c r="T94" s="239"/>
      <c r="U94" s="182"/>
      <c r="V94" s="239"/>
      <c r="W94" s="182"/>
      <c r="X94" s="239"/>
      <c r="Y94" s="182"/>
      <c r="Z94" s="239"/>
      <c r="AA94" s="182"/>
      <c r="AB94" s="239"/>
      <c r="AC94" s="182"/>
      <c r="AD94" s="239"/>
      <c r="AE94" s="182"/>
      <c r="AF94" s="174">
        <v>8134.9844720000001</v>
      </c>
      <c r="AG94" s="182"/>
      <c r="AH94" s="174">
        <v>8083.0096160000003</v>
      </c>
      <c r="AI94" s="182"/>
      <c r="AJ94" s="174">
        <v>8031.5545330000004</v>
      </c>
      <c r="AK94" s="182"/>
      <c r="AL94" s="249">
        <v>5043.1139825</v>
      </c>
      <c r="AM94" s="182" t="s">
        <v>462</v>
      </c>
      <c r="AN94" s="174">
        <v>4992.6828415</v>
      </c>
      <c r="AO94" s="182"/>
      <c r="AP94" s="174">
        <v>4942.7560105000002</v>
      </c>
      <c r="AQ94" s="182"/>
      <c r="AR94" s="174">
        <v>4893.3284604999999</v>
      </c>
      <c r="AS94" s="182"/>
      <c r="AT94" s="249">
        <v>24989.199324000001</v>
      </c>
      <c r="AU94" s="182" t="s">
        <v>434</v>
      </c>
      <c r="AV94" s="175">
        <v>24739.307350499999</v>
      </c>
      <c r="AW94" s="182"/>
      <c r="AX94" s="175">
        <v>24491.914272999999</v>
      </c>
      <c r="AY94" s="182"/>
      <c r="AZ94" s="175">
        <v>24246.995134500001</v>
      </c>
      <c r="BA94" s="182"/>
      <c r="BB94" s="175">
        <v>24004.521499999999</v>
      </c>
      <c r="BC94" s="182"/>
      <c r="BD94" s="175">
        <v>23765.55</v>
      </c>
      <c r="BE94" s="182"/>
      <c r="BF94" s="175">
        <v>23526.83512</v>
      </c>
      <c r="BG94" s="182"/>
      <c r="BH94" s="240"/>
      <c r="BI94" s="185"/>
      <c r="CJ94" s="157"/>
      <c r="CK94" s="150"/>
      <c r="CL94" s="157"/>
      <c r="CM94" s="151" t="s">
        <v>1097</v>
      </c>
      <c r="CN94" s="150" t="s">
        <v>1130</v>
      </c>
      <c r="CO94" s="157"/>
      <c r="CP94" s="157"/>
      <c r="CQ94" s="157"/>
      <c r="CR94" s="157"/>
      <c r="CS94" s="157"/>
      <c r="CT94" s="157"/>
    </row>
    <row r="95" spans="1:98" ht="55.5" customHeight="1">
      <c r="A95" s="314"/>
      <c r="B95" s="556" t="s">
        <v>1171</v>
      </c>
      <c r="C95" s="557"/>
      <c r="D95" s="557"/>
      <c r="E95" s="558"/>
      <c r="F95" s="235"/>
      <c r="G95" s="379"/>
      <c r="H95" s="236"/>
      <c r="I95" s="379"/>
      <c r="J95" s="236"/>
      <c r="K95" s="379"/>
      <c r="L95" s="236"/>
      <c r="M95" s="379"/>
      <c r="N95" s="236"/>
      <c r="O95" s="379"/>
      <c r="P95" s="236"/>
      <c r="Q95" s="379"/>
      <c r="R95" s="236"/>
      <c r="S95" s="379"/>
      <c r="T95" s="236"/>
      <c r="U95" s="379"/>
      <c r="V95" s="236"/>
      <c r="W95" s="379"/>
      <c r="X95" s="236"/>
      <c r="Y95" s="379"/>
      <c r="Z95" s="236"/>
      <c r="AA95" s="379"/>
      <c r="AB95" s="236"/>
      <c r="AC95" s="379"/>
      <c r="AD95" s="236"/>
      <c r="AE95" s="379"/>
      <c r="AF95" s="172">
        <v>62634.034386500003</v>
      </c>
      <c r="AG95" s="379"/>
      <c r="AH95" s="172">
        <v>57902.863257999998</v>
      </c>
      <c r="AI95" s="379"/>
      <c r="AJ95" s="172">
        <v>70601.094438500004</v>
      </c>
      <c r="AK95" s="379"/>
      <c r="AL95" s="172">
        <v>55267.805273500002</v>
      </c>
      <c r="AM95" s="379"/>
      <c r="AN95" s="172">
        <v>54246.825378000001</v>
      </c>
      <c r="AO95" s="379"/>
      <c r="AP95" s="172">
        <v>57138.608125500003</v>
      </c>
      <c r="AQ95" s="379"/>
      <c r="AR95" s="172">
        <v>50336.685217500002</v>
      </c>
      <c r="AS95" s="379"/>
      <c r="AT95" s="172">
        <v>69664.906208999993</v>
      </c>
      <c r="AU95" s="379"/>
      <c r="AV95" s="173">
        <v>63050.596584999999</v>
      </c>
      <c r="AW95" s="379"/>
      <c r="AX95" s="173">
        <v>58004.882398000002</v>
      </c>
      <c r="AY95" s="379"/>
      <c r="AZ95" s="173">
        <v>55504.257996499997</v>
      </c>
      <c r="BA95" s="379"/>
      <c r="BB95" s="173">
        <v>70066.174184500007</v>
      </c>
      <c r="BC95" s="379"/>
      <c r="BD95" s="173">
        <v>75984.735499999995</v>
      </c>
      <c r="BE95" s="379"/>
      <c r="BF95" s="173">
        <v>62482.001864999998</v>
      </c>
      <c r="BG95" s="379"/>
      <c r="BH95" s="237"/>
      <c r="BI95" s="184"/>
      <c r="CJ95" s="157"/>
      <c r="CK95" s="150"/>
      <c r="CL95" s="157"/>
      <c r="CM95" s="151" t="s">
        <v>1148</v>
      </c>
      <c r="CN95" s="150" t="s">
        <v>1130</v>
      </c>
      <c r="CO95" s="157"/>
      <c r="CP95" s="157"/>
      <c r="CQ95" s="157"/>
      <c r="CR95" s="157"/>
      <c r="CS95" s="157"/>
      <c r="CT95" s="157"/>
    </row>
    <row r="96" spans="1:98" ht="17.25" customHeight="1">
      <c r="A96" s="317"/>
      <c r="B96" s="200">
        <v>2</v>
      </c>
      <c r="C96" s="101"/>
      <c r="D96" s="482" t="s">
        <v>576</v>
      </c>
      <c r="E96" s="483"/>
      <c r="F96" s="235"/>
      <c r="G96" s="379"/>
      <c r="H96" s="236"/>
      <c r="I96" s="379"/>
      <c r="J96" s="236"/>
      <c r="K96" s="379"/>
      <c r="L96" s="236"/>
      <c r="M96" s="379"/>
      <c r="N96" s="236"/>
      <c r="O96" s="379"/>
      <c r="P96" s="236"/>
      <c r="Q96" s="379"/>
      <c r="R96" s="236"/>
      <c r="S96" s="379"/>
      <c r="T96" s="236"/>
      <c r="U96" s="379"/>
      <c r="V96" s="236"/>
      <c r="W96" s="379"/>
      <c r="X96" s="236"/>
      <c r="Y96" s="379"/>
      <c r="Z96" s="236"/>
      <c r="AA96" s="379"/>
      <c r="AB96" s="236"/>
      <c r="AC96" s="379"/>
      <c r="AD96" s="236"/>
      <c r="AE96" s="379"/>
      <c r="AF96" s="172">
        <v>0</v>
      </c>
      <c r="AG96" s="379"/>
      <c r="AH96" s="172">
        <v>0</v>
      </c>
      <c r="AI96" s="379"/>
      <c r="AJ96" s="172">
        <v>0</v>
      </c>
      <c r="AK96" s="379"/>
      <c r="AL96" s="172">
        <v>0</v>
      </c>
      <c r="AM96" s="379"/>
      <c r="AN96" s="172">
        <v>0</v>
      </c>
      <c r="AO96" s="379"/>
      <c r="AP96" s="172">
        <v>0</v>
      </c>
      <c r="AQ96" s="379"/>
      <c r="AR96" s="172">
        <v>0</v>
      </c>
      <c r="AS96" s="379"/>
      <c r="AT96" s="172">
        <v>0</v>
      </c>
      <c r="AU96" s="379"/>
      <c r="AV96" s="173">
        <v>0</v>
      </c>
      <c r="AW96" s="379"/>
      <c r="AX96" s="173">
        <v>0</v>
      </c>
      <c r="AY96" s="379"/>
      <c r="AZ96" s="173">
        <v>0</v>
      </c>
      <c r="BA96" s="379"/>
      <c r="BB96" s="173">
        <v>0</v>
      </c>
      <c r="BC96" s="379"/>
      <c r="BD96" s="173">
        <v>0</v>
      </c>
      <c r="BE96" s="379"/>
      <c r="BF96" s="173">
        <v>0</v>
      </c>
      <c r="BG96" s="379"/>
      <c r="BH96" s="237"/>
      <c r="BI96" s="184"/>
      <c r="CJ96" s="157"/>
      <c r="CK96" s="150"/>
      <c r="CL96" s="157"/>
      <c r="CM96" s="151" t="s">
        <v>1148</v>
      </c>
      <c r="CN96" s="157" t="s">
        <v>1149</v>
      </c>
      <c r="CO96" s="157"/>
      <c r="CP96" s="157"/>
      <c r="CQ96" s="157"/>
      <c r="CR96" s="157"/>
      <c r="CS96" s="157"/>
      <c r="CT96" s="157"/>
    </row>
    <row r="97" spans="1:98" ht="12.75" customHeight="1">
      <c r="A97" s="317"/>
      <c r="B97" s="201">
        <v>2.1</v>
      </c>
      <c r="C97" s="102"/>
      <c r="D97" s="480" t="s">
        <v>577</v>
      </c>
      <c r="E97" s="481"/>
      <c r="F97" s="224"/>
      <c r="G97" s="379"/>
      <c r="H97" s="228"/>
      <c r="I97" s="379"/>
      <c r="J97" s="228"/>
      <c r="K97" s="379"/>
      <c r="L97" s="228"/>
      <c r="M97" s="379"/>
      <c r="N97" s="228"/>
      <c r="O97" s="379"/>
      <c r="P97" s="228"/>
      <c r="Q97" s="379"/>
      <c r="R97" s="228"/>
      <c r="S97" s="379"/>
      <c r="T97" s="228"/>
      <c r="U97" s="379"/>
      <c r="V97" s="228"/>
      <c r="W97" s="379"/>
      <c r="X97" s="228"/>
      <c r="Y97" s="379"/>
      <c r="Z97" s="228"/>
      <c r="AA97" s="379"/>
      <c r="AB97" s="228"/>
      <c r="AC97" s="379"/>
      <c r="AD97" s="228"/>
      <c r="AE97" s="379"/>
      <c r="AF97" s="167">
        <v>0</v>
      </c>
      <c r="AG97" s="379"/>
      <c r="AH97" s="167">
        <v>0</v>
      </c>
      <c r="AI97" s="379"/>
      <c r="AJ97" s="167">
        <v>0</v>
      </c>
      <c r="AK97" s="379"/>
      <c r="AL97" s="167">
        <v>0</v>
      </c>
      <c r="AM97" s="379"/>
      <c r="AN97" s="167">
        <v>0</v>
      </c>
      <c r="AO97" s="379"/>
      <c r="AP97" s="167">
        <v>0</v>
      </c>
      <c r="AQ97" s="379"/>
      <c r="AR97" s="167">
        <v>0</v>
      </c>
      <c r="AS97" s="379"/>
      <c r="AT97" s="167">
        <v>0</v>
      </c>
      <c r="AU97" s="379"/>
      <c r="AV97" s="165">
        <v>0</v>
      </c>
      <c r="AW97" s="379"/>
      <c r="AX97" s="165">
        <v>0</v>
      </c>
      <c r="AY97" s="379"/>
      <c r="AZ97" s="165">
        <v>0</v>
      </c>
      <c r="BA97" s="379"/>
      <c r="BB97" s="165">
        <v>0</v>
      </c>
      <c r="BC97" s="379"/>
      <c r="BD97" s="165">
        <v>0</v>
      </c>
      <c r="BE97" s="379"/>
      <c r="BF97" s="165">
        <v>0</v>
      </c>
      <c r="BG97" s="379"/>
      <c r="BH97" s="225"/>
      <c r="BI97" s="184"/>
      <c r="CJ97" s="157"/>
      <c r="CK97" s="150"/>
      <c r="CL97" s="157"/>
      <c r="CM97" s="151" t="s">
        <v>1148</v>
      </c>
      <c r="CN97" s="157" t="s">
        <v>1150</v>
      </c>
      <c r="CO97" s="157"/>
      <c r="CP97" s="157"/>
      <c r="CQ97" s="157"/>
      <c r="CR97" s="157"/>
      <c r="CS97" s="157"/>
      <c r="CT97" s="157"/>
    </row>
    <row r="98" spans="1:98" ht="12.75" customHeight="1">
      <c r="A98" s="317"/>
      <c r="B98" s="201">
        <v>2.2000000000000002</v>
      </c>
      <c r="C98" s="102"/>
      <c r="D98" s="480" t="s">
        <v>578</v>
      </c>
      <c r="E98" s="481"/>
      <c r="F98" s="224"/>
      <c r="G98" s="379"/>
      <c r="H98" s="228"/>
      <c r="I98" s="379"/>
      <c r="J98" s="228"/>
      <c r="K98" s="379"/>
      <c r="L98" s="228"/>
      <c r="M98" s="379"/>
      <c r="N98" s="228"/>
      <c r="O98" s="379"/>
      <c r="P98" s="228"/>
      <c r="Q98" s="379"/>
      <c r="R98" s="228"/>
      <c r="S98" s="379"/>
      <c r="T98" s="228"/>
      <c r="U98" s="379"/>
      <c r="V98" s="228"/>
      <c r="W98" s="379"/>
      <c r="X98" s="228"/>
      <c r="Y98" s="379"/>
      <c r="Z98" s="228"/>
      <c r="AA98" s="379"/>
      <c r="AB98" s="228"/>
      <c r="AC98" s="379"/>
      <c r="AD98" s="228"/>
      <c r="AE98" s="379"/>
      <c r="AF98" s="167">
        <v>0</v>
      </c>
      <c r="AG98" s="379"/>
      <c r="AH98" s="167">
        <v>0</v>
      </c>
      <c r="AI98" s="379"/>
      <c r="AJ98" s="167">
        <v>0</v>
      </c>
      <c r="AK98" s="379"/>
      <c r="AL98" s="167">
        <v>0</v>
      </c>
      <c r="AM98" s="379"/>
      <c r="AN98" s="167">
        <v>0</v>
      </c>
      <c r="AO98" s="379"/>
      <c r="AP98" s="167">
        <v>0</v>
      </c>
      <c r="AQ98" s="379"/>
      <c r="AR98" s="167">
        <v>0</v>
      </c>
      <c r="AS98" s="379"/>
      <c r="AT98" s="167">
        <v>0</v>
      </c>
      <c r="AU98" s="379"/>
      <c r="AV98" s="165">
        <v>0</v>
      </c>
      <c r="AW98" s="379"/>
      <c r="AX98" s="165">
        <v>0</v>
      </c>
      <c r="AY98" s="379"/>
      <c r="AZ98" s="165">
        <v>0</v>
      </c>
      <c r="BA98" s="379"/>
      <c r="BB98" s="165">
        <v>0</v>
      </c>
      <c r="BC98" s="379"/>
      <c r="BD98" s="165">
        <v>0</v>
      </c>
      <c r="BE98" s="379"/>
      <c r="BF98" s="165">
        <v>0</v>
      </c>
      <c r="BG98" s="379"/>
      <c r="BH98" s="225"/>
      <c r="BI98" s="184"/>
      <c r="CJ98" s="157"/>
      <c r="CK98" s="150"/>
      <c r="CL98" s="157"/>
      <c r="CM98" s="151" t="s">
        <v>1148</v>
      </c>
      <c r="CN98" s="157" t="s">
        <v>1151</v>
      </c>
      <c r="CO98" s="157"/>
      <c r="CP98" s="157"/>
      <c r="CQ98" s="157"/>
      <c r="CR98" s="157"/>
      <c r="CS98" s="157"/>
      <c r="CT98" s="157"/>
    </row>
    <row r="99" spans="1:98" ht="12.75" customHeight="1">
      <c r="A99" s="317"/>
      <c r="B99" s="201">
        <v>2.2999999999999998</v>
      </c>
      <c r="C99" s="102"/>
      <c r="D99" s="480" t="s">
        <v>579</v>
      </c>
      <c r="E99" s="481"/>
      <c r="F99" s="224"/>
      <c r="G99" s="379"/>
      <c r="H99" s="228"/>
      <c r="I99" s="379"/>
      <c r="J99" s="228"/>
      <c r="K99" s="379"/>
      <c r="L99" s="228"/>
      <c r="M99" s="379"/>
      <c r="N99" s="228"/>
      <c r="O99" s="379"/>
      <c r="P99" s="228"/>
      <c r="Q99" s="379"/>
      <c r="R99" s="228"/>
      <c r="S99" s="379"/>
      <c r="T99" s="228"/>
      <c r="U99" s="379"/>
      <c r="V99" s="228"/>
      <c r="W99" s="379"/>
      <c r="X99" s="228"/>
      <c r="Y99" s="379"/>
      <c r="Z99" s="228"/>
      <c r="AA99" s="379"/>
      <c r="AB99" s="228"/>
      <c r="AC99" s="379"/>
      <c r="AD99" s="228"/>
      <c r="AE99" s="379"/>
      <c r="AF99" s="167">
        <v>0</v>
      </c>
      <c r="AG99" s="379"/>
      <c r="AH99" s="167">
        <v>0</v>
      </c>
      <c r="AI99" s="379"/>
      <c r="AJ99" s="167">
        <v>0</v>
      </c>
      <c r="AK99" s="379"/>
      <c r="AL99" s="167">
        <v>0</v>
      </c>
      <c r="AM99" s="379"/>
      <c r="AN99" s="167">
        <v>0</v>
      </c>
      <c r="AO99" s="379"/>
      <c r="AP99" s="167">
        <v>0</v>
      </c>
      <c r="AQ99" s="379"/>
      <c r="AR99" s="167">
        <v>0</v>
      </c>
      <c r="AS99" s="379"/>
      <c r="AT99" s="167">
        <v>0</v>
      </c>
      <c r="AU99" s="379"/>
      <c r="AV99" s="165">
        <v>0</v>
      </c>
      <c r="AW99" s="379"/>
      <c r="AX99" s="165">
        <v>0</v>
      </c>
      <c r="AY99" s="379"/>
      <c r="AZ99" s="165">
        <v>0</v>
      </c>
      <c r="BA99" s="379"/>
      <c r="BB99" s="165">
        <v>0</v>
      </c>
      <c r="BC99" s="379"/>
      <c r="BD99" s="165">
        <v>0</v>
      </c>
      <c r="BE99" s="379"/>
      <c r="BF99" s="165">
        <v>0</v>
      </c>
      <c r="BG99" s="379"/>
      <c r="BH99" s="225"/>
      <c r="BI99" s="184"/>
      <c r="CJ99" s="157"/>
      <c r="CK99" s="150"/>
      <c r="CL99" s="157"/>
      <c r="CM99" s="151" t="s">
        <v>1148</v>
      </c>
      <c r="CN99" s="157" t="s">
        <v>1152</v>
      </c>
      <c r="CO99" s="157"/>
      <c r="CP99" s="157"/>
      <c r="CQ99" s="157"/>
      <c r="CR99" s="157"/>
      <c r="CS99" s="157"/>
      <c r="CT99" s="157"/>
    </row>
    <row r="100" spans="1:98" ht="12.75" customHeight="1">
      <c r="A100" s="317"/>
      <c r="B100" s="201">
        <v>2.4</v>
      </c>
      <c r="C100" s="102"/>
      <c r="D100" s="480" t="s">
        <v>580</v>
      </c>
      <c r="E100" s="481"/>
      <c r="F100" s="224"/>
      <c r="G100" s="379"/>
      <c r="H100" s="228"/>
      <c r="I100" s="379"/>
      <c r="J100" s="228"/>
      <c r="K100" s="379"/>
      <c r="L100" s="228"/>
      <c r="M100" s="379"/>
      <c r="N100" s="228"/>
      <c r="O100" s="379"/>
      <c r="P100" s="228"/>
      <c r="Q100" s="379"/>
      <c r="R100" s="228"/>
      <c r="S100" s="379"/>
      <c r="T100" s="228"/>
      <c r="U100" s="379"/>
      <c r="V100" s="228"/>
      <c r="W100" s="379"/>
      <c r="X100" s="228"/>
      <c r="Y100" s="379"/>
      <c r="Z100" s="228"/>
      <c r="AA100" s="379"/>
      <c r="AB100" s="228"/>
      <c r="AC100" s="379"/>
      <c r="AD100" s="228"/>
      <c r="AE100" s="379"/>
      <c r="AF100" s="167">
        <v>0</v>
      </c>
      <c r="AG100" s="379"/>
      <c r="AH100" s="167">
        <v>0</v>
      </c>
      <c r="AI100" s="379"/>
      <c r="AJ100" s="167">
        <v>0</v>
      </c>
      <c r="AK100" s="379"/>
      <c r="AL100" s="167">
        <v>0</v>
      </c>
      <c r="AM100" s="379"/>
      <c r="AN100" s="167">
        <v>0</v>
      </c>
      <c r="AO100" s="379"/>
      <c r="AP100" s="167">
        <v>0</v>
      </c>
      <c r="AQ100" s="379"/>
      <c r="AR100" s="167">
        <v>0</v>
      </c>
      <c r="AS100" s="379"/>
      <c r="AT100" s="167">
        <v>0</v>
      </c>
      <c r="AU100" s="379"/>
      <c r="AV100" s="165">
        <v>0</v>
      </c>
      <c r="AW100" s="379"/>
      <c r="AX100" s="165">
        <v>0</v>
      </c>
      <c r="AY100" s="379"/>
      <c r="AZ100" s="165">
        <v>0</v>
      </c>
      <c r="BA100" s="379"/>
      <c r="BB100" s="165">
        <v>0</v>
      </c>
      <c r="BC100" s="379"/>
      <c r="BD100" s="165">
        <v>0</v>
      </c>
      <c r="BE100" s="379"/>
      <c r="BF100" s="165">
        <v>0</v>
      </c>
      <c r="BG100" s="379"/>
      <c r="BH100" s="225"/>
      <c r="BI100" s="184"/>
      <c r="CJ100" s="157"/>
      <c r="CK100" s="150"/>
      <c r="CL100" s="157"/>
      <c r="CM100" s="151" t="s">
        <v>1148</v>
      </c>
      <c r="CN100" s="157" t="s">
        <v>1153</v>
      </c>
      <c r="CO100" s="157"/>
      <c r="CP100" s="157"/>
      <c r="CQ100" s="157"/>
      <c r="CR100" s="157"/>
      <c r="CS100" s="157"/>
      <c r="CT100" s="157"/>
    </row>
    <row r="101" spans="1:98" ht="19.5" customHeight="1">
      <c r="A101" s="317"/>
      <c r="B101" s="200">
        <v>3</v>
      </c>
      <c r="C101" s="101"/>
      <c r="D101" s="482" t="s">
        <v>581</v>
      </c>
      <c r="E101" s="483"/>
      <c r="F101" s="235"/>
      <c r="G101" s="379"/>
      <c r="H101" s="236"/>
      <c r="I101" s="379"/>
      <c r="J101" s="236"/>
      <c r="K101" s="379"/>
      <c r="L101" s="236"/>
      <c r="M101" s="379"/>
      <c r="N101" s="236"/>
      <c r="O101" s="379"/>
      <c r="P101" s="236"/>
      <c r="Q101" s="379"/>
      <c r="R101" s="236"/>
      <c r="S101" s="379"/>
      <c r="T101" s="236"/>
      <c r="U101" s="379"/>
      <c r="V101" s="236"/>
      <c r="W101" s="379"/>
      <c r="X101" s="236"/>
      <c r="Y101" s="379"/>
      <c r="Z101" s="236"/>
      <c r="AA101" s="379"/>
      <c r="AB101" s="236"/>
      <c r="AC101" s="379"/>
      <c r="AD101" s="236"/>
      <c r="AE101" s="379"/>
      <c r="AF101" s="172">
        <v>0</v>
      </c>
      <c r="AG101" s="379"/>
      <c r="AH101" s="172">
        <v>0</v>
      </c>
      <c r="AI101" s="379"/>
      <c r="AJ101" s="172">
        <v>0</v>
      </c>
      <c r="AK101" s="379"/>
      <c r="AL101" s="172">
        <v>0</v>
      </c>
      <c r="AM101" s="379"/>
      <c r="AN101" s="172">
        <v>0</v>
      </c>
      <c r="AO101" s="379"/>
      <c r="AP101" s="172">
        <v>0</v>
      </c>
      <c r="AQ101" s="379"/>
      <c r="AR101" s="172">
        <v>0</v>
      </c>
      <c r="AS101" s="379"/>
      <c r="AT101" s="172">
        <v>0</v>
      </c>
      <c r="AU101" s="379"/>
      <c r="AV101" s="173">
        <v>0</v>
      </c>
      <c r="AW101" s="379"/>
      <c r="AX101" s="173">
        <v>0</v>
      </c>
      <c r="AY101" s="379"/>
      <c r="AZ101" s="173">
        <v>0</v>
      </c>
      <c r="BA101" s="379"/>
      <c r="BB101" s="173">
        <v>0</v>
      </c>
      <c r="BC101" s="379"/>
      <c r="BD101" s="173">
        <v>0</v>
      </c>
      <c r="BE101" s="379"/>
      <c r="BF101" s="173">
        <v>0</v>
      </c>
      <c r="BG101" s="379"/>
      <c r="BH101" s="237"/>
      <c r="BI101" s="184"/>
      <c r="CJ101" s="157"/>
      <c r="CK101" s="150"/>
      <c r="CL101" s="157"/>
      <c r="CM101" s="151" t="s">
        <v>1148</v>
      </c>
      <c r="CN101" s="157" t="s">
        <v>1154</v>
      </c>
      <c r="CO101" s="157"/>
      <c r="CP101" s="157"/>
      <c r="CQ101" s="157"/>
      <c r="CR101" s="157"/>
      <c r="CS101" s="157"/>
      <c r="CT101" s="157"/>
    </row>
    <row r="102" spans="1:98" ht="12.75" customHeight="1">
      <c r="A102" s="317"/>
      <c r="B102" s="201">
        <v>3.1</v>
      </c>
      <c r="C102" s="102"/>
      <c r="D102" s="480" t="s">
        <v>582</v>
      </c>
      <c r="E102" s="481"/>
      <c r="F102" s="224"/>
      <c r="G102" s="379"/>
      <c r="H102" s="228"/>
      <c r="I102" s="379"/>
      <c r="J102" s="228"/>
      <c r="K102" s="379"/>
      <c r="L102" s="228"/>
      <c r="M102" s="379"/>
      <c r="N102" s="228"/>
      <c r="O102" s="379"/>
      <c r="P102" s="228"/>
      <c r="Q102" s="379"/>
      <c r="R102" s="228"/>
      <c r="S102" s="379"/>
      <c r="T102" s="228"/>
      <c r="U102" s="379"/>
      <c r="V102" s="228"/>
      <c r="W102" s="379"/>
      <c r="X102" s="228"/>
      <c r="Y102" s="379"/>
      <c r="Z102" s="228"/>
      <c r="AA102" s="379"/>
      <c r="AB102" s="228"/>
      <c r="AC102" s="379"/>
      <c r="AD102" s="228"/>
      <c r="AE102" s="379"/>
      <c r="AF102" s="167">
        <v>0</v>
      </c>
      <c r="AG102" s="379"/>
      <c r="AH102" s="167">
        <v>0</v>
      </c>
      <c r="AI102" s="379"/>
      <c r="AJ102" s="167">
        <v>0</v>
      </c>
      <c r="AK102" s="379"/>
      <c r="AL102" s="167">
        <v>0</v>
      </c>
      <c r="AM102" s="379"/>
      <c r="AN102" s="167">
        <v>0</v>
      </c>
      <c r="AO102" s="379"/>
      <c r="AP102" s="167">
        <v>0</v>
      </c>
      <c r="AQ102" s="379"/>
      <c r="AR102" s="167">
        <v>0</v>
      </c>
      <c r="AS102" s="379"/>
      <c r="AT102" s="167">
        <v>0</v>
      </c>
      <c r="AU102" s="379"/>
      <c r="AV102" s="165">
        <v>0</v>
      </c>
      <c r="AW102" s="379"/>
      <c r="AX102" s="165">
        <v>0</v>
      </c>
      <c r="AY102" s="379"/>
      <c r="AZ102" s="165">
        <v>0</v>
      </c>
      <c r="BA102" s="379"/>
      <c r="BB102" s="165">
        <v>0</v>
      </c>
      <c r="BC102" s="379"/>
      <c r="BD102" s="165">
        <v>0</v>
      </c>
      <c r="BE102" s="379"/>
      <c r="BF102" s="165">
        <v>0</v>
      </c>
      <c r="BG102" s="379"/>
      <c r="BH102" s="225"/>
      <c r="BI102" s="184"/>
      <c r="CJ102" s="157"/>
      <c r="CK102" s="150"/>
      <c r="CL102" s="157"/>
      <c r="CM102" s="151" t="s">
        <v>1148</v>
      </c>
      <c r="CN102" s="157" t="s">
        <v>1155</v>
      </c>
      <c r="CO102" s="157"/>
      <c r="CP102" s="157"/>
      <c r="CQ102" s="157"/>
      <c r="CR102" s="157"/>
      <c r="CS102" s="157"/>
      <c r="CT102" s="157"/>
    </row>
    <row r="103" spans="1:98" ht="12.75" customHeight="1">
      <c r="A103" s="317"/>
      <c r="B103" s="201">
        <v>3.2</v>
      </c>
      <c r="C103" s="102"/>
      <c r="D103" s="480" t="s">
        <v>583</v>
      </c>
      <c r="E103" s="481"/>
      <c r="F103" s="224"/>
      <c r="G103" s="379"/>
      <c r="H103" s="228"/>
      <c r="I103" s="379"/>
      <c r="J103" s="228"/>
      <c r="K103" s="379"/>
      <c r="L103" s="228"/>
      <c r="M103" s="379"/>
      <c r="N103" s="228"/>
      <c r="O103" s="379"/>
      <c r="P103" s="228"/>
      <c r="Q103" s="379"/>
      <c r="R103" s="228"/>
      <c r="S103" s="379"/>
      <c r="T103" s="228"/>
      <c r="U103" s="379"/>
      <c r="V103" s="228"/>
      <c r="W103" s="379"/>
      <c r="X103" s="228"/>
      <c r="Y103" s="379"/>
      <c r="Z103" s="228"/>
      <c r="AA103" s="379"/>
      <c r="AB103" s="228"/>
      <c r="AC103" s="379"/>
      <c r="AD103" s="228"/>
      <c r="AE103" s="379"/>
      <c r="AF103" s="167">
        <v>0</v>
      </c>
      <c r="AG103" s="379"/>
      <c r="AH103" s="167">
        <v>0</v>
      </c>
      <c r="AI103" s="379"/>
      <c r="AJ103" s="167">
        <v>0</v>
      </c>
      <c r="AK103" s="379"/>
      <c r="AL103" s="167">
        <v>0</v>
      </c>
      <c r="AM103" s="379"/>
      <c r="AN103" s="167">
        <v>0</v>
      </c>
      <c r="AO103" s="379"/>
      <c r="AP103" s="167">
        <v>0</v>
      </c>
      <c r="AQ103" s="379"/>
      <c r="AR103" s="167">
        <v>0</v>
      </c>
      <c r="AS103" s="379"/>
      <c r="AT103" s="167">
        <v>0</v>
      </c>
      <c r="AU103" s="379"/>
      <c r="AV103" s="165">
        <v>0</v>
      </c>
      <c r="AW103" s="379"/>
      <c r="AX103" s="165">
        <v>0</v>
      </c>
      <c r="AY103" s="379"/>
      <c r="AZ103" s="165">
        <v>0</v>
      </c>
      <c r="BA103" s="379"/>
      <c r="BB103" s="165">
        <v>0</v>
      </c>
      <c r="BC103" s="379"/>
      <c r="BD103" s="165">
        <v>0</v>
      </c>
      <c r="BE103" s="379"/>
      <c r="BF103" s="165">
        <v>0</v>
      </c>
      <c r="BG103" s="379"/>
      <c r="BH103" s="225"/>
      <c r="BI103" s="184"/>
      <c r="CJ103" s="157"/>
      <c r="CK103" s="150"/>
      <c r="CL103" s="157"/>
      <c r="CM103" s="151" t="s">
        <v>1148</v>
      </c>
      <c r="CN103" s="157" t="s">
        <v>1156</v>
      </c>
      <c r="CO103" s="157"/>
      <c r="CP103" s="157"/>
      <c r="CQ103" s="157"/>
      <c r="CR103" s="157"/>
      <c r="CS103" s="157"/>
      <c r="CT103" s="157"/>
    </row>
    <row r="104" spans="1:98" ht="12.75" customHeight="1">
      <c r="A104" s="317"/>
      <c r="B104" s="201">
        <v>3.3</v>
      </c>
      <c r="C104" s="102"/>
      <c r="D104" s="480" t="s">
        <v>584</v>
      </c>
      <c r="E104" s="481"/>
      <c r="F104" s="224"/>
      <c r="G104" s="379"/>
      <c r="H104" s="228"/>
      <c r="I104" s="379"/>
      <c r="J104" s="228"/>
      <c r="K104" s="379"/>
      <c r="L104" s="228"/>
      <c r="M104" s="379"/>
      <c r="N104" s="228"/>
      <c r="O104" s="379"/>
      <c r="P104" s="228"/>
      <c r="Q104" s="379"/>
      <c r="R104" s="228"/>
      <c r="S104" s="379"/>
      <c r="T104" s="228"/>
      <c r="U104" s="379"/>
      <c r="V104" s="228"/>
      <c r="W104" s="379"/>
      <c r="X104" s="228"/>
      <c r="Y104" s="379"/>
      <c r="Z104" s="228"/>
      <c r="AA104" s="379"/>
      <c r="AB104" s="228"/>
      <c r="AC104" s="379"/>
      <c r="AD104" s="228"/>
      <c r="AE104" s="379"/>
      <c r="AF104" s="167">
        <v>0</v>
      </c>
      <c r="AG104" s="379"/>
      <c r="AH104" s="167">
        <v>0</v>
      </c>
      <c r="AI104" s="379"/>
      <c r="AJ104" s="167">
        <v>0</v>
      </c>
      <c r="AK104" s="379"/>
      <c r="AL104" s="167">
        <v>0</v>
      </c>
      <c r="AM104" s="379"/>
      <c r="AN104" s="167">
        <v>0</v>
      </c>
      <c r="AO104" s="379"/>
      <c r="AP104" s="167">
        <v>0</v>
      </c>
      <c r="AQ104" s="379"/>
      <c r="AR104" s="167">
        <v>0</v>
      </c>
      <c r="AS104" s="379"/>
      <c r="AT104" s="167">
        <v>0</v>
      </c>
      <c r="AU104" s="379"/>
      <c r="AV104" s="165">
        <v>0</v>
      </c>
      <c r="AW104" s="379"/>
      <c r="AX104" s="165">
        <v>0</v>
      </c>
      <c r="AY104" s="379"/>
      <c r="AZ104" s="165">
        <v>0</v>
      </c>
      <c r="BA104" s="379"/>
      <c r="BB104" s="165">
        <v>0</v>
      </c>
      <c r="BC104" s="379"/>
      <c r="BD104" s="165">
        <v>0</v>
      </c>
      <c r="BE104" s="379"/>
      <c r="BF104" s="165">
        <v>0</v>
      </c>
      <c r="BG104" s="379"/>
      <c r="BH104" s="225"/>
      <c r="BI104" s="184"/>
      <c r="CJ104" s="157"/>
      <c r="CK104" s="150"/>
      <c r="CL104" s="157"/>
      <c r="CM104" s="151" t="s">
        <v>1148</v>
      </c>
      <c r="CN104" s="157" t="s">
        <v>1157</v>
      </c>
      <c r="CO104" s="157"/>
      <c r="CP104" s="157"/>
      <c r="CQ104" s="157"/>
      <c r="CR104" s="157"/>
      <c r="CS104" s="157"/>
      <c r="CT104" s="157"/>
    </row>
    <row r="105" spans="1:98" ht="17.25" customHeight="1">
      <c r="A105" s="317"/>
      <c r="B105" s="200">
        <v>4</v>
      </c>
      <c r="C105" s="101"/>
      <c r="D105" s="482" t="s">
        <v>585</v>
      </c>
      <c r="E105" s="483"/>
      <c r="F105" s="235"/>
      <c r="G105" s="379"/>
      <c r="H105" s="236"/>
      <c r="I105" s="379"/>
      <c r="J105" s="236"/>
      <c r="K105" s="379"/>
      <c r="L105" s="236"/>
      <c r="M105" s="379"/>
      <c r="N105" s="236"/>
      <c r="O105" s="379"/>
      <c r="P105" s="236"/>
      <c r="Q105" s="379"/>
      <c r="R105" s="236"/>
      <c r="S105" s="379"/>
      <c r="T105" s="236"/>
      <c r="U105" s="379"/>
      <c r="V105" s="236"/>
      <c r="W105" s="379"/>
      <c r="X105" s="236"/>
      <c r="Y105" s="379"/>
      <c r="Z105" s="236"/>
      <c r="AA105" s="379"/>
      <c r="AB105" s="236"/>
      <c r="AC105" s="379"/>
      <c r="AD105" s="236"/>
      <c r="AE105" s="379"/>
      <c r="AF105" s="172">
        <v>-1865.6946463160057</v>
      </c>
      <c r="AG105" s="379"/>
      <c r="AH105" s="172">
        <v>-1724.7661336719975</v>
      </c>
      <c r="AI105" s="379"/>
      <c r="AJ105" s="172">
        <v>-2103.0113305400009</v>
      </c>
      <c r="AK105" s="379"/>
      <c r="AL105" s="172">
        <v>-1646.2750525240044</v>
      </c>
      <c r="AM105" s="379"/>
      <c r="AN105" s="172">
        <v>-1615.8628842840044</v>
      </c>
      <c r="AO105" s="379"/>
      <c r="AP105" s="172">
        <v>-1702.0010912760044</v>
      </c>
      <c r="AQ105" s="379"/>
      <c r="AR105" s="172">
        <v>-1499.3906314800042</v>
      </c>
      <c r="AS105" s="379"/>
      <c r="AT105" s="172">
        <v>-2075.1248564519919</v>
      </c>
      <c r="AU105" s="379"/>
      <c r="AV105" s="173">
        <v>-1878.1028870320006</v>
      </c>
      <c r="AW105" s="379"/>
      <c r="AX105" s="173">
        <v>-1727.8050135279991</v>
      </c>
      <c r="AY105" s="379"/>
      <c r="AZ105" s="173">
        <v>-1653.3183333319976</v>
      </c>
      <c r="BA105" s="379"/>
      <c r="BB105" s="173">
        <v>-2087.0739654880163</v>
      </c>
      <c r="BC105" s="379"/>
      <c r="BD105" s="173">
        <v>-2264.4133041559835</v>
      </c>
      <c r="BE105" s="379"/>
      <c r="BF105" s="173">
        <v>-1861.1660870999985</v>
      </c>
      <c r="BG105" s="379"/>
      <c r="BH105" s="237"/>
      <c r="BI105" s="184"/>
      <c r="CJ105" s="157"/>
      <c r="CK105" s="150"/>
      <c r="CL105" s="157"/>
      <c r="CM105" s="151" t="s">
        <v>1148</v>
      </c>
      <c r="CN105" s="157" t="s">
        <v>1158</v>
      </c>
      <c r="CO105" s="157"/>
      <c r="CP105" s="157"/>
      <c r="CQ105" s="157"/>
      <c r="CR105" s="157"/>
      <c r="CS105" s="157"/>
      <c r="CT105" s="157"/>
    </row>
    <row r="106" spans="1:98" ht="32.25" customHeight="1">
      <c r="A106" s="317"/>
      <c r="B106" s="200">
        <v>5</v>
      </c>
      <c r="C106" s="101"/>
      <c r="D106" s="484" t="s">
        <v>1176</v>
      </c>
      <c r="E106" s="485"/>
      <c r="F106" s="222"/>
      <c r="G106" s="379"/>
      <c r="H106" s="231"/>
      <c r="I106" s="379"/>
      <c r="J106" s="231"/>
      <c r="K106" s="379"/>
      <c r="L106" s="231"/>
      <c r="M106" s="379"/>
      <c r="N106" s="231"/>
      <c r="O106" s="379"/>
      <c r="P106" s="231"/>
      <c r="Q106" s="379"/>
      <c r="R106" s="231"/>
      <c r="S106" s="379"/>
      <c r="T106" s="231"/>
      <c r="U106" s="379"/>
      <c r="V106" s="231"/>
      <c r="W106" s="379"/>
      <c r="X106" s="231"/>
      <c r="Y106" s="379"/>
      <c r="Z106" s="231"/>
      <c r="AA106" s="379"/>
      <c r="AB106" s="231"/>
      <c r="AC106" s="379"/>
      <c r="AD106" s="231"/>
      <c r="AE106" s="379"/>
      <c r="AF106" s="169">
        <v>60768.339740183997</v>
      </c>
      <c r="AG106" s="379"/>
      <c r="AH106" s="169">
        <v>56178.097124328</v>
      </c>
      <c r="AI106" s="379"/>
      <c r="AJ106" s="169">
        <v>68498.083107960003</v>
      </c>
      <c r="AK106" s="379"/>
      <c r="AL106" s="169">
        <v>53621.530220975998</v>
      </c>
      <c r="AM106" s="379"/>
      <c r="AN106" s="169">
        <v>52630.962493715997</v>
      </c>
      <c r="AO106" s="379"/>
      <c r="AP106" s="169">
        <v>55436.607034223998</v>
      </c>
      <c r="AQ106" s="379"/>
      <c r="AR106" s="169">
        <v>48837.294586019998</v>
      </c>
      <c r="AS106" s="379"/>
      <c r="AT106" s="169">
        <v>67589.781352548001</v>
      </c>
      <c r="AU106" s="379"/>
      <c r="AV106" s="164">
        <v>61172.493697967999</v>
      </c>
      <c r="AW106" s="379"/>
      <c r="AX106" s="164">
        <v>56277.077384472002</v>
      </c>
      <c r="AY106" s="379"/>
      <c r="AZ106" s="164">
        <v>53850.939663167999</v>
      </c>
      <c r="BA106" s="379"/>
      <c r="BB106" s="164">
        <v>67979.100219011991</v>
      </c>
      <c r="BC106" s="379"/>
      <c r="BD106" s="164">
        <v>73720.322195844012</v>
      </c>
      <c r="BE106" s="379"/>
      <c r="BF106" s="164">
        <v>60620.8357779</v>
      </c>
      <c r="BG106" s="379"/>
      <c r="BH106" s="223"/>
      <c r="BI106" s="184"/>
      <c r="CJ106" s="157"/>
      <c r="CK106" s="150"/>
      <c r="CL106" s="157"/>
      <c r="CM106" s="151" t="s">
        <v>1148</v>
      </c>
      <c r="CN106" s="157" t="s">
        <v>1160</v>
      </c>
      <c r="CO106" s="157"/>
      <c r="CP106" s="157"/>
      <c r="CQ106" s="157"/>
      <c r="CR106" s="157"/>
      <c r="CS106" s="157"/>
      <c r="CT106" s="157"/>
    </row>
    <row r="107" spans="1:98" ht="21" customHeight="1" thickBot="1">
      <c r="A107" s="317"/>
      <c r="B107" s="64"/>
      <c r="C107" s="65"/>
      <c r="D107" s="486" t="s">
        <v>587</v>
      </c>
      <c r="E107" s="487"/>
      <c r="F107" s="241"/>
      <c r="G107" s="194"/>
      <c r="H107" s="242"/>
      <c r="I107" s="194"/>
      <c r="J107" s="242"/>
      <c r="K107" s="194"/>
      <c r="L107" s="242"/>
      <c r="M107" s="194"/>
      <c r="N107" s="242"/>
      <c r="O107" s="194"/>
      <c r="P107" s="242"/>
      <c r="Q107" s="194"/>
      <c r="R107" s="242"/>
      <c r="S107" s="194"/>
      <c r="T107" s="242"/>
      <c r="U107" s="194"/>
      <c r="V107" s="242"/>
      <c r="W107" s="194"/>
      <c r="X107" s="242"/>
      <c r="Y107" s="194"/>
      <c r="Z107" s="242"/>
      <c r="AA107" s="194"/>
      <c r="AB107" s="242"/>
      <c r="AC107" s="194"/>
      <c r="AD107" s="242"/>
      <c r="AE107" s="194"/>
      <c r="AF107" s="104">
        <v>2023</v>
      </c>
      <c r="AG107" s="194"/>
      <c r="AH107" s="104">
        <v>2023</v>
      </c>
      <c r="AI107" s="194"/>
      <c r="AJ107" s="104">
        <v>2023</v>
      </c>
      <c r="AK107" s="194"/>
      <c r="AL107" s="104">
        <v>2023</v>
      </c>
      <c r="AM107" s="194"/>
      <c r="AN107" s="104">
        <v>2023</v>
      </c>
      <c r="AO107" s="194"/>
      <c r="AP107" s="104">
        <v>2023</v>
      </c>
      <c r="AQ107" s="194"/>
      <c r="AR107" s="104">
        <v>2023</v>
      </c>
      <c r="AS107" s="194"/>
      <c r="AT107" s="104">
        <v>2023</v>
      </c>
      <c r="AU107" s="194"/>
      <c r="AV107" s="104">
        <v>2023</v>
      </c>
      <c r="AW107" s="194"/>
      <c r="AX107" s="105">
        <v>2023</v>
      </c>
      <c r="AY107" s="194"/>
      <c r="AZ107" s="105">
        <v>2023</v>
      </c>
      <c r="BA107" s="194"/>
      <c r="BB107" s="105">
        <v>2023</v>
      </c>
      <c r="BC107" s="194"/>
      <c r="BD107" s="105">
        <v>2023</v>
      </c>
      <c r="BE107" s="194"/>
      <c r="BF107" s="105">
        <v>2023</v>
      </c>
      <c r="BG107" s="194"/>
      <c r="BH107" s="243"/>
      <c r="BI107" s="195"/>
      <c r="CJ107" s="157"/>
      <c r="CK107" s="150"/>
      <c r="CL107" s="157"/>
      <c r="CM107" s="159"/>
      <c r="CN107" s="157"/>
      <c r="CO107" s="157"/>
      <c r="CP107" s="157"/>
      <c r="CQ107" s="157"/>
      <c r="CR107" s="157"/>
      <c r="CS107" s="157"/>
      <c r="CT107" s="157"/>
    </row>
    <row r="108" spans="1:98">
      <c r="CJ108" s="160"/>
      <c r="CK108" s="155"/>
      <c r="CL108" s="160"/>
      <c r="CM108" s="161"/>
      <c r="CN108" s="160"/>
      <c r="CO108" s="160"/>
      <c r="CP108" s="160"/>
      <c r="CQ108" s="160"/>
      <c r="CR108" s="160"/>
      <c r="CS108" s="160"/>
      <c r="CT108" s="160"/>
    </row>
    <row r="109" spans="1:98">
      <c r="B109" s="202" t="s">
        <v>1161</v>
      </c>
      <c r="CJ109" s="160"/>
      <c r="CK109" s="155"/>
      <c r="CL109" s="160"/>
      <c r="CM109" s="161"/>
      <c r="CN109" s="160"/>
      <c r="CO109" s="160"/>
      <c r="CP109" s="160"/>
      <c r="CQ109" s="160"/>
      <c r="CR109" s="160"/>
      <c r="CS109" s="160"/>
      <c r="CT109" s="160"/>
    </row>
    <row r="110" spans="1:98">
      <c r="B110" s="203">
        <v>1</v>
      </c>
      <c r="C110" t="s">
        <v>1162</v>
      </c>
      <c r="CJ110" s="160"/>
      <c r="CK110" s="155"/>
      <c r="CL110" s="160"/>
      <c r="CM110" s="161"/>
      <c r="CN110" s="160"/>
      <c r="CO110" s="160"/>
      <c r="CP110" s="160"/>
      <c r="CQ110" s="160"/>
      <c r="CR110" s="160"/>
      <c r="CS110" s="160"/>
      <c r="CT110" s="160"/>
    </row>
    <row r="111" spans="1:98">
      <c r="B111" s="203"/>
      <c r="CJ111" s="160"/>
      <c r="CK111" s="155"/>
      <c r="CL111" s="160"/>
      <c r="CM111" s="161"/>
      <c r="CN111" s="160"/>
      <c r="CO111" s="160"/>
      <c r="CP111" s="160"/>
      <c r="CQ111" s="160"/>
      <c r="CR111" s="160"/>
      <c r="CS111" s="160"/>
      <c r="CT111" s="160"/>
    </row>
    <row r="112" spans="1:98">
      <c r="B112">
        <v>2.1</v>
      </c>
      <c r="C112" s="36" t="s">
        <v>1163</v>
      </c>
      <c r="CJ112" s="160"/>
      <c r="CK112" s="155"/>
      <c r="CL112" s="160"/>
      <c r="CM112" s="161"/>
      <c r="CN112" s="160"/>
      <c r="CO112" s="160"/>
      <c r="CP112" s="160"/>
      <c r="CQ112" s="160"/>
      <c r="CR112" s="160"/>
      <c r="CS112" s="160"/>
      <c r="CT112" s="160"/>
    </row>
    <row r="113" spans="2:98">
      <c r="B113">
        <v>2.2000000000000002</v>
      </c>
      <c r="C113" s="36" t="s">
        <v>1164</v>
      </c>
      <c r="CJ113" s="160"/>
      <c r="CK113" s="155"/>
      <c r="CL113" s="160"/>
      <c r="CM113" s="161"/>
      <c r="CN113" s="160"/>
      <c r="CO113" s="160"/>
      <c r="CP113" s="160"/>
      <c r="CQ113" s="160"/>
      <c r="CR113" s="160"/>
      <c r="CS113" s="160"/>
      <c r="CT113" s="160"/>
    </row>
    <row r="114" spans="2:98">
      <c r="B114">
        <v>2.2999999999999998</v>
      </c>
      <c r="C114" s="36" t="s">
        <v>1165</v>
      </c>
      <c r="CJ114" s="160"/>
      <c r="CK114" s="155"/>
      <c r="CL114" s="160"/>
      <c r="CM114" s="161"/>
      <c r="CN114" s="160"/>
      <c r="CO114" s="160"/>
      <c r="CP114" s="160"/>
      <c r="CQ114" s="160"/>
      <c r="CR114" s="160"/>
      <c r="CS114" s="160"/>
      <c r="CT114" s="160"/>
    </row>
    <row r="115" spans="2:98">
      <c r="B115">
        <v>2.4</v>
      </c>
      <c r="C115" s="36" t="s">
        <v>1166</v>
      </c>
      <c r="CJ115" s="160"/>
      <c r="CK115" s="155"/>
      <c r="CL115" s="160"/>
      <c r="CM115" s="161"/>
      <c r="CN115" s="160"/>
      <c r="CO115" s="160"/>
      <c r="CP115" s="160"/>
      <c r="CQ115" s="160"/>
      <c r="CR115" s="160"/>
      <c r="CS115" s="160"/>
      <c r="CT115" s="160"/>
    </row>
    <row r="116" spans="2:98">
      <c r="CJ116" s="160"/>
      <c r="CK116" s="155"/>
      <c r="CL116" s="160"/>
      <c r="CM116" s="161"/>
      <c r="CN116" s="160"/>
      <c r="CO116" s="160"/>
      <c r="CP116" s="160"/>
      <c r="CQ116" s="160"/>
      <c r="CR116" s="160"/>
      <c r="CS116" s="160"/>
      <c r="CT116" s="160"/>
    </row>
    <row r="117" spans="2:98">
      <c r="B117">
        <v>3.1</v>
      </c>
      <c r="C117" s="36" t="s">
        <v>1167</v>
      </c>
      <c r="CJ117" s="160"/>
      <c r="CK117" s="155"/>
      <c r="CL117" s="160"/>
      <c r="CM117" s="161"/>
      <c r="CN117" s="160"/>
      <c r="CO117" s="160"/>
      <c r="CP117" s="160"/>
      <c r="CQ117" s="160"/>
      <c r="CR117" s="160"/>
      <c r="CS117" s="160"/>
      <c r="CT117" s="160"/>
    </row>
    <row r="118" spans="2:98">
      <c r="B118">
        <v>3.2</v>
      </c>
      <c r="C118" s="36" t="s">
        <v>1168</v>
      </c>
      <c r="CJ118" s="160"/>
      <c r="CK118" s="155"/>
      <c r="CL118" s="160"/>
      <c r="CM118" s="161"/>
      <c r="CN118" s="160"/>
      <c r="CO118" s="160"/>
      <c r="CP118" s="160"/>
      <c r="CQ118" s="160"/>
      <c r="CR118" s="160"/>
      <c r="CS118" s="160"/>
      <c r="CT118" s="160"/>
    </row>
    <row r="119" spans="2:98">
      <c r="B119">
        <v>3.3</v>
      </c>
      <c r="C119" s="36" t="s">
        <v>1169</v>
      </c>
      <c r="CJ119" s="160"/>
      <c r="CK119" s="155"/>
      <c r="CL119" s="160"/>
      <c r="CM119" s="161"/>
      <c r="CN119" s="160"/>
      <c r="CO119" s="160"/>
      <c r="CP119" s="160"/>
      <c r="CQ119" s="160"/>
      <c r="CR119" s="160"/>
      <c r="CS119" s="160"/>
      <c r="CT119" s="160"/>
    </row>
    <row r="120" spans="2:98">
      <c r="CJ120" s="160"/>
      <c r="CK120" s="155"/>
      <c r="CL120" s="160"/>
      <c r="CM120" s="161"/>
      <c r="CN120" s="160"/>
      <c r="CO120" s="160"/>
      <c r="CP120" s="160"/>
      <c r="CQ120" s="160"/>
      <c r="CR120" s="160"/>
      <c r="CS120" s="160"/>
      <c r="CT120" s="160"/>
    </row>
    <row r="121" spans="2:98">
      <c r="B121" s="203">
        <v>5</v>
      </c>
      <c r="C121" s="36" t="s">
        <v>1170</v>
      </c>
      <c r="CJ121" s="160"/>
      <c r="CK121" s="155"/>
      <c r="CL121" s="160"/>
      <c r="CM121" s="161"/>
      <c r="CN121" s="160"/>
      <c r="CO121" s="160"/>
      <c r="CP121" s="160"/>
      <c r="CQ121" s="160"/>
      <c r="CR121" s="160"/>
      <c r="CS121" s="160"/>
      <c r="CT121" s="160"/>
    </row>
    <row r="122" spans="2:98">
      <c r="CJ122" s="160"/>
      <c r="CK122" s="155"/>
      <c r="CL122" s="160"/>
      <c r="CM122" s="161"/>
      <c r="CN122" s="160"/>
      <c r="CO122" s="160"/>
      <c r="CP122" s="160"/>
      <c r="CQ122" s="160"/>
      <c r="CR122" s="160"/>
      <c r="CS122" s="160"/>
      <c r="CT122" s="160"/>
    </row>
    <row r="123" spans="2:98">
      <c r="CJ123" s="160"/>
      <c r="CK123" s="155"/>
      <c r="CL123" s="160"/>
      <c r="CM123" s="161"/>
      <c r="CN123" s="160"/>
      <c r="CO123" s="160"/>
      <c r="CP123" s="160"/>
      <c r="CQ123" s="160"/>
      <c r="CR123" s="160"/>
      <c r="CS123" s="160"/>
      <c r="CT123" s="160"/>
    </row>
    <row r="124" spans="2:98">
      <c r="CJ124" s="160"/>
      <c r="CK124" s="155"/>
      <c r="CL124" s="160"/>
      <c r="CM124" s="161"/>
      <c r="CN124" s="160"/>
      <c r="CO124" s="160"/>
      <c r="CP124" s="160"/>
      <c r="CQ124" s="160"/>
      <c r="CR124" s="160"/>
      <c r="CS124" s="160"/>
      <c r="CT124" s="160"/>
    </row>
    <row r="125" spans="2:98">
      <c r="CJ125" s="160"/>
      <c r="CK125" s="155"/>
      <c r="CL125" s="160"/>
      <c r="CM125" s="161"/>
      <c r="CN125" s="160"/>
      <c r="CO125" s="160"/>
      <c r="CP125" s="160"/>
      <c r="CQ125" s="160"/>
      <c r="CR125" s="160"/>
      <c r="CS125" s="160"/>
      <c r="CT125" s="160"/>
    </row>
    <row r="126" spans="2:98">
      <c r="CJ126" s="160"/>
      <c r="CK126" s="155"/>
      <c r="CL126" s="160"/>
      <c r="CM126" s="161"/>
      <c r="CN126" s="160"/>
      <c r="CO126" s="160"/>
      <c r="CP126" s="160"/>
      <c r="CQ126" s="160"/>
      <c r="CR126" s="160"/>
      <c r="CS126" s="160"/>
      <c r="CT126" s="160"/>
    </row>
    <row r="127" spans="2:98">
      <c r="CJ127" s="160"/>
      <c r="CK127" s="155"/>
      <c r="CL127" s="160"/>
      <c r="CM127" s="161"/>
      <c r="CN127" s="160"/>
      <c r="CO127" s="160"/>
      <c r="CP127" s="160"/>
      <c r="CQ127" s="160"/>
      <c r="CR127" s="160"/>
      <c r="CS127" s="160"/>
      <c r="CT127" s="160"/>
    </row>
    <row r="128" spans="2:98">
      <c r="CJ128" s="160"/>
      <c r="CK128" s="155"/>
      <c r="CL128" s="160"/>
      <c r="CM128" s="161"/>
      <c r="CN128" s="160"/>
      <c r="CO128" s="160"/>
      <c r="CP128" s="160"/>
      <c r="CQ128" s="160"/>
      <c r="CR128" s="160"/>
      <c r="CS128" s="160"/>
      <c r="CT128" s="160"/>
    </row>
    <row r="129" spans="88:98">
      <c r="CJ129" s="160"/>
      <c r="CK129" s="155"/>
      <c r="CL129" s="160"/>
      <c r="CM129" s="161"/>
      <c r="CN129" s="160"/>
      <c r="CO129" s="160"/>
      <c r="CP129" s="160"/>
      <c r="CQ129" s="160"/>
      <c r="CR129" s="160"/>
      <c r="CS129" s="160"/>
      <c r="CT129" s="160"/>
    </row>
    <row r="130" spans="88:98">
      <c r="CJ130" s="160"/>
      <c r="CK130" s="155"/>
      <c r="CL130" s="160"/>
      <c r="CM130" s="161"/>
      <c r="CN130" s="160"/>
      <c r="CO130" s="160"/>
      <c r="CP130" s="160"/>
      <c r="CQ130" s="160"/>
      <c r="CR130" s="160"/>
      <c r="CS130" s="160"/>
      <c r="CT130" s="160"/>
    </row>
    <row r="131" spans="88:98">
      <c r="CJ131" s="160"/>
      <c r="CK131" s="155"/>
      <c r="CL131" s="160"/>
      <c r="CM131" s="161"/>
      <c r="CN131" s="160"/>
      <c r="CO131" s="160"/>
      <c r="CP131" s="160"/>
      <c r="CQ131" s="160"/>
      <c r="CR131" s="160"/>
      <c r="CS131" s="160"/>
      <c r="CT131" s="160"/>
    </row>
    <row r="132" spans="88:98">
      <c r="CJ132" s="160"/>
      <c r="CK132" s="155"/>
      <c r="CL132" s="160"/>
      <c r="CM132" s="161"/>
      <c r="CN132" s="160"/>
      <c r="CO132" s="160"/>
      <c r="CP132" s="160"/>
      <c r="CQ132" s="160"/>
      <c r="CR132" s="160"/>
      <c r="CS132" s="160"/>
      <c r="CT132" s="160"/>
    </row>
    <row r="133" spans="88:98">
      <c r="CJ133" s="160"/>
      <c r="CK133" s="155"/>
      <c r="CL133" s="160"/>
      <c r="CM133" s="161"/>
      <c r="CN133" s="160"/>
      <c r="CO133" s="160"/>
      <c r="CP133" s="160"/>
      <c r="CQ133" s="160"/>
      <c r="CR133" s="160"/>
      <c r="CS133" s="160"/>
      <c r="CT133" s="160"/>
    </row>
    <row r="134" spans="88:98">
      <c r="CJ134" s="160"/>
      <c r="CK134" s="155"/>
      <c r="CL134" s="160"/>
      <c r="CM134" s="161"/>
      <c r="CN134" s="160"/>
      <c r="CO134" s="160"/>
      <c r="CP134" s="160"/>
      <c r="CQ134" s="160"/>
      <c r="CR134" s="160"/>
      <c r="CS134" s="160"/>
      <c r="CT134" s="160"/>
    </row>
    <row r="135" spans="88:98">
      <c r="CJ135" s="160"/>
      <c r="CK135" s="155"/>
      <c r="CL135" s="160"/>
      <c r="CM135" s="161"/>
      <c r="CN135" s="160"/>
      <c r="CO135" s="160"/>
      <c r="CP135" s="160"/>
      <c r="CQ135" s="160"/>
      <c r="CR135" s="160"/>
      <c r="CS135" s="160"/>
      <c r="CT135" s="160"/>
    </row>
    <row r="136" spans="88:98">
      <c r="CJ136" s="160"/>
      <c r="CK136" s="155"/>
      <c r="CL136" s="160"/>
      <c r="CM136" s="161"/>
      <c r="CN136" s="160"/>
      <c r="CO136" s="160"/>
      <c r="CP136" s="160"/>
      <c r="CQ136" s="160"/>
      <c r="CR136" s="160"/>
      <c r="CS136" s="160"/>
      <c r="CT136" s="160"/>
    </row>
    <row r="137" spans="88:98">
      <c r="CJ137" s="160"/>
      <c r="CK137" s="155"/>
      <c r="CL137" s="160"/>
      <c r="CM137" s="161"/>
      <c r="CN137" s="160"/>
      <c r="CO137" s="160"/>
      <c r="CP137" s="160"/>
      <c r="CQ137" s="160"/>
      <c r="CR137" s="160"/>
      <c r="CS137" s="160"/>
      <c r="CT137" s="160"/>
    </row>
    <row r="138" spans="88:98">
      <c r="CJ138" s="160"/>
      <c r="CK138" s="155"/>
      <c r="CL138" s="160"/>
      <c r="CM138" s="161"/>
      <c r="CN138" s="160"/>
      <c r="CO138" s="160"/>
      <c r="CP138" s="160"/>
      <c r="CQ138" s="160"/>
      <c r="CR138" s="160"/>
      <c r="CS138" s="160"/>
      <c r="CT138" s="160"/>
    </row>
    <row r="139" spans="88:98">
      <c r="CJ139" s="160"/>
      <c r="CK139" s="155"/>
      <c r="CL139" s="160"/>
      <c r="CM139" s="161"/>
      <c r="CN139" s="160"/>
      <c r="CO139" s="160"/>
      <c r="CP139" s="160"/>
      <c r="CQ139" s="160"/>
      <c r="CR139" s="160"/>
      <c r="CS139" s="160"/>
      <c r="CT139" s="160"/>
    </row>
    <row r="140" spans="88:98">
      <c r="CJ140" s="160"/>
      <c r="CK140" s="155"/>
      <c r="CL140" s="160"/>
      <c r="CM140" s="161"/>
      <c r="CN140" s="160"/>
      <c r="CO140" s="160"/>
      <c r="CP140" s="160"/>
      <c r="CQ140" s="160"/>
      <c r="CR140" s="160"/>
      <c r="CS140" s="160"/>
      <c r="CT140" s="160"/>
    </row>
    <row r="141" spans="88:98">
      <c r="CJ141" s="160"/>
      <c r="CK141" s="155"/>
      <c r="CL141" s="160"/>
      <c r="CM141" s="161"/>
      <c r="CN141" s="160"/>
      <c r="CO141" s="160"/>
      <c r="CP141" s="160"/>
      <c r="CQ141" s="160"/>
      <c r="CR141" s="160"/>
      <c r="CS141" s="160"/>
      <c r="CT141" s="160"/>
    </row>
    <row r="142" spans="88:98">
      <c r="CJ142" s="161"/>
      <c r="CK142" s="156"/>
      <c r="CL142" s="161"/>
      <c r="CM142" s="161"/>
      <c r="CN142" s="161"/>
      <c r="CO142" s="161"/>
      <c r="CP142" s="161"/>
      <c r="CQ142" s="161"/>
      <c r="CR142" s="161"/>
      <c r="CS142" s="161"/>
      <c r="CT142" s="161"/>
    </row>
    <row r="143" spans="88:98">
      <c r="CJ143" s="161"/>
      <c r="CK143" s="156"/>
      <c r="CL143" s="161"/>
      <c r="CM143" s="161"/>
      <c r="CN143" s="161"/>
      <c r="CO143" s="161"/>
      <c r="CP143" s="161"/>
      <c r="CQ143" s="161"/>
      <c r="CR143" s="161"/>
      <c r="CS143" s="161"/>
      <c r="CT143" s="161"/>
    </row>
    <row r="144" spans="88:98">
      <c r="CJ144" s="161"/>
      <c r="CK144" s="156"/>
      <c r="CL144" s="161"/>
      <c r="CM144" s="161"/>
      <c r="CN144" s="161"/>
      <c r="CO144" s="161"/>
      <c r="CP144" s="161"/>
      <c r="CQ144" s="161"/>
      <c r="CR144" s="161"/>
      <c r="CS144" s="161"/>
      <c r="CT144" s="161"/>
    </row>
  </sheetData>
  <sheetProtection sheet="1" objects="1" scenarios="1"/>
  <dataConsolidate/>
  <mergeCells count="137">
    <mergeCell ref="CS1:CS3"/>
    <mergeCell ref="CT1:CT3"/>
    <mergeCell ref="CM1:CM3"/>
    <mergeCell ref="CN1:CN3"/>
    <mergeCell ref="CO1:CO3"/>
    <mergeCell ref="CP1:CP3"/>
    <mergeCell ref="CQ1:CQ3"/>
    <mergeCell ref="CR1:CR3"/>
    <mergeCell ref="D104:E104"/>
    <mergeCell ref="D81:E81"/>
    <mergeCell ref="D82:E82"/>
    <mergeCell ref="D83:E83"/>
    <mergeCell ref="D84:E84"/>
    <mergeCell ref="D85:E85"/>
    <mergeCell ref="D74:E74"/>
    <mergeCell ref="D75:E75"/>
    <mergeCell ref="D76:E76"/>
    <mergeCell ref="D77:E77"/>
    <mergeCell ref="D78:E78"/>
    <mergeCell ref="D79:E79"/>
    <mergeCell ref="D68:E68"/>
    <mergeCell ref="D69:E69"/>
    <mergeCell ref="D70:E70"/>
    <mergeCell ref="D71:E71"/>
    <mergeCell ref="D105:E105"/>
    <mergeCell ref="D106:E106"/>
    <mergeCell ref="D107:E107"/>
    <mergeCell ref="CJ1:CJ3"/>
    <mergeCell ref="CL1:CL3"/>
    <mergeCell ref="D98:E98"/>
    <mergeCell ref="D99:E99"/>
    <mergeCell ref="D100:E100"/>
    <mergeCell ref="D101:E101"/>
    <mergeCell ref="D102:E102"/>
    <mergeCell ref="D103:E103"/>
    <mergeCell ref="D92:E92"/>
    <mergeCell ref="D93:E93"/>
    <mergeCell ref="D94:E94"/>
    <mergeCell ref="B95:E95"/>
    <mergeCell ref="D96:E96"/>
    <mergeCell ref="D97:E97"/>
    <mergeCell ref="D86:E86"/>
    <mergeCell ref="D87:E87"/>
    <mergeCell ref="D88:E88"/>
    <mergeCell ref="D89:E89"/>
    <mergeCell ref="D90:E90"/>
    <mergeCell ref="B91:E91"/>
    <mergeCell ref="D80:E80"/>
    <mergeCell ref="D72:E72"/>
    <mergeCell ref="D73:E73"/>
    <mergeCell ref="D62:E62"/>
    <mergeCell ref="D63:E63"/>
    <mergeCell ref="D64:E64"/>
    <mergeCell ref="D65:E65"/>
    <mergeCell ref="D66:E66"/>
    <mergeCell ref="D67:E67"/>
    <mergeCell ref="D56:E56"/>
    <mergeCell ref="D57:E57"/>
    <mergeCell ref="D58:E58"/>
    <mergeCell ref="D59:E59"/>
    <mergeCell ref="D60:E60"/>
    <mergeCell ref="D61:E61"/>
    <mergeCell ref="D50:E50"/>
    <mergeCell ref="D51:E51"/>
    <mergeCell ref="D52:E52"/>
    <mergeCell ref="D53:E53"/>
    <mergeCell ref="D54:E54"/>
    <mergeCell ref="D55:E55"/>
    <mergeCell ref="D44:E44"/>
    <mergeCell ref="D45:E45"/>
    <mergeCell ref="D46:E46"/>
    <mergeCell ref="D47:E47"/>
    <mergeCell ref="D48:E48"/>
    <mergeCell ref="D49:E49"/>
    <mergeCell ref="D38:E38"/>
    <mergeCell ref="D39:E39"/>
    <mergeCell ref="D40:E40"/>
    <mergeCell ref="D41:E41"/>
    <mergeCell ref="D42:E42"/>
    <mergeCell ref="D43:E43"/>
    <mergeCell ref="D32:E32"/>
    <mergeCell ref="D33:E33"/>
    <mergeCell ref="D34:E34"/>
    <mergeCell ref="D35:E35"/>
    <mergeCell ref="D36:E36"/>
    <mergeCell ref="D37:E37"/>
    <mergeCell ref="D26:E26"/>
    <mergeCell ref="D27:E27"/>
    <mergeCell ref="D28:E28"/>
    <mergeCell ref="D29:E29"/>
    <mergeCell ref="D30:E30"/>
    <mergeCell ref="D31:E31"/>
    <mergeCell ref="D20:E20"/>
    <mergeCell ref="D21:E21"/>
    <mergeCell ref="D22:E22"/>
    <mergeCell ref="D23:E23"/>
    <mergeCell ref="D24:E24"/>
    <mergeCell ref="D25:E25"/>
    <mergeCell ref="F1:G3"/>
    <mergeCell ref="H1:I3"/>
    <mergeCell ref="J1:K3"/>
    <mergeCell ref="D14:E14"/>
    <mergeCell ref="D15:E15"/>
    <mergeCell ref="D16:E16"/>
    <mergeCell ref="D17:E17"/>
    <mergeCell ref="D18:E18"/>
    <mergeCell ref="D19:E19"/>
    <mergeCell ref="D8:E8"/>
    <mergeCell ref="D9:E9"/>
    <mergeCell ref="D10:E10"/>
    <mergeCell ref="D11:E11"/>
    <mergeCell ref="D12:E12"/>
    <mergeCell ref="D13:E13"/>
    <mergeCell ref="CK1:CK3"/>
    <mergeCell ref="L1:M3"/>
    <mergeCell ref="N1:O3"/>
    <mergeCell ref="AV3:AW3"/>
    <mergeCell ref="B4:E4"/>
    <mergeCell ref="B5:C5"/>
    <mergeCell ref="D5:E5"/>
    <mergeCell ref="D6:E6"/>
    <mergeCell ref="D7:E7"/>
    <mergeCell ref="AB1:AC3"/>
    <mergeCell ref="AD1:AE3"/>
    <mergeCell ref="AF1:AG3"/>
    <mergeCell ref="AH1:AI3"/>
    <mergeCell ref="AJ1:AK3"/>
    <mergeCell ref="B2:C2"/>
    <mergeCell ref="B3:C3"/>
    <mergeCell ref="D3:E3"/>
    <mergeCell ref="P1:Q3"/>
    <mergeCell ref="R1:S3"/>
    <mergeCell ref="T1:U3"/>
    <mergeCell ref="V1:W3"/>
    <mergeCell ref="X1:Y3"/>
    <mergeCell ref="Z1:AA3"/>
    <mergeCell ref="B1:C1"/>
  </mergeCells>
  <dataValidations count="4">
    <dataValidation allowBlank="1" showErrorMessage="1" sqref="E1" xr:uid="{00000000-0002-0000-1200-000000000000}"/>
    <dataValidation type="textLength" allowBlank="1" showInputMessage="1" showErrorMessage="1" prompt="Please select your country in worksheet &quot;Intro&quot; (for all pollutant sheets)" sqref="D1" xr:uid="{00000000-0002-0000-1200-000001000000}">
      <formula1>2</formula1>
      <formula2>2</formula2>
    </dataValidation>
    <dataValidation type="custom" allowBlank="1" showInputMessage="1" showErrorMessage="1" errorTitle="Wrong data input" error="Data entry is limited to positive values or zero._x000d__x000a_: symbol can be used for not available data." sqref="F5:F95 F101:F104 F106:F107 BH5:BH95 BH101:BH104 BH106:BH107 BF5:BF95 BF101:BF104 BF106:BF107 BD5:BD95 BD101:BD104 BD106:BD107 BB5:BB95 BB101:BB104 BB106:BB107 AZ5:AZ95 AZ101:AZ104 AZ106:AZ107 AX5:AX95 AX101:AX104 AX106:AX107 AV5:AV95 AV101:AV104 AV106:AV107 AT5:AT95 AT101:AT104 AT106:AT107 AR5:AR95 AR101:AR104 AR106:AR107 AP5:AP95 AP101:AP104 AP106:AP107 AN5:AN95 AN101:AN104 AN106:AN107 AL5:AL95 AL101:AL104 AL106:AL107 AJ5:AJ95 AJ101:AJ104 AJ106:AJ107 AH5:AH95 AH101:AH104 AH106:AH107 AF5:AF95 AF101:AF104 AF106:AF107 AD5:AD95 AD101:AD104 AD106:AD107 AB5:AB95 AB101:AB104 AB106:AB107 Z5:Z95 Z101:Z104 Z106:Z107 X5:X95 X101:X104 X106:X107 V5:V95 V101:V104 V106:V107 T5:T95 T101:T104 T106:T107 R5:R95 R101:R104 R106:R107 P5:P95 P101:P104 P106:P107 N5:N95 N101:N104 N106:N107 L5:L95 L101:L104 L106:L107 J5:J95 J101:J104 J106:J107 H5:H95 H101:H104 H106:H107" xr:uid="{81AF4B0D-C73F-4A2E-82DB-47409A591B05}">
      <formula1>OR(AND(ISNUMBER(F5),F5&gt;=0),F5=":")</formula1>
    </dataValidation>
    <dataValidation type="custom" allowBlank="1" showInputMessage="1" showErrorMessage="1" errorTitle="Wrong data input" error="Data entry is limited to numbers._x000d__x000a_: symbol can be used for not available data." sqref="BH105 BH96:BH100 BF105 BF96:BF100 BD105 BD96:BD100 BB105 BB96:BB100 AZ105 AZ96:AZ100 AX105 AX96:AX100 AV105 AV96:AV100 AT105 AT96:AT100 AR105 AR96:AR100 AP105 AP96:AP100 AN105 AN96:AN100 AL105 AL96:AL100 AJ105 AJ96:AJ100 AH105 AH96:AH100 AF105 AF96:AF100 AD105 AD96:AD100 AB105 AB96:AB100 Z105 Z96:Z100 X105 X96:X100 V105 V96:V100 T105 T96:T100 R105 R96:R100 P105 P96:P100 N105 N96:N100 L105 L96:L100 J105 J96:J100 H105 H96:H100 F105 F96:F100" xr:uid="{41C29D10-8D0F-440F-B1CC-4803E2C1A48F}">
      <formula1>OR(ISNUMBER(F96),F96=":")</formula1>
    </dataValidation>
  </dataValidations>
  <printOptions headings="1" gridLines="1"/>
  <pageMargins left="0.2" right="0.39370078740157499" top="0.17" bottom="0.47" header="0" footer="0"/>
  <pageSetup paperSize="9" scale="60" fitToHeight="3" pageOrder="overThenDown" orientation="portrait" r:id="rId1"/>
  <headerFooter alignWithMargins="0">
    <oddFooter>&amp;L&amp;A&amp;C&amp;P&amp;R&amp;F</oddFooter>
  </headerFooter>
  <rowBreaks count="1" manualBreakCount="1">
    <brk id="94" min="1" max="22" man="1"/>
  </rowBreaks>
  <drawing r:id="rId2"/>
  <legacyDrawing r:id="rId3"/>
  <mc:AlternateContent xmlns:mc="http://schemas.openxmlformats.org/markup-compatibility/2006">
    <mc:Choice Requires="x14">
      <controls>
        <mc:AlternateContent xmlns:mc="http://schemas.openxmlformats.org/markup-compatibility/2006">
          <mc:Choice Requires="x14">
            <control shapeId="823297" r:id="rId4" name="Button 1">
              <controlPr defaultSize="0" print="0" autoFill="0" autoPict="0" macro="[0]!CheckThisSheet">
                <anchor moveWithCells="1" sizeWithCells="1">
                  <from>
                    <xdr:col>4</xdr:col>
                    <xdr:colOff>3105150</xdr:colOff>
                    <xdr:row>1</xdr:row>
                    <xdr:rowOff>76200</xdr:rowOff>
                  </from>
                  <to>
                    <xdr:col>4</xdr:col>
                    <xdr:colOff>3810000</xdr:colOff>
                    <xdr:row>2</xdr:row>
                    <xdr:rowOff>304800</xdr:rowOff>
                  </to>
                </anchor>
              </controlPr>
            </control>
          </mc:Choice>
        </mc:AlternateContent>
        <mc:AlternateContent xmlns:mc="http://schemas.openxmlformats.org/markup-compatibility/2006">
          <mc:Choice Requires="x14">
            <control shapeId="823298" r:id="rId5" name="Button 2">
              <controlPr defaultSize="0" print="0" autoFill="0" autoPict="0" macro="[0]!Interface.SetPinkColor">
                <anchor moveWithCells="1" sizeWithCells="1">
                  <from>
                    <xdr:col>4</xdr:col>
                    <xdr:colOff>2914650</xdr:colOff>
                    <xdr:row>3</xdr:row>
                    <xdr:rowOff>76200</xdr:rowOff>
                  </from>
                  <to>
                    <xdr:col>4</xdr:col>
                    <xdr:colOff>3162300</xdr:colOff>
                    <xdr:row>3</xdr:row>
                    <xdr:rowOff>323850</xdr:rowOff>
                  </to>
                </anchor>
              </controlPr>
            </control>
          </mc:Choice>
        </mc:AlternateContent>
        <mc:AlternateContent xmlns:mc="http://schemas.openxmlformats.org/markup-compatibility/2006">
          <mc:Choice Requires="x14">
            <control shapeId="823299" r:id="rId6" name="Button 3">
              <controlPr defaultSize="0" print="0" autoFill="0" autoPict="0" macro="[0]!Interface.SetGreyColor">
                <anchor moveWithCells="1" sizeWithCells="1">
                  <from>
                    <xdr:col>4</xdr:col>
                    <xdr:colOff>3257550</xdr:colOff>
                    <xdr:row>3</xdr:row>
                    <xdr:rowOff>76200</xdr:rowOff>
                  </from>
                  <to>
                    <xdr:col>4</xdr:col>
                    <xdr:colOff>3505200</xdr:colOff>
                    <xdr:row>3</xdr:row>
                    <xdr:rowOff>323850</xdr:rowOff>
                  </to>
                </anchor>
              </controlPr>
            </control>
          </mc:Choice>
        </mc:AlternateContent>
        <mc:AlternateContent xmlns:mc="http://schemas.openxmlformats.org/markup-compatibility/2006">
          <mc:Choice Requires="x14">
            <control shapeId="823300" r:id="rId7" name="Button 4">
              <controlPr defaultSize="0" print="0" autoFill="0" autoPict="0" macro="[0]!Interface.SetBlankColor">
                <anchor moveWithCells="1" sizeWithCells="1">
                  <from>
                    <xdr:col>4</xdr:col>
                    <xdr:colOff>3600450</xdr:colOff>
                    <xdr:row>3</xdr:row>
                    <xdr:rowOff>66675</xdr:rowOff>
                  </from>
                  <to>
                    <xdr:col>4</xdr:col>
                    <xdr:colOff>3838575</xdr:colOff>
                    <xdr:row>3</xdr:row>
                    <xdr:rowOff>323850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MODEL4">
    <tabColor indexed="42"/>
  </sheetPr>
  <dimension ref="A1:CT139"/>
  <sheetViews>
    <sheetView showGridLines="0" showOutlineSymbols="0" zoomScale="80" zoomScaleNormal="80" zoomScaleSheetLayoutView="100" workbookViewId="0">
      <pane xSplit="5" ySplit="4" topLeftCell="AD5" activePane="bottomRight" state="frozen"/>
      <selection pane="topRight" activeCell="AN63" sqref="AN63"/>
      <selection pane="bottomLeft" activeCell="AN63" sqref="AN63"/>
      <selection pane="bottomRight" activeCell="AF105" sqref="AF105:BF105"/>
    </sheetView>
  </sheetViews>
  <sheetFormatPr defaultColWidth="9.28515625" defaultRowHeight="12.75" outlineLevelCol="1"/>
  <cols>
    <col min="1" max="1" width="11.7109375" hidden="1" customWidth="1" outlineLevel="1" collapsed="1"/>
    <col min="2" max="2" width="10.28515625" customWidth="1" collapsed="1"/>
    <col min="3" max="3" width="2.7109375" customWidth="1"/>
    <col min="4" max="4" width="10" customWidth="1"/>
    <col min="5" max="5" width="56.7109375" customWidth="1"/>
    <col min="6" max="6" width="15.28515625" customWidth="1"/>
    <col min="7" max="7" width="2.28515625" customWidth="1"/>
    <col min="8" max="8" width="14.7109375" customWidth="1"/>
    <col min="9" max="9" width="2.28515625" customWidth="1"/>
    <col min="10" max="10" width="14.7109375" customWidth="1"/>
    <col min="11" max="11" width="2.28515625" customWidth="1"/>
    <col min="12" max="12" width="14.7109375" customWidth="1"/>
    <col min="13" max="13" width="2.28515625" customWidth="1"/>
    <col min="14" max="14" width="14.7109375" customWidth="1"/>
    <col min="15" max="15" width="2.28515625" customWidth="1"/>
    <col min="16" max="16" width="14.7109375" customWidth="1"/>
    <col min="17" max="17" width="2.28515625" customWidth="1"/>
    <col min="18" max="18" width="14.7109375" customWidth="1"/>
    <col min="19" max="19" width="2.28515625" customWidth="1"/>
    <col min="20" max="20" width="14.7109375" customWidth="1"/>
    <col min="21" max="21" width="2.28515625" customWidth="1"/>
    <col min="22" max="22" width="14.7109375" customWidth="1"/>
    <col min="23" max="23" width="2.28515625" customWidth="1"/>
    <col min="24" max="24" width="14.7109375" customWidth="1"/>
    <col min="25" max="25" width="2.28515625" customWidth="1"/>
    <col min="26" max="26" width="14.7109375" customWidth="1"/>
    <col min="27" max="27" width="2.28515625" customWidth="1"/>
    <col min="28" max="28" width="14.7109375" customWidth="1"/>
    <col min="29" max="29" width="2.28515625" customWidth="1"/>
    <col min="30" max="30" width="14.7109375" customWidth="1"/>
    <col min="31" max="31" width="2.28515625" customWidth="1"/>
    <col min="32" max="32" width="14.7109375" customWidth="1"/>
    <col min="33" max="33" width="2.28515625" customWidth="1"/>
    <col min="34" max="34" width="14.7109375" customWidth="1"/>
    <col min="35" max="35" width="2.28515625" customWidth="1"/>
    <col min="36" max="36" width="14.7109375" customWidth="1"/>
    <col min="37" max="37" width="2.28515625" customWidth="1"/>
    <col min="38" max="38" width="14.7109375" customWidth="1"/>
    <col min="39" max="39" width="2.28515625" customWidth="1"/>
    <col min="40" max="40" width="14.7109375" customWidth="1"/>
    <col min="41" max="41" width="2.28515625" customWidth="1"/>
    <col min="42" max="42" width="14.7109375" customWidth="1"/>
    <col min="43" max="43" width="2.28515625" customWidth="1"/>
    <col min="44" max="44" width="14.7109375" customWidth="1"/>
    <col min="45" max="45" width="2.28515625" customWidth="1"/>
    <col min="46" max="46" width="14.7109375" customWidth="1"/>
    <col min="47" max="47" width="2.28515625" customWidth="1"/>
    <col min="48" max="48" width="14.7109375" customWidth="1"/>
    <col min="49" max="49" width="2.28515625" customWidth="1"/>
    <col min="50" max="50" width="14.7109375" customWidth="1"/>
    <col min="51" max="51" width="2.28515625" customWidth="1"/>
    <col min="52" max="52" width="14.7109375" customWidth="1"/>
    <col min="53" max="53" width="2.28515625" customWidth="1"/>
    <col min="54" max="54" width="14.7109375" customWidth="1"/>
    <col min="55" max="55" width="2.28515625" customWidth="1"/>
    <col min="56" max="56" width="14.7109375" customWidth="1"/>
    <col min="57" max="57" width="2.28515625" customWidth="1"/>
    <col min="58" max="58" width="14.7109375" customWidth="1"/>
    <col min="59" max="59" width="2.28515625" customWidth="1"/>
    <col min="60" max="60" width="14.7109375" customWidth="1"/>
    <col min="61" max="61" width="2.28515625" customWidth="1"/>
    <col min="89" max="89" width="4.7109375" customWidth="1"/>
    <col min="92" max="92" width="13.140625" bestFit="1" customWidth="1"/>
  </cols>
  <sheetData>
    <row r="1" spans="1:98" ht="30" customHeight="1" thickBot="1">
      <c r="A1" t="s">
        <v>562</v>
      </c>
      <c r="B1" s="528" t="s">
        <v>563</v>
      </c>
      <c r="C1" s="529"/>
      <c r="D1" s="204" t="str">
        <f>intro!F7</f>
        <v>NO</v>
      </c>
      <c r="E1" s="15"/>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1"/>
      <c r="AI1" s="521"/>
      <c r="AJ1" s="521"/>
      <c r="AK1" s="521"/>
      <c r="CJ1" s="554" t="s">
        <v>214</v>
      </c>
      <c r="CK1" s="554" t="s">
        <v>218</v>
      </c>
      <c r="CL1" s="554" t="s">
        <v>222</v>
      </c>
      <c r="CM1" s="554" t="s">
        <v>225</v>
      </c>
      <c r="CN1" s="554" t="s">
        <v>1126</v>
      </c>
      <c r="CO1" s="554" t="s">
        <v>234</v>
      </c>
      <c r="CP1" s="554" t="s">
        <v>236</v>
      </c>
      <c r="CQ1" s="554" t="s">
        <v>238</v>
      </c>
      <c r="CR1" s="554" t="s">
        <v>259</v>
      </c>
      <c r="CS1" s="554" t="s">
        <v>240</v>
      </c>
      <c r="CT1" s="554" t="s">
        <v>242</v>
      </c>
    </row>
    <row r="2" spans="1:98" ht="30" customHeight="1" thickBot="1">
      <c r="B2" s="522" t="s">
        <v>564</v>
      </c>
      <c r="C2" s="523"/>
      <c r="D2" s="7" t="s">
        <v>57</v>
      </c>
      <c r="E2" s="297" t="s">
        <v>655</v>
      </c>
      <c r="F2" s="521"/>
      <c r="G2" s="521"/>
      <c r="H2" s="521"/>
      <c r="I2" s="521"/>
      <c r="J2" s="521"/>
      <c r="K2" s="521"/>
      <c r="L2" s="521"/>
      <c r="M2" s="521"/>
      <c r="N2" s="521"/>
      <c r="O2" s="521"/>
      <c r="P2" s="521"/>
      <c r="Q2" s="521"/>
      <c r="R2" s="521"/>
      <c r="S2" s="521"/>
      <c r="T2" s="521"/>
      <c r="U2" s="521"/>
      <c r="V2" s="521"/>
      <c r="W2" s="521"/>
      <c r="X2" s="521"/>
      <c r="Y2" s="521"/>
      <c r="Z2" s="521"/>
      <c r="AA2" s="521"/>
      <c r="AB2" s="521"/>
      <c r="AC2" s="521"/>
      <c r="AD2" s="521"/>
      <c r="AE2" s="521"/>
      <c r="AF2" s="521"/>
      <c r="AG2" s="521"/>
      <c r="AH2" s="521"/>
      <c r="AI2" s="521"/>
      <c r="AJ2" s="521"/>
      <c r="AK2" s="521"/>
      <c r="CJ2" s="554"/>
      <c r="CK2" s="554"/>
      <c r="CL2" s="554"/>
      <c r="CM2" s="554"/>
      <c r="CN2" s="554"/>
      <c r="CO2" s="554"/>
      <c r="CP2" s="554"/>
      <c r="CQ2" s="554"/>
      <c r="CR2" s="554"/>
      <c r="CS2" s="554"/>
      <c r="CT2" s="554"/>
    </row>
    <row r="3" spans="1:98" ht="30" customHeight="1" thickBot="1">
      <c r="A3" s="21" t="s">
        <v>647</v>
      </c>
      <c r="B3" s="524" t="s">
        <v>567</v>
      </c>
      <c r="C3" s="525" t="s">
        <v>568</v>
      </c>
      <c r="D3" s="526" t="s">
        <v>1173</v>
      </c>
      <c r="E3" s="527"/>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1"/>
      <c r="AI3" s="521"/>
      <c r="AJ3" s="521"/>
      <c r="AK3" s="521"/>
      <c r="AV3" s="511"/>
      <c r="AW3" s="511"/>
      <c r="CJ3" s="554"/>
      <c r="CK3" s="554"/>
      <c r="CL3" s="554"/>
      <c r="CM3" s="554"/>
      <c r="CN3" s="554"/>
      <c r="CO3" s="554"/>
      <c r="CP3" s="554"/>
      <c r="CQ3" s="554"/>
      <c r="CR3" s="554"/>
      <c r="CS3" s="554"/>
      <c r="CT3" s="554"/>
    </row>
    <row r="4" spans="1:98" ht="30" customHeight="1" thickBot="1">
      <c r="A4" s="22"/>
      <c r="B4" s="512" t="s">
        <v>570</v>
      </c>
      <c r="C4" s="513"/>
      <c r="D4" s="513"/>
      <c r="E4" s="514"/>
      <c r="F4" s="68">
        <v>1995</v>
      </c>
      <c r="G4" s="298"/>
      <c r="H4" s="1">
        <v>1996</v>
      </c>
      <c r="I4" s="298"/>
      <c r="J4" s="1">
        <v>1997</v>
      </c>
      <c r="K4" s="298"/>
      <c r="L4" s="1">
        <v>1998</v>
      </c>
      <c r="M4" s="298"/>
      <c r="N4" s="1">
        <v>1999</v>
      </c>
      <c r="O4" s="298"/>
      <c r="P4" s="1">
        <v>2000</v>
      </c>
      <c r="Q4" s="298"/>
      <c r="R4" s="1">
        <v>2001</v>
      </c>
      <c r="S4" s="298"/>
      <c r="T4" s="1">
        <v>2002</v>
      </c>
      <c r="U4" s="298"/>
      <c r="V4" s="1">
        <v>2003</v>
      </c>
      <c r="W4" s="298"/>
      <c r="X4" s="1">
        <v>2004</v>
      </c>
      <c r="Y4" s="298"/>
      <c r="Z4" s="1">
        <v>2005</v>
      </c>
      <c r="AA4" s="298"/>
      <c r="AB4" s="1">
        <v>2006</v>
      </c>
      <c r="AC4" s="298"/>
      <c r="AD4" s="1">
        <v>2007</v>
      </c>
      <c r="AE4" s="298"/>
      <c r="AF4" s="1">
        <v>2008</v>
      </c>
      <c r="AG4" s="298"/>
      <c r="AH4" s="1">
        <v>2009</v>
      </c>
      <c r="AI4" s="298"/>
      <c r="AJ4" s="1">
        <v>2010</v>
      </c>
      <c r="AK4" s="298"/>
      <c r="AL4" s="1">
        <v>2011</v>
      </c>
      <c r="AM4" s="298"/>
      <c r="AN4" s="1">
        <v>2012</v>
      </c>
      <c r="AO4" s="298"/>
      <c r="AP4" s="1">
        <v>2013</v>
      </c>
      <c r="AQ4" s="298"/>
      <c r="AR4" s="1">
        <v>2014</v>
      </c>
      <c r="AS4" s="298"/>
      <c r="AT4" s="1">
        <v>2015</v>
      </c>
      <c r="AU4" s="298"/>
      <c r="AV4" s="1">
        <v>2016</v>
      </c>
      <c r="AW4" s="299"/>
      <c r="AX4" s="1">
        <v>2017</v>
      </c>
      <c r="AY4" s="299"/>
      <c r="AZ4" s="1">
        <v>2018</v>
      </c>
      <c r="BA4" s="299"/>
      <c r="BB4" s="148">
        <v>2019</v>
      </c>
      <c r="BC4" s="300"/>
      <c r="BD4" s="180">
        <v>2020</v>
      </c>
      <c r="BE4" s="300"/>
      <c r="BF4" s="180">
        <v>2021</v>
      </c>
      <c r="BG4" s="299"/>
      <c r="BH4" s="67">
        <v>2022</v>
      </c>
      <c r="BI4" s="301"/>
      <c r="CJ4" s="149"/>
      <c r="CK4" s="149"/>
      <c r="CL4" s="149"/>
      <c r="CM4" s="149"/>
      <c r="CN4" s="149"/>
      <c r="CO4" s="149"/>
      <c r="CP4" s="149"/>
      <c r="CQ4" s="149"/>
      <c r="CR4" s="149"/>
      <c r="CS4" s="149"/>
      <c r="CT4" s="149"/>
    </row>
    <row r="5" spans="1:98" s="9" customFormat="1" ht="20.100000000000001" customHeight="1">
      <c r="A5" s="23"/>
      <c r="B5" s="515" t="str">
        <f>Parameters!Q4</f>
        <v>A_U   01-99</v>
      </c>
      <c r="C5" s="516"/>
      <c r="D5" s="517" t="str">
        <f>Parameters!S4</f>
        <v>Total industries</v>
      </c>
      <c r="E5" s="518"/>
      <c r="F5" s="220"/>
      <c r="G5" s="181"/>
      <c r="H5" s="221"/>
      <c r="I5" s="181"/>
      <c r="J5" s="221"/>
      <c r="K5" s="181"/>
      <c r="L5" s="221"/>
      <c r="M5" s="181"/>
      <c r="N5" s="221"/>
      <c r="O5" s="181"/>
      <c r="P5" s="221"/>
      <c r="Q5" s="181"/>
      <c r="R5" s="221"/>
      <c r="S5" s="181"/>
      <c r="T5" s="221"/>
      <c r="U5" s="181"/>
      <c r="V5" s="221"/>
      <c r="W5" s="181"/>
      <c r="X5" s="221"/>
      <c r="Y5" s="181"/>
      <c r="Z5" s="221"/>
      <c r="AA5" s="181"/>
      <c r="AB5" s="221"/>
      <c r="AC5" s="181"/>
      <c r="AD5" s="221"/>
      <c r="AE5" s="181"/>
      <c r="AF5" s="163">
        <v>198921.22810509999</v>
      </c>
      <c r="AG5" s="181"/>
      <c r="AH5" s="163">
        <v>200540.65300359999</v>
      </c>
      <c r="AI5" s="181"/>
      <c r="AJ5" s="163">
        <v>199600.74032149999</v>
      </c>
      <c r="AK5" s="181"/>
      <c r="AL5" s="163">
        <v>195489.584</v>
      </c>
      <c r="AM5" s="181"/>
      <c r="AN5" s="163">
        <v>193135.32696040001</v>
      </c>
      <c r="AO5" s="181"/>
      <c r="AP5" s="163">
        <v>192767.66714060001</v>
      </c>
      <c r="AQ5" s="181"/>
      <c r="AR5" s="163">
        <v>192191.48705980001</v>
      </c>
      <c r="AS5" s="181"/>
      <c r="AT5" s="163">
        <v>193175.6128376</v>
      </c>
      <c r="AU5" s="181"/>
      <c r="AV5" s="163">
        <v>189580.19357949999</v>
      </c>
      <c r="AW5" s="181"/>
      <c r="AX5" s="163">
        <v>184599.76867210001</v>
      </c>
      <c r="AY5" s="181"/>
      <c r="AZ5" s="163">
        <v>181870.47337670001</v>
      </c>
      <c r="BA5" s="181"/>
      <c r="BB5" s="163">
        <v>176265.96116780001</v>
      </c>
      <c r="BC5" s="181"/>
      <c r="BD5" s="163">
        <v>174874.44910890001</v>
      </c>
      <c r="BE5" s="181"/>
      <c r="BF5" s="163">
        <v>173618.43503729999</v>
      </c>
      <c r="BG5" s="181"/>
      <c r="BH5" s="221"/>
      <c r="BI5" s="183"/>
      <c r="CJ5" s="150" t="s">
        <v>271</v>
      </c>
      <c r="CK5" s="150" t="s">
        <v>219</v>
      </c>
      <c r="CL5" s="150" t="s">
        <v>1128</v>
      </c>
      <c r="CM5" s="150" t="s">
        <v>1129</v>
      </c>
      <c r="CN5" s="150" t="s">
        <v>1130</v>
      </c>
      <c r="CO5" s="150" t="s">
        <v>57</v>
      </c>
      <c r="CP5" s="150" t="s">
        <v>1131</v>
      </c>
      <c r="CQ5" s="150" t="s">
        <v>1132</v>
      </c>
      <c r="CR5" s="157">
        <v>0</v>
      </c>
      <c r="CS5" s="150" t="s">
        <v>1133</v>
      </c>
      <c r="CT5" s="150" t="s">
        <v>1134</v>
      </c>
    </row>
    <row r="6" spans="1:98" s="9" customFormat="1" ht="20.100000000000001" customHeight="1">
      <c r="A6" s="24"/>
      <c r="B6" s="83" t="str">
        <f>Parameters!Q5</f>
        <v>A</v>
      </c>
      <c r="C6" s="305"/>
      <c r="D6" s="519" t="str">
        <f>Parameters!S5</f>
        <v>Agriculture, forestry and fishing</v>
      </c>
      <c r="E6" s="520"/>
      <c r="F6" s="222"/>
      <c r="G6" s="379"/>
      <c r="H6" s="223"/>
      <c r="I6" s="379"/>
      <c r="J6" s="223"/>
      <c r="K6" s="379"/>
      <c r="L6" s="223"/>
      <c r="M6" s="379"/>
      <c r="N6" s="223"/>
      <c r="O6" s="379"/>
      <c r="P6" s="223"/>
      <c r="Q6" s="379"/>
      <c r="R6" s="223"/>
      <c r="S6" s="379"/>
      <c r="T6" s="223"/>
      <c r="U6" s="379"/>
      <c r="V6" s="223"/>
      <c r="W6" s="379"/>
      <c r="X6" s="223"/>
      <c r="Y6" s="379"/>
      <c r="Z6" s="223"/>
      <c r="AA6" s="379"/>
      <c r="AB6" s="223"/>
      <c r="AC6" s="379"/>
      <c r="AD6" s="223"/>
      <c r="AE6" s="379"/>
      <c r="AF6" s="164">
        <v>104485.392456</v>
      </c>
      <c r="AG6" s="379"/>
      <c r="AH6" s="164">
        <v>105986.43535860001</v>
      </c>
      <c r="AI6" s="379"/>
      <c r="AJ6" s="164">
        <v>105375.35367900001</v>
      </c>
      <c r="AK6" s="379"/>
      <c r="AL6" s="164">
        <v>102617.26137209999</v>
      </c>
      <c r="AM6" s="379"/>
      <c r="AN6" s="164">
        <v>103007.05503790001</v>
      </c>
      <c r="AO6" s="379"/>
      <c r="AP6" s="164">
        <v>104081.1197117</v>
      </c>
      <c r="AQ6" s="379"/>
      <c r="AR6" s="164">
        <v>104922.4855414</v>
      </c>
      <c r="AS6" s="379"/>
      <c r="AT6" s="164">
        <v>106552.9330188</v>
      </c>
      <c r="AU6" s="379"/>
      <c r="AV6" s="164">
        <v>108679.68036110001</v>
      </c>
      <c r="AW6" s="379"/>
      <c r="AX6" s="164">
        <v>108259.0188228</v>
      </c>
      <c r="AY6" s="379"/>
      <c r="AZ6" s="164">
        <v>107571.8397234</v>
      </c>
      <c r="BA6" s="379"/>
      <c r="BB6" s="164">
        <v>104438.5631962</v>
      </c>
      <c r="BC6" s="379"/>
      <c r="BD6" s="164">
        <v>104518.68167960001</v>
      </c>
      <c r="BE6" s="379"/>
      <c r="BF6" s="164">
        <v>106030.5160047</v>
      </c>
      <c r="BG6" s="379"/>
      <c r="BH6" s="223"/>
      <c r="BI6" s="184"/>
      <c r="CJ6" s="150"/>
      <c r="CK6" s="150"/>
      <c r="CL6" s="150"/>
      <c r="CM6" s="151" t="s">
        <v>206</v>
      </c>
      <c r="CN6" s="150" t="s">
        <v>1130</v>
      </c>
      <c r="CO6" s="150"/>
      <c r="CP6" s="150"/>
      <c r="CQ6" s="150"/>
      <c r="CR6" s="150"/>
      <c r="CS6" s="150"/>
      <c r="CT6" s="150"/>
    </row>
    <row r="7" spans="1:98" s="10" customFormat="1" ht="12.75" customHeight="1">
      <c r="A7" s="307"/>
      <c r="B7" s="308" t="str">
        <f>Parameters!Q6</f>
        <v>A01</v>
      </c>
      <c r="C7" s="309"/>
      <c r="D7" s="495" t="str">
        <f>Parameters!S6</f>
        <v>Crop and animal production, hunting and related service activities</v>
      </c>
      <c r="E7" s="510"/>
      <c r="F7" s="224"/>
      <c r="G7" s="379"/>
      <c r="H7" s="225"/>
      <c r="I7" s="379"/>
      <c r="J7" s="225"/>
      <c r="K7" s="379"/>
      <c r="L7" s="225"/>
      <c r="M7" s="379"/>
      <c r="N7" s="225"/>
      <c r="O7" s="379"/>
      <c r="P7" s="225"/>
      <c r="Q7" s="379"/>
      <c r="R7" s="225"/>
      <c r="S7" s="379"/>
      <c r="T7" s="225"/>
      <c r="U7" s="379"/>
      <c r="V7" s="225"/>
      <c r="W7" s="379"/>
      <c r="X7" s="225"/>
      <c r="Y7" s="379"/>
      <c r="Z7" s="225"/>
      <c r="AA7" s="379"/>
      <c r="AB7" s="225"/>
      <c r="AC7" s="379"/>
      <c r="AD7" s="225"/>
      <c r="AE7" s="379"/>
      <c r="AF7" s="165">
        <v>104429.3515114</v>
      </c>
      <c r="AG7" s="379"/>
      <c r="AH7" s="165">
        <v>105924.9074735</v>
      </c>
      <c r="AI7" s="379"/>
      <c r="AJ7" s="165">
        <v>105322.86689</v>
      </c>
      <c r="AK7" s="379"/>
      <c r="AL7" s="165">
        <v>102569.90735939999</v>
      </c>
      <c r="AM7" s="379"/>
      <c r="AN7" s="165">
        <v>102957.3597839</v>
      </c>
      <c r="AO7" s="379"/>
      <c r="AP7" s="165">
        <v>104036.3370939</v>
      </c>
      <c r="AQ7" s="379"/>
      <c r="AR7" s="165">
        <v>104875.68847759999</v>
      </c>
      <c r="AS7" s="379"/>
      <c r="AT7" s="165">
        <v>106504.73674180001</v>
      </c>
      <c r="AU7" s="379"/>
      <c r="AV7" s="165">
        <v>108629.0603194</v>
      </c>
      <c r="AW7" s="379"/>
      <c r="AX7" s="165">
        <v>108202.3103749</v>
      </c>
      <c r="AY7" s="379"/>
      <c r="AZ7" s="165">
        <v>107510.5634445</v>
      </c>
      <c r="BA7" s="379"/>
      <c r="BB7" s="165">
        <v>104378.5723113</v>
      </c>
      <c r="BC7" s="379"/>
      <c r="BD7" s="165">
        <v>104451.96063269999</v>
      </c>
      <c r="BE7" s="379"/>
      <c r="BF7" s="165">
        <v>105961.545188</v>
      </c>
      <c r="BG7" s="379"/>
      <c r="BH7" s="225"/>
      <c r="BI7" s="184"/>
      <c r="CJ7" s="150"/>
      <c r="CK7" s="150"/>
      <c r="CL7" s="150"/>
      <c r="CM7" s="151" t="s">
        <v>650</v>
      </c>
      <c r="CN7" s="150" t="s">
        <v>1130</v>
      </c>
      <c r="CO7" s="150"/>
      <c r="CP7" s="150"/>
      <c r="CQ7" s="150"/>
      <c r="CR7" s="150"/>
      <c r="CS7" s="150"/>
      <c r="CT7" s="150"/>
    </row>
    <row r="8" spans="1:98" s="11" customFormat="1" ht="12.75" customHeight="1">
      <c r="A8" s="307"/>
      <c r="B8" s="308" t="str">
        <f>Parameters!Q7</f>
        <v>A02</v>
      </c>
      <c r="C8" s="309"/>
      <c r="D8" s="495" t="str">
        <f>Parameters!S7</f>
        <v>Forestry and logging</v>
      </c>
      <c r="E8" s="530"/>
      <c r="F8" s="224"/>
      <c r="G8" s="379"/>
      <c r="H8" s="225"/>
      <c r="I8" s="379"/>
      <c r="J8" s="225"/>
      <c r="K8" s="379"/>
      <c r="L8" s="225"/>
      <c r="M8" s="379"/>
      <c r="N8" s="225"/>
      <c r="O8" s="379"/>
      <c r="P8" s="225"/>
      <c r="Q8" s="379"/>
      <c r="R8" s="225"/>
      <c r="S8" s="379"/>
      <c r="T8" s="225"/>
      <c r="U8" s="379"/>
      <c r="V8" s="225"/>
      <c r="W8" s="379"/>
      <c r="X8" s="225"/>
      <c r="Y8" s="379"/>
      <c r="Z8" s="225"/>
      <c r="AA8" s="379"/>
      <c r="AB8" s="225"/>
      <c r="AC8" s="379"/>
      <c r="AD8" s="225"/>
      <c r="AE8" s="379"/>
      <c r="AF8" s="165">
        <v>1.8835354</v>
      </c>
      <c r="AG8" s="379"/>
      <c r="AH8" s="165">
        <v>1.9108552000000001</v>
      </c>
      <c r="AI8" s="379"/>
      <c r="AJ8" s="165">
        <v>3.4102575000000002</v>
      </c>
      <c r="AK8" s="379"/>
      <c r="AL8" s="165">
        <v>3.2297755000000001</v>
      </c>
      <c r="AM8" s="379"/>
      <c r="AN8" s="165">
        <v>3.8755858999999999</v>
      </c>
      <c r="AO8" s="379"/>
      <c r="AP8" s="165">
        <v>3.6572203999999999</v>
      </c>
      <c r="AQ8" s="379"/>
      <c r="AR8" s="165">
        <v>2.6316063000000001</v>
      </c>
      <c r="AS8" s="379"/>
      <c r="AT8" s="165">
        <v>2.490923</v>
      </c>
      <c r="AU8" s="379"/>
      <c r="AV8" s="165">
        <v>2.6088034000000002</v>
      </c>
      <c r="AW8" s="379"/>
      <c r="AX8" s="165">
        <v>2.5655635999999999</v>
      </c>
      <c r="AY8" s="379"/>
      <c r="AZ8" s="165">
        <v>2.5447443999999999</v>
      </c>
      <c r="BA8" s="379"/>
      <c r="BB8" s="165">
        <v>2.3007209</v>
      </c>
      <c r="BC8" s="379"/>
      <c r="BD8" s="165">
        <v>2.3503102</v>
      </c>
      <c r="BE8" s="379"/>
      <c r="BF8" s="165">
        <v>3.3254923000000001</v>
      </c>
      <c r="BG8" s="379"/>
      <c r="BH8" s="225"/>
      <c r="BI8" s="184"/>
      <c r="CJ8" s="150"/>
      <c r="CK8" s="150"/>
      <c r="CL8" s="150"/>
      <c r="CM8" s="151" t="s">
        <v>657</v>
      </c>
      <c r="CN8" s="150" t="s">
        <v>1130</v>
      </c>
      <c r="CO8" s="150"/>
      <c r="CP8" s="150"/>
      <c r="CQ8" s="150"/>
      <c r="CR8" s="150"/>
      <c r="CS8" s="150"/>
      <c r="CT8" s="150"/>
    </row>
    <row r="9" spans="1:98" s="11" customFormat="1" ht="12.75" customHeight="1">
      <c r="A9" s="310"/>
      <c r="B9" s="308" t="str">
        <f>Parameters!Q8</f>
        <v>A03</v>
      </c>
      <c r="C9" s="309"/>
      <c r="D9" s="495" t="str">
        <f>Parameters!S8</f>
        <v>Fishing and aquaculture</v>
      </c>
      <c r="E9" s="497"/>
      <c r="F9" s="224"/>
      <c r="G9" s="379"/>
      <c r="H9" s="225"/>
      <c r="I9" s="379"/>
      <c r="J9" s="225"/>
      <c r="K9" s="379"/>
      <c r="L9" s="225"/>
      <c r="M9" s="379"/>
      <c r="N9" s="225"/>
      <c r="O9" s="379"/>
      <c r="P9" s="225"/>
      <c r="Q9" s="379"/>
      <c r="R9" s="225"/>
      <c r="S9" s="379"/>
      <c r="T9" s="225"/>
      <c r="U9" s="379"/>
      <c r="V9" s="225"/>
      <c r="W9" s="379"/>
      <c r="X9" s="225"/>
      <c r="Y9" s="379"/>
      <c r="Z9" s="225"/>
      <c r="AA9" s="379"/>
      <c r="AB9" s="225"/>
      <c r="AC9" s="379"/>
      <c r="AD9" s="225"/>
      <c r="AE9" s="379"/>
      <c r="AF9" s="165">
        <v>54.157409199999996</v>
      </c>
      <c r="AG9" s="379"/>
      <c r="AH9" s="165">
        <v>59.617029899999999</v>
      </c>
      <c r="AI9" s="379"/>
      <c r="AJ9" s="165">
        <v>49.0765314</v>
      </c>
      <c r="AK9" s="379"/>
      <c r="AL9" s="165">
        <v>44.124237200000003</v>
      </c>
      <c r="AM9" s="379"/>
      <c r="AN9" s="165">
        <v>45.819668100000001</v>
      </c>
      <c r="AO9" s="379"/>
      <c r="AP9" s="165">
        <v>41.125397399999997</v>
      </c>
      <c r="AQ9" s="379"/>
      <c r="AR9" s="165">
        <v>44.165457500000002</v>
      </c>
      <c r="AS9" s="379"/>
      <c r="AT9" s="165">
        <v>45.705354</v>
      </c>
      <c r="AU9" s="379"/>
      <c r="AV9" s="165">
        <v>48.011238300000002</v>
      </c>
      <c r="AW9" s="379"/>
      <c r="AX9" s="165">
        <v>54.142884199999997</v>
      </c>
      <c r="AY9" s="379"/>
      <c r="AZ9" s="165">
        <v>58.731534500000002</v>
      </c>
      <c r="BA9" s="379"/>
      <c r="BB9" s="165">
        <v>57.690164000000003</v>
      </c>
      <c r="BC9" s="379"/>
      <c r="BD9" s="165">
        <v>64.370736800000003</v>
      </c>
      <c r="BE9" s="379"/>
      <c r="BF9" s="165">
        <v>65.645324500000001</v>
      </c>
      <c r="BG9" s="379"/>
      <c r="BH9" s="225"/>
      <c r="BI9" s="184"/>
      <c r="CJ9" s="150"/>
      <c r="CK9" s="150"/>
      <c r="CL9" s="150"/>
      <c r="CM9" s="151" t="s">
        <v>665</v>
      </c>
      <c r="CN9" s="150" t="s">
        <v>1130</v>
      </c>
      <c r="CO9" s="150"/>
      <c r="CP9" s="150"/>
      <c r="CQ9" s="150"/>
      <c r="CR9" s="150"/>
      <c r="CS9" s="150"/>
      <c r="CT9" s="150"/>
    </row>
    <row r="10" spans="1:98" s="10" customFormat="1" ht="12.75" customHeight="1">
      <c r="A10" s="25"/>
      <c r="B10" s="87" t="str">
        <f>Parameters!Q9</f>
        <v>B</v>
      </c>
      <c r="C10" s="88"/>
      <c r="D10" s="498" t="str">
        <f>Parameters!S9</f>
        <v>Mining and quarrying</v>
      </c>
      <c r="E10" s="507"/>
      <c r="F10" s="222"/>
      <c r="G10" s="379"/>
      <c r="H10" s="223"/>
      <c r="I10" s="379"/>
      <c r="J10" s="223"/>
      <c r="K10" s="379"/>
      <c r="L10" s="223"/>
      <c r="M10" s="379"/>
      <c r="N10" s="223"/>
      <c r="O10" s="379"/>
      <c r="P10" s="223"/>
      <c r="Q10" s="379"/>
      <c r="R10" s="223"/>
      <c r="S10" s="379"/>
      <c r="T10" s="223"/>
      <c r="U10" s="379"/>
      <c r="V10" s="223"/>
      <c r="W10" s="379"/>
      <c r="X10" s="223"/>
      <c r="Y10" s="379"/>
      <c r="Z10" s="223"/>
      <c r="AA10" s="379"/>
      <c r="AB10" s="223"/>
      <c r="AC10" s="379"/>
      <c r="AD10" s="223"/>
      <c r="AE10" s="379"/>
      <c r="AF10" s="164">
        <v>28870.964773299998</v>
      </c>
      <c r="AG10" s="379"/>
      <c r="AH10" s="164">
        <v>27390.474610000001</v>
      </c>
      <c r="AI10" s="379"/>
      <c r="AJ10" s="164">
        <v>27711.5696727</v>
      </c>
      <c r="AK10" s="379"/>
      <c r="AL10" s="164">
        <v>25809.179059800001</v>
      </c>
      <c r="AM10" s="379"/>
      <c r="AN10" s="164">
        <v>24926.231023799999</v>
      </c>
      <c r="AO10" s="379"/>
      <c r="AP10" s="164">
        <v>24540.910118200001</v>
      </c>
      <c r="AQ10" s="379"/>
      <c r="AR10" s="164">
        <v>24515.4820167</v>
      </c>
      <c r="AS10" s="379"/>
      <c r="AT10" s="164">
        <v>24100.198288299998</v>
      </c>
      <c r="AU10" s="379"/>
      <c r="AV10" s="164">
        <v>23158.353468000001</v>
      </c>
      <c r="AW10" s="379"/>
      <c r="AX10" s="164">
        <v>22081.538375600001</v>
      </c>
      <c r="AY10" s="379"/>
      <c r="AZ10" s="164">
        <v>21943.9612461</v>
      </c>
      <c r="BA10" s="379"/>
      <c r="BB10" s="164">
        <v>21554.432059499999</v>
      </c>
      <c r="BC10" s="379"/>
      <c r="BD10" s="164">
        <v>22087.144727300001</v>
      </c>
      <c r="BE10" s="379"/>
      <c r="BF10" s="164">
        <v>19940.146495100002</v>
      </c>
      <c r="BG10" s="379"/>
      <c r="BH10" s="223"/>
      <c r="BI10" s="184"/>
      <c r="CJ10" s="150"/>
      <c r="CK10" s="150"/>
      <c r="CL10" s="150"/>
      <c r="CM10" s="151" t="s">
        <v>267</v>
      </c>
      <c r="CN10" s="150" t="s">
        <v>1130</v>
      </c>
      <c r="CO10" s="150"/>
      <c r="CP10" s="150"/>
      <c r="CQ10" s="150"/>
      <c r="CR10" s="150"/>
      <c r="CS10" s="150"/>
      <c r="CT10" s="150"/>
    </row>
    <row r="11" spans="1:98" s="10" customFormat="1" ht="12.75" customHeight="1">
      <c r="A11" s="25"/>
      <c r="B11" s="87" t="str">
        <f>Parameters!Q10</f>
        <v>C</v>
      </c>
      <c r="C11" s="88"/>
      <c r="D11" s="498" t="str">
        <f>Parameters!S10</f>
        <v>Manufacturing</v>
      </c>
      <c r="E11" s="499"/>
      <c r="F11" s="222"/>
      <c r="G11" s="379"/>
      <c r="H11" s="223"/>
      <c r="I11" s="379"/>
      <c r="J11" s="223"/>
      <c r="K11" s="379"/>
      <c r="L11" s="223"/>
      <c r="M11" s="379"/>
      <c r="N11" s="223"/>
      <c r="O11" s="379"/>
      <c r="P11" s="223"/>
      <c r="Q11" s="379"/>
      <c r="R11" s="223"/>
      <c r="S11" s="379"/>
      <c r="T11" s="223"/>
      <c r="U11" s="379"/>
      <c r="V11" s="223"/>
      <c r="W11" s="379"/>
      <c r="X11" s="223"/>
      <c r="Y11" s="379"/>
      <c r="Z11" s="223"/>
      <c r="AA11" s="379"/>
      <c r="AB11" s="223"/>
      <c r="AC11" s="379"/>
      <c r="AD11" s="223"/>
      <c r="AE11" s="379"/>
      <c r="AF11" s="164">
        <v>16719.175114999998</v>
      </c>
      <c r="AG11" s="379"/>
      <c r="AH11" s="164">
        <v>16764.964909400001</v>
      </c>
      <c r="AI11" s="379"/>
      <c r="AJ11" s="164">
        <v>16472.532997800001</v>
      </c>
      <c r="AK11" s="379"/>
      <c r="AL11" s="164">
        <v>16818.494206799998</v>
      </c>
      <c r="AM11" s="379"/>
      <c r="AN11" s="164">
        <v>15939.018559</v>
      </c>
      <c r="AO11" s="379"/>
      <c r="AP11" s="164">
        <v>15619.1586439</v>
      </c>
      <c r="AQ11" s="379"/>
      <c r="AR11" s="164">
        <v>14829.2037755</v>
      </c>
      <c r="AS11" s="379"/>
      <c r="AT11" s="164">
        <v>15018.9236998</v>
      </c>
      <c r="AU11" s="379"/>
      <c r="AV11" s="164">
        <v>12981.028752800001</v>
      </c>
      <c r="AW11" s="379"/>
      <c r="AX11" s="164">
        <v>11343.587283000001</v>
      </c>
      <c r="AY11" s="379"/>
      <c r="AZ11" s="164">
        <v>11135.959541099999</v>
      </c>
      <c r="BA11" s="379"/>
      <c r="BB11" s="164">
        <v>10769.1074037</v>
      </c>
      <c r="BC11" s="379"/>
      <c r="BD11" s="164">
        <v>10578.3276425</v>
      </c>
      <c r="BE11" s="379"/>
      <c r="BF11" s="164">
        <v>10572.6410289</v>
      </c>
      <c r="BG11" s="379"/>
      <c r="BH11" s="223"/>
      <c r="BI11" s="184"/>
      <c r="CJ11" s="150"/>
      <c r="CK11" s="150"/>
      <c r="CL11" s="150"/>
      <c r="CM11" s="151" t="s">
        <v>273</v>
      </c>
      <c r="CN11" s="150" t="s">
        <v>1130</v>
      </c>
      <c r="CO11" s="150"/>
      <c r="CP11" s="150"/>
      <c r="CQ11" s="150"/>
      <c r="CR11" s="150"/>
      <c r="CS11" s="150"/>
      <c r="CT11" s="150"/>
    </row>
    <row r="12" spans="1:98" s="10" customFormat="1" ht="12.75" customHeight="1">
      <c r="A12" s="26"/>
      <c r="B12" s="89" t="str">
        <f>Parameters!Q11</f>
        <v>C10-C12</v>
      </c>
      <c r="C12" s="90"/>
      <c r="D12" s="504" t="str">
        <f>Parameters!S11</f>
        <v>Manufacture of food products, beverages and tobacco
products</v>
      </c>
      <c r="E12" s="505"/>
      <c r="F12" s="226"/>
      <c r="G12" s="379"/>
      <c r="H12" s="227"/>
      <c r="I12" s="379"/>
      <c r="J12" s="227"/>
      <c r="K12" s="379"/>
      <c r="L12" s="227"/>
      <c r="M12" s="379"/>
      <c r="N12" s="227"/>
      <c r="O12" s="379"/>
      <c r="P12" s="227"/>
      <c r="Q12" s="379"/>
      <c r="R12" s="227"/>
      <c r="S12" s="379"/>
      <c r="T12" s="227"/>
      <c r="U12" s="379"/>
      <c r="V12" s="227"/>
      <c r="W12" s="379"/>
      <c r="X12" s="227"/>
      <c r="Y12" s="379"/>
      <c r="Z12" s="227"/>
      <c r="AA12" s="379"/>
      <c r="AB12" s="227"/>
      <c r="AC12" s="379"/>
      <c r="AD12" s="227"/>
      <c r="AE12" s="379"/>
      <c r="AF12" s="166">
        <v>228.56481160000001</v>
      </c>
      <c r="AG12" s="379"/>
      <c r="AH12" s="166">
        <v>194.9697266</v>
      </c>
      <c r="AI12" s="379"/>
      <c r="AJ12" s="166">
        <v>190.0882254</v>
      </c>
      <c r="AK12" s="379"/>
      <c r="AL12" s="166">
        <v>213.8589944</v>
      </c>
      <c r="AM12" s="379"/>
      <c r="AN12" s="166">
        <v>254.97643500000001</v>
      </c>
      <c r="AO12" s="379"/>
      <c r="AP12" s="166">
        <v>224.6479957</v>
      </c>
      <c r="AQ12" s="379"/>
      <c r="AR12" s="166">
        <v>243.2842569</v>
      </c>
      <c r="AS12" s="379"/>
      <c r="AT12" s="166">
        <v>257.59194730000002</v>
      </c>
      <c r="AU12" s="379"/>
      <c r="AV12" s="166">
        <v>252.9161976</v>
      </c>
      <c r="AW12" s="379"/>
      <c r="AX12" s="166">
        <v>315.98746799999998</v>
      </c>
      <c r="AY12" s="379"/>
      <c r="AZ12" s="166">
        <v>320.18175730000002</v>
      </c>
      <c r="BA12" s="379"/>
      <c r="BB12" s="166">
        <v>280.76202319999999</v>
      </c>
      <c r="BC12" s="379"/>
      <c r="BD12" s="166">
        <v>255.01226969999999</v>
      </c>
      <c r="BE12" s="379"/>
      <c r="BF12" s="166">
        <v>248.8602885</v>
      </c>
      <c r="BG12" s="379"/>
      <c r="BH12" s="227"/>
      <c r="BI12" s="184"/>
      <c r="CJ12" s="150"/>
      <c r="CK12" s="150"/>
      <c r="CL12" s="150"/>
      <c r="CM12" s="152" t="s">
        <v>1135</v>
      </c>
      <c r="CN12" s="150" t="s">
        <v>1130</v>
      </c>
      <c r="CO12" s="150"/>
      <c r="CP12" s="150"/>
      <c r="CQ12" s="150"/>
      <c r="CR12" s="150"/>
      <c r="CS12" s="150"/>
      <c r="CT12" s="150"/>
    </row>
    <row r="13" spans="1:98" s="10" customFormat="1" ht="12.75" customHeight="1">
      <c r="A13" s="26"/>
      <c r="B13" s="89" t="str">
        <f>Parameters!Q12</f>
        <v>C13-C15</v>
      </c>
      <c r="C13" s="90"/>
      <c r="D13" s="504" t="str">
        <f>Parameters!S12</f>
        <v>Manufacture of textiles, wearing apparel and leather products</v>
      </c>
      <c r="E13" s="506"/>
      <c r="F13" s="226"/>
      <c r="G13" s="379"/>
      <c r="H13" s="227"/>
      <c r="I13" s="379"/>
      <c r="J13" s="227"/>
      <c r="K13" s="379"/>
      <c r="L13" s="227"/>
      <c r="M13" s="379"/>
      <c r="N13" s="227"/>
      <c r="O13" s="379"/>
      <c r="P13" s="227"/>
      <c r="Q13" s="379"/>
      <c r="R13" s="227"/>
      <c r="S13" s="379"/>
      <c r="T13" s="227"/>
      <c r="U13" s="379"/>
      <c r="V13" s="227"/>
      <c r="W13" s="379"/>
      <c r="X13" s="227"/>
      <c r="Y13" s="379"/>
      <c r="Z13" s="227"/>
      <c r="AA13" s="379"/>
      <c r="AB13" s="227"/>
      <c r="AC13" s="379"/>
      <c r="AD13" s="227"/>
      <c r="AE13" s="379"/>
      <c r="AF13" s="166">
        <v>0.32746920000000002</v>
      </c>
      <c r="AG13" s="379"/>
      <c r="AH13" s="166">
        <v>0.22915479999999999</v>
      </c>
      <c r="AI13" s="379"/>
      <c r="AJ13" s="166">
        <v>0.161274</v>
      </c>
      <c r="AK13" s="379"/>
      <c r="AL13" s="166">
        <v>0.18435599999999999</v>
      </c>
      <c r="AM13" s="379"/>
      <c r="AN13" s="166">
        <v>0.11684559999999999</v>
      </c>
      <c r="AO13" s="379"/>
      <c r="AP13" s="166">
        <v>0.155228</v>
      </c>
      <c r="AQ13" s="379"/>
      <c r="AR13" s="166">
        <v>0.19217890000000001</v>
      </c>
      <c r="AS13" s="379"/>
      <c r="AT13" s="166">
        <v>0.22869819999999999</v>
      </c>
      <c r="AU13" s="379"/>
      <c r="AV13" s="166">
        <v>0.2040621</v>
      </c>
      <c r="AW13" s="379"/>
      <c r="AX13" s="166">
        <v>0.13677929999999999</v>
      </c>
      <c r="AY13" s="379"/>
      <c r="AZ13" s="166">
        <v>0.1194153</v>
      </c>
      <c r="BA13" s="379"/>
      <c r="BB13" s="166">
        <v>0.15909599999999999</v>
      </c>
      <c r="BC13" s="379"/>
      <c r="BD13" s="166">
        <v>0.14859439999999999</v>
      </c>
      <c r="BE13" s="379"/>
      <c r="BF13" s="166">
        <v>0.1112686</v>
      </c>
      <c r="BG13" s="379"/>
      <c r="BH13" s="227"/>
      <c r="BI13" s="184"/>
      <c r="CJ13" s="150"/>
      <c r="CK13" s="150"/>
      <c r="CL13" s="150"/>
      <c r="CM13" s="151" t="s">
        <v>1136</v>
      </c>
      <c r="CN13" s="150" t="s">
        <v>1130</v>
      </c>
      <c r="CO13" s="150"/>
      <c r="CP13" s="150"/>
      <c r="CQ13" s="150"/>
      <c r="CR13" s="150"/>
      <c r="CS13" s="150"/>
      <c r="CT13" s="150"/>
    </row>
    <row r="14" spans="1:98" s="10" customFormat="1">
      <c r="A14" s="26"/>
      <c r="B14" s="89" t="str">
        <f>Parameters!Q13</f>
        <v>C16-C18</v>
      </c>
      <c r="C14" s="90"/>
      <c r="D14" s="504" t="str">
        <f>Parameters!S13</f>
        <v>Manufacture of wood, paper, printing and reproduction</v>
      </c>
      <c r="E14" s="506"/>
      <c r="F14" s="252"/>
      <c r="G14" s="380"/>
      <c r="H14" s="253"/>
      <c r="I14" s="380"/>
      <c r="J14" s="253"/>
      <c r="K14" s="380"/>
      <c r="L14" s="253"/>
      <c r="M14" s="380"/>
      <c r="N14" s="253"/>
      <c r="O14" s="380"/>
      <c r="P14" s="253"/>
      <c r="Q14" s="380"/>
      <c r="R14" s="253"/>
      <c r="S14" s="380"/>
      <c r="T14" s="253"/>
      <c r="U14" s="380"/>
      <c r="V14" s="253"/>
      <c r="W14" s="380"/>
      <c r="X14" s="253"/>
      <c r="Y14" s="380"/>
      <c r="Z14" s="253"/>
      <c r="AA14" s="380"/>
      <c r="AB14" s="253"/>
      <c r="AC14" s="380"/>
      <c r="AD14" s="253"/>
      <c r="AE14" s="380"/>
      <c r="AF14" s="253">
        <v>10097.862428799999</v>
      </c>
      <c r="AG14" s="380"/>
      <c r="AH14" s="253">
        <v>9654.1886013999992</v>
      </c>
      <c r="AI14" s="380"/>
      <c r="AJ14" s="253">
        <v>9800.9500052999992</v>
      </c>
      <c r="AK14" s="380"/>
      <c r="AL14" s="253">
        <v>9247.3931408000008</v>
      </c>
      <c r="AM14" s="380"/>
      <c r="AN14" s="253">
        <v>8833.5003990999994</v>
      </c>
      <c r="AO14" s="380"/>
      <c r="AP14" s="253">
        <v>8389.1791195999995</v>
      </c>
      <c r="AQ14" s="380"/>
      <c r="AR14" s="253">
        <v>7951.4913041</v>
      </c>
      <c r="AS14" s="380"/>
      <c r="AT14" s="253">
        <v>7746.9394148000001</v>
      </c>
      <c r="AU14" s="380"/>
      <c r="AV14" s="253">
        <v>7530.8611293000004</v>
      </c>
      <c r="AW14" s="380"/>
      <c r="AX14" s="253">
        <v>7420.9358580999997</v>
      </c>
      <c r="AY14" s="380"/>
      <c r="AZ14" s="253">
        <v>7148.5948662000001</v>
      </c>
      <c r="BA14" s="380"/>
      <c r="BB14" s="253">
        <v>6897.9979259000002</v>
      </c>
      <c r="BC14" s="380"/>
      <c r="BD14" s="253">
        <v>6750.7731523000002</v>
      </c>
      <c r="BE14" s="380"/>
      <c r="BF14" s="253">
        <v>6771.4018647000003</v>
      </c>
      <c r="BG14" s="380"/>
      <c r="BH14" s="253"/>
      <c r="BI14" s="254"/>
      <c r="CJ14" s="150"/>
      <c r="CK14" s="150"/>
      <c r="CL14" s="150"/>
      <c r="CM14" s="151"/>
      <c r="CN14" s="150"/>
      <c r="CO14" s="150"/>
      <c r="CP14" s="150"/>
      <c r="CQ14" s="150"/>
      <c r="CR14" s="150"/>
      <c r="CS14" s="150"/>
      <c r="CT14" s="150"/>
    </row>
    <row r="15" spans="1:98" s="12" customFormat="1" ht="22.5" customHeight="1">
      <c r="A15" s="310"/>
      <c r="B15" s="308" t="str">
        <f>Parameters!Q14</f>
        <v>C16</v>
      </c>
      <c r="C15" s="94"/>
      <c r="D15" s="495" t="str">
        <f>Parameters!S14</f>
        <v>Manufacture of wood and of products of wood and cork, except furniture; manufacture of articles of straw and plaiting materials</v>
      </c>
      <c r="E15" s="496"/>
      <c r="F15" s="224"/>
      <c r="G15" s="379"/>
      <c r="H15" s="225"/>
      <c r="I15" s="379"/>
      <c r="J15" s="225"/>
      <c r="K15" s="379"/>
      <c r="L15" s="225"/>
      <c r="M15" s="379"/>
      <c r="N15" s="225"/>
      <c r="O15" s="379"/>
      <c r="P15" s="225"/>
      <c r="Q15" s="379"/>
      <c r="R15" s="225"/>
      <c r="S15" s="379"/>
      <c r="T15" s="225"/>
      <c r="U15" s="379"/>
      <c r="V15" s="225"/>
      <c r="W15" s="379"/>
      <c r="X15" s="225"/>
      <c r="Y15" s="379"/>
      <c r="Z15" s="225"/>
      <c r="AA15" s="379"/>
      <c r="AB15" s="225"/>
      <c r="AC15" s="379"/>
      <c r="AD15" s="225"/>
      <c r="AE15" s="379"/>
      <c r="AF15" s="165">
        <v>4818.9450556000002</v>
      </c>
      <c r="AG15" s="379"/>
      <c r="AH15" s="165">
        <v>4665.9392498999996</v>
      </c>
      <c r="AI15" s="379"/>
      <c r="AJ15" s="165">
        <v>4541.9830340999997</v>
      </c>
      <c r="AK15" s="379"/>
      <c r="AL15" s="165">
        <v>4417.6345762999999</v>
      </c>
      <c r="AM15" s="379"/>
      <c r="AN15" s="165">
        <v>4282.8943404000001</v>
      </c>
      <c r="AO15" s="379"/>
      <c r="AP15" s="165">
        <v>4155.7212939999999</v>
      </c>
      <c r="AQ15" s="379"/>
      <c r="AR15" s="165">
        <v>4029.8334688999998</v>
      </c>
      <c r="AS15" s="379"/>
      <c r="AT15" s="165">
        <v>3922.9167566000001</v>
      </c>
      <c r="AU15" s="379"/>
      <c r="AV15" s="165">
        <v>3799.9301498999998</v>
      </c>
      <c r="AW15" s="379"/>
      <c r="AX15" s="165">
        <v>3688.2518854999998</v>
      </c>
      <c r="AY15" s="379"/>
      <c r="AZ15" s="165">
        <v>3588.4093204999999</v>
      </c>
      <c r="BA15" s="379"/>
      <c r="BB15" s="165">
        <v>3492.1068231999998</v>
      </c>
      <c r="BC15" s="379"/>
      <c r="BD15" s="165">
        <v>3389.7922531999998</v>
      </c>
      <c r="BE15" s="379"/>
      <c r="BF15" s="165">
        <v>3393.9869638</v>
      </c>
      <c r="BG15" s="379"/>
      <c r="BH15" s="225"/>
      <c r="BI15" s="184"/>
      <c r="CJ15" s="150"/>
      <c r="CK15" s="150"/>
      <c r="CL15" s="150"/>
      <c r="CM15" s="151" t="s">
        <v>703</v>
      </c>
      <c r="CN15" s="150" t="s">
        <v>1130</v>
      </c>
      <c r="CO15" s="150"/>
      <c r="CP15" s="150"/>
      <c r="CQ15" s="150"/>
      <c r="CR15" s="150"/>
      <c r="CS15" s="150"/>
      <c r="CT15" s="150"/>
    </row>
    <row r="16" spans="1:98" s="11" customFormat="1" ht="12.75" customHeight="1">
      <c r="A16" s="310"/>
      <c r="B16" s="308" t="str">
        <f>Parameters!Q15</f>
        <v>C17</v>
      </c>
      <c r="C16" s="309"/>
      <c r="D16" s="495" t="str">
        <f>Parameters!S15</f>
        <v>Manufacture of paper and paper products</v>
      </c>
      <c r="E16" s="510"/>
      <c r="F16" s="224"/>
      <c r="G16" s="379"/>
      <c r="H16" s="225"/>
      <c r="I16" s="379"/>
      <c r="J16" s="225"/>
      <c r="K16" s="379"/>
      <c r="L16" s="225"/>
      <c r="M16" s="379"/>
      <c r="N16" s="225"/>
      <c r="O16" s="379"/>
      <c r="P16" s="225"/>
      <c r="Q16" s="379"/>
      <c r="R16" s="225"/>
      <c r="S16" s="379"/>
      <c r="T16" s="225"/>
      <c r="U16" s="379"/>
      <c r="V16" s="225"/>
      <c r="W16" s="379"/>
      <c r="X16" s="225"/>
      <c r="Y16" s="379"/>
      <c r="Z16" s="225"/>
      <c r="AA16" s="379"/>
      <c r="AB16" s="225"/>
      <c r="AC16" s="379"/>
      <c r="AD16" s="225"/>
      <c r="AE16" s="379"/>
      <c r="AF16" s="165">
        <v>5278.5793551999996</v>
      </c>
      <c r="AG16" s="379"/>
      <c r="AH16" s="165">
        <v>4988.1209250000002</v>
      </c>
      <c r="AI16" s="379"/>
      <c r="AJ16" s="165">
        <v>5258.7817124000003</v>
      </c>
      <c r="AK16" s="379"/>
      <c r="AL16" s="165">
        <v>4829.6134548999999</v>
      </c>
      <c r="AM16" s="379"/>
      <c r="AN16" s="165">
        <v>4550.5176823000002</v>
      </c>
      <c r="AO16" s="379"/>
      <c r="AP16" s="165">
        <v>4233.3817344999998</v>
      </c>
      <c r="AQ16" s="379"/>
      <c r="AR16" s="165">
        <v>3921.5463544999998</v>
      </c>
      <c r="AS16" s="379"/>
      <c r="AT16" s="165">
        <v>3823.9282164000001</v>
      </c>
      <c r="AU16" s="379"/>
      <c r="AV16" s="165">
        <v>3730.8913754</v>
      </c>
      <c r="AW16" s="379"/>
      <c r="AX16" s="165">
        <v>3732.6082869000002</v>
      </c>
      <c r="AY16" s="379"/>
      <c r="AZ16" s="165">
        <v>3560.1027294999999</v>
      </c>
      <c r="BA16" s="379"/>
      <c r="BB16" s="165">
        <v>3405.8167152000001</v>
      </c>
      <c r="BC16" s="379"/>
      <c r="BD16" s="165">
        <v>3360.9110980999999</v>
      </c>
      <c r="BE16" s="379"/>
      <c r="BF16" s="165">
        <v>3377.3631418999998</v>
      </c>
      <c r="BG16" s="379"/>
      <c r="BH16" s="225"/>
      <c r="BI16" s="184"/>
      <c r="CJ16" s="150"/>
      <c r="CK16" s="150"/>
      <c r="CL16" s="150"/>
      <c r="CM16" s="151" t="s">
        <v>707</v>
      </c>
      <c r="CN16" s="150" t="s">
        <v>1130</v>
      </c>
      <c r="CO16" s="150"/>
      <c r="CP16" s="150"/>
      <c r="CQ16" s="150"/>
      <c r="CR16" s="150"/>
      <c r="CS16" s="150"/>
      <c r="CT16" s="150"/>
    </row>
    <row r="17" spans="1:98" s="11" customFormat="1" ht="12.75" customHeight="1">
      <c r="A17" s="310"/>
      <c r="B17" s="308" t="str">
        <f>Parameters!Q16</f>
        <v>C18</v>
      </c>
      <c r="C17" s="309"/>
      <c r="D17" s="495" t="str">
        <f>Parameters!S16</f>
        <v>Printing and reproduction of recorded media</v>
      </c>
      <c r="E17" s="510"/>
      <c r="F17" s="224"/>
      <c r="G17" s="379"/>
      <c r="H17" s="225"/>
      <c r="I17" s="379"/>
      <c r="J17" s="225"/>
      <c r="K17" s="379"/>
      <c r="L17" s="225"/>
      <c r="M17" s="379"/>
      <c r="N17" s="225"/>
      <c r="O17" s="379"/>
      <c r="P17" s="225"/>
      <c r="Q17" s="379"/>
      <c r="R17" s="225"/>
      <c r="S17" s="379"/>
      <c r="T17" s="225"/>
      <c r="U17" s="379"/>
      <c r="V17" s="225"/>
      <c r="W17" s="379"/>
      <c r="X17" s="225"/>
      <c r="Y17" s="379"/>
      <c r="Z17" s="225"/>
      <c r="AA17" s="379"/>
      <c r="AB17" s="225"/>
      <c r="AC17" s="379"/>
      <c r="AD17" s="225"/>
      <c r="AE17" s="379"/>
      <c r="AF17" s="165">
        <v>0.33801799999999999</v>
      </c>
      <c r="AG17" s="379"/>
      <c r="AH17" s="165">
        <v>0.1284265</v>
      </c>
      <c r="AI17" s="379"/>
      <c r="AJ17" s="165">
        <v>0.1852588</v>
      </c>
      <c r="AK17" s="379"/>
      <c r="AL17" s="165">
        <v>0.14510960000000001</v>
      </c>
      <c r="AM17" s="379"/>
      <c r="AN17" s="165">
        <v>8.8376300000000005E-2</v>
      </c>
      <c r="AO17" s="379"/>
      <c r="AP17" s="165">
        <v>7.6091099999999995E-2</v>
      </c>
      <c r="AQ17" s="379"/>
      <c r="AR17" s="165">
        <v>0.1114807</v>
      </c>
      <c r="AS17" s="379"/>
      <c r="AT17" s="165">
        <v>9.4441800000000006E-2</v>
      </c>
      <c r="AU17" s="379"/>
      <c r="AV17" s="165">
        <v>3.9604E-2</v>
      </c>
      <c r="AW17" s="379"/>
      <c r="AX17" s="165">
        <v>7.5685699999999995E-2</v>
      </c>
      <c r="AY17" s="379"/>
      <c r="AZ17" s="165">
        <v>8.2816299999999995E-2</v>
      </c>
      <c r="BA17" s="379"/>
      <c r="BB17" s="165">
        <v>7.4387599999999998E-2</v>
      </c>
      <c r="BC17" s="379"/>
      <c r="BD17" s="165">
        <v>6.9801000000000002E-2</v>
      </c>
      <c r="BE17" s="379"/>
      <c r="BF17" s="165">
        <v>5.1758999999999999E-2</v>
      </c>
      <c r="BG17" s="379"/>
      <c r="BH17" s="225"/>
      <c r="BI17" s="184"/>
      <c r="CJ17" s="150"/>
      <c r="CK17" s="150"/>
      <c r="CL17" s="150"/>
      <c r="CM17" s="151" t="s">
        <v>711</v>
      </c>
      <c r="CN17" s="150" t="s">
        <v>1130</v>
      </c>
      <c r="CO17" s="150"/>
      <c r="CP17" s="150"/>
      <c r="CQ17" s="150"/>
      <c r="CR17" s="150"/>
      <c r="CS17" s="150"/>
      <c r="CT17" s="150"/>
    </row>
    <row r="18" spans="1:98" s="12" customFormat="1" ht="12.75" customHeight="1">
      <c r="A18" s="26"/>
      <c r="B18" s="89" t="str">
        <f>Parameters!Q17</f>
        <v>C19</v>
      </c>
      <c r="C18" s="90"/>
      <c r="D18" s="504" t="str">
        <f>Parameters!S17</f>
        <v>Manufacture of coke and refined petroleum products</v>
      </c>
      <c r="E18" s="505"/>
      <c r="F18" s="226"/>
      <c r="G18" s="379"/>
      <c r="H18" s="227"/>
      <c r="I18" s="379"/>
      <c r="J18" s="227"/>
      <c r="K18" s="379"/>
      <c r="L18" s="227"/>
      <c r="M18" s="379"/>
      <c r="N18" s="227"/>
      <c r="O18" s="379"/>
      <c r="P18" s="227"/>
      <c r="Q18" s="379"/>
      <c r="R18" s="227"/>
      <c r="S18" s="379"/>
      <c r="T18" s="227"/>
      <c r="U18" s="379"/>
      <c r="V18" s="227"/>
      <c r="W18" s="379"/>
      <c r="X18" s="227"/>
      <c r="Y18" s="379"/>
      <c r="Z18" s="227"/>
      <c r="AA18" s="379"/>
      <c r="AB18" s="227"/>
      <c r="AC18" s="379"/>
      <c r="AD18" s="227"/>
      <c r="AE18" s="379"/>
      <c r="AF18" s="166">
        <v>6223.6844365999996</v>
      </c>
      <c r="AG18" s="379" t="s">
        <v>387</v>
      </c>
      <c r="AH18" s="166">
        <v>6755.3282375999997</v>
      </c>
      <c r="AI18" s="379" t="s">
        <v>387</v>
      </c>
      <c r="AJ18" s="166">
        <v>6304.4693409000001</v>
      </c>
      <c r="AK18" s="379" t="s">
        <v>387</v>
      </c>
      <c r="AL18" s="166">
        <v>7177.5236174000001</v>
      </c>
      <c r="AM18" s="379" t="s">
        <v>387</v>
      </c>
      <c r="AN18" s="166">
        <v>6674.6124289999998</v>
      </c>
      <c r="AO18" s="379" t="s">
        <v>387</v>
      </c>
      <c r="AP18" s="166">
        <v>6822.2009283999996</v>
      </c>
      <c r="AQ18" s="379" t="s">
        <v>387</v>
      </c>
      <c r="AR18" s="166">
        <v>6459.9231984999997</v>
      </c>
      <c r="AS18" s="379" t="s">
        <v>387</v>
      </c>
      <c r="AT18" s="166">
        <v>6843.5012023999998</v>
      </c>
      <c r="AU18" s="379" t="s">
        <v>387</v>
      </c>
      <c r="AV18" s="166">
        <v>5029.3288480000001</v>
      </c>
      <c r="AW18" s="379" t="s">
        <v>387</v>
      </c>
      <c r="AX18" s="166">
        <v>3439.5542900999999</v>
      </c>
      <c r="AY18" s="379" t="s">
        <v>387</v>
      </c>
      <c r="AZ18" s="166">
        <v>3491.9751758000002</v>
      </c>
      <c r="BA18" s="379" t="s">
        <v>387</v>
      </c>
      <c r="BB18" s="166">
        <v>3407.5111121</v>
      </c>
      <c r="BC18" s="379" t="s">
        <v>387</v>
      </c>
      <c r="BD18" s="166">
        <v>3374.1091630999999</v>
      </c>
      <c r="BE18" s="379" t="s">
        <v>387</v>
      </c>
      <c r="BF18" s="166">
        <v>3356.8909766000002</v>
      </c>
      <c r="BG18" s="379" t="s">
        <v>387</v>
      </c>
      <c r="BH18" s="227"/>
      <c r="BI18" s="184"/>
      <c r="CJ18" s="150"/>
      <c r="CK18" s="150"/>
      <c r="CL18" s="150"/>
      <c r="CM18" s="151" t="s">
        <v>716</v>
      </c>
      <c r="CN18" s="150" t="s">
        <v>1130</v>
      </c>
      <c r="CO18" s="150"/>
      <c r="CP18" s="150"/>
      <c r="CQ18" s="150"/>
      <c r="CR18" s="150"/>
      <c r="CS18" s="150"/>
      <c r="CT18" s="150"/>
    </row>
    <row r="19" spans="1:98" s="11" customFormat="1" ht="12.75" customHeight="1">
      <c r="A19" s="26"/>
      <c r="B19" s="89" t="str">
        <f>Parameters!Q18</f>
        <v>C20</v>
      </c>
      <c r="C19" s="90"/>
      <c r="D19" s="504" t="str">
        <f>Parameters!S18</f>
        <v>Manufacture of chemicals and chemical products</v>
      </c>
      <c r="E19" s="505"/>
      <c r="F19" s="226"/>
      <c r="G19" s="379"/>
      <c r="H19" s="227"/>
      <c r="I19" s="379"/>
      <c r="J19" s="227"/>
      <c r="K19" s="379"/>
      <c r="L19" s="227"/>
      <c r="M19" s="379"/>
      <c r="N19" s="227"/>
      <c r="O19" s="379"/>
      <c r="P19" s="227"/>
      <c r="Q19" s="379"/>
      <c r="R19" s="227"/>
      <c r="S19" s="379"/>
      <c r="T19" s="227"/>
      <c r="U19" s="379"/>
      <c r="V19" s="227"/>
      <c r="W19" s="379"/>
      <c r="X19" s="227"/>
      <c r="Y19" s="379"/>
      <c r="Z19" s="227"/>
      <c r="AA19" s="379"/>
      <c r="AB19" s="227"/>
      <c r="AC19" s="379"/>
      <c r="AD19" s="227"/>
      <c r="AE19" s="379"/>
      <c r="AF19" s="166">
        <v>0</v>
      </c>
      <c r="AG19" s="379" t="s">
        <v>387</v>
      </c>
      <c r="AH19" s="166">
        <v>0</v>
      </c>
      <c r="AI19" s="379" t="s">
        <v>387</v>
      </c>
      <c r="AJ19" s="166">
        <v>0</v>
      </c>
      <c r="AK19" s="379" t="s">
        <v>387</v>
      </c>
      <c r="AL19" s="166">
        <v>0</v>
      </c>
      <c r="AM19" s="379" t="s">
        <v>387</v>
      </c>
      <c r="AN19" s="166">
        <v>0</v>
      </c>
      <c r="AO19" s="379" t="s">
        <v>387</v>
      </c>
      <c r="AP19" s="166">
        <v>0</v>
      </c>
      <c r="AQ19" s="379" t="s">
        <v>387</v>
      </c>
      <c r="AR19" s="166">
        <v>0</v>
      </c>
      <c r="AS19" s="379" t="s">
        <v>387</v>
      </c>
      <c r="AT19" s="166">
        <v>0</v>
      </c>
      <c r="AU19" s="379" t="s">
        <v>387</v>
      </c>
      <c r="AV19" s="166">
        <v>0</v>
      </c>
      <c r="AW19" s="379" t="s">
        <v>387</v>
      </c>
      <c r="AX19" s="166">
        <v>0</v>
      </c>
      <c r="AY19" s="379" t="s">
        <v>387</v>
      </c>
      <c r="AZ19" s="166">
        <v>0</v>
      </c>
      <c r="BA19" s="379" t="s">
        <v>387</v>
      </c>
      <c r="BB19" s="166">
        <v>0</v>
      </c>
      <c r="BC19" s="379" t="s">
        <v>387</v>
      </c>
      <c r="BD19" s="166">
        <v>0</v>
      </c>
      <c r="BE19" s="379" t="s">
        <v>387</v>
      </c>
      <c r="BF19" s="166">
        <v>0</v>
      </c>
      <c r="BG19" s="379" t="s">
        <v>387</v>
      </c>
      <c r="BH19" s="227"/>
      <c r="BI19" s="184"/>
      <c r="CJ19" s="150"/>
      <c r="CK19" s="150"/>
      <c r="CL19" s="150"/>
      <c r="CM19" s="151" t="s">
        <v>723</v>
      </c>
      <c r="CN19" s="150" t="s">
        <v>1130</v>
      </c>
      <c r="CO19" s="150"/>
      <c r="CP19" s="150"/>
      <c r="CQ19" s="150"/>
      <c r="CR19" s="150"/>
      <c r="CS19" s="150"/>
      <c r="CT19" s="150"/>
    </row>
    <row r="20" spans="1:98" s="11" customFormat="1" ht="12.75" customHeight="1">
      <c r="A20" s="26"/>
      <c r="B20" s="89" t="str">
        <f>Parameters!Q19</f>
        <v>C21</v>
      </c>
      <c r="C20" s="90"/>
      <c r="D20" s="504" t="str">
        <f>Parameters!S19</f>
        <v>Manufacture of basic pharmaceutical products and pharmaceutical preparations</v>
      </c>
      <c r="E20" s="505"/>
      <c r="F20" s="226"/>
      <c r="G20" s="379"/>
      <c r="H20" s="227"/>
      <c r="I20" s="379"/>
      <c r="J20" s="227"/>
      <c r="K20" s="379"/>
      <c r="L20" s="227"/>
      <c r="M20" s="379"/>
      <c r="N20" s="227"/>
      <c r="O20" s="379"/>
      <c r="P20" s="227"/>
      <c r="Q20" s="379"/>
      <c r="R20" s="227"/>
      <c r="S20" s="379"/>
      <c r="T20" s="227"/>
      <c r="U20" s="379"/>
      <c r="V20" s="227"/>
      <c r="W20" s="379"/>
      <c r="X20" s="227"/>
      <c r="Y20" s="379"/>
      <c r="Z20" s="227"/>
      <c r="AA20" s="379"/>
      <c r="AB20" s="227"/>
      <c r="AC20" s="379"/>
      <c r="AD20" s="227"/>
      <c r="AE20" s="379"/>
      <c r="AF20" s="166">
        <v>0</v>
      </c>
      <c r="AG20" s="379" t="s">
        <v>387</v>
      </c>
      <c r="AH20" s="166">
        <v>0</v>
      </c>
      <c r="AI20" s="379" t="s">
        <v>387</v>
      </c>
      <c r="AJ20" s="166">
        <v>0</v>
      </c>
      <c r="AK20" s="379" t="s">
        <v>387</v>
      </c>
      <c r="AL20" s="166">
        <v>0</v>
      </c>
      <c r="AM20" s="379" t="s">
        <v>387</v>
      </c>
      <c r="AN20" s="166">
        <v>0</v>
      </c>
      <c r="AO20" s="379" t="s">
        <v>387</v>
      </c>
      <c r="AP20" s="166">
        <v>0</v>
      </c>
      <c r="AQ20" s="379" t="s">
        <v>387</v>
      </c>
      <c r="AR20" s="166">
        <v>0</v>
      </c>
      <c r="AS20" s="379" t="s">
        <v>387</v>
      </c>
      <c r="AT20" s="166">
        <v>0</v>
      </c>
      <c r="AU20" s="379" t="s">
        <v>387</v>
      </c>
      <c r="AV20" s="166">
        <v>0</v>
      </c>
      <c r="AW20" s="379" t="s">
        <v>387</v>
      </c>
      <c r="AX20" s="166">
        <v>0</v>
      </c>
      <c r="AY20" s="379" t="s">
        <v>387</v>
      </c>
      <c r="AZ20" s="166">
        <v>0</v>
      </c>
      <c r="BA20" s="379" t="s">
        <v>387</v>
      </c>
      <c r="BB20" s="166">
        <v>0</v>
      </c>
      <c r="BC20" s="379" t="s">
        <v>387</v>
      </c>
      <c r="BD20" s="166">
        <v>0</v>
      </c>
      <c r="BE20" s="379" t="s">
        <v>387</v>
      </c>
      <c r="BF20" s="166">
        <v>0</v>
      </c>
      <c r="BG20" s="379" t="s">
        <v>387</v>
      </c>
      <c r="BH20" s="227"/>
      <c r="BI20" s="184"/>
      <c r="CJ20" s="150"/>
      <c r="CK20" s="150"/>
      <c r="CL20" s="150"/>
      <c r="CM20" s="151" t="s">
        <v>728</v>
      </c>
      <c r="CN20" s="150" t="s">
        <v>1130</v>
      </c>
      <c r="CO20" s="150"/>
      <c r="CP20" s="150"/>
      <c r="CQ20" s="150"/>
      <c r="CR20" s="150"/>
      <c r="CS20" s="150"/>
      <c r="CT20" s="150"/>
    </row>
    <row r="21" spans="1:98" s="11" customFormat="1" ht="12.75" customHeight="1">
      <c r="A21" s="26"/>
      <c r="B21" s="89" t="str">
        <f>Parameters!Q20</f>
        <v>C22_C23</v>
      </c>
      <c r="C21" s="90"/>
      <c r="D21" s="504" t="str">
        <f>Parameters!S20</f>
        <v>Manufacture of rubber and plastic products and other non-metallic mineral products</v>
      </c>
      <c r="E21" s="506"/>
      <c r="F21" s="252"/>
      <c r="G21" s="380"/>
      <c r="H21" s="253"/>
      <c r="I21" s="380"/>
      <c r="J21" s="253"/>
      <c r="K21" s="380"/>
      <c r="L21" s="253"/>
      <c r="M21" s="380"/>
      <c r="N21" s="253"/>
      <c r="O21" s="380"/>
      <c r="P21" s="253"/>
      <c r="Q21" s="380"/>
      <c r="R21" s="253"/>
      <c r="S21" s="380"/>
      <c r="T21" s="253"/>
      <c r="U21" s="380"/>
      <c r="V21" s="253"/>
      <c r="W21" s="380"/>
      <c r="X21" s="253"/>
      <c r="Y21" s="380"/>
      <c r="Z21" s="253"/>
      <c r="AA21" s="380"/>
      <c r="AB21" s="253"/>
      <c r="AC21" s="380"/>
      <c r="AD21" s="253"/>
      <c r="AE21" s="380"/>
      <c r="AF21" s="253">
        <v>130.87213489999999</v>
      </c>
      <c r="AG21" s="380"/>
      <c r="AH21" s="253">
        <v>126.4668789</v>
      </c>
      <c r="AI21" s="380"/>
      <c r="AJ21" s="253">
        <v>133.9549633</v>
      </c>
      <c r="AK21" s="380"/>
      <c r="AL21" s="253">
        <v>139.04909180000001</v>
      </c>
      <c r="AM21" s="380"/>
      <c r="AN21" s="253">
        <v>138.4554479</v>
      </c>
      <c r="AO21" s="380"/>
      <c r="AP21" s="253">
        <v>141.5967167</v>
      </c>
      <c r="AQ21" s="380"/>
      <c r="AR21" s="253">
        <v>133.17332640000001</v>
      </c>
      <c r="AS21" s="380"/>
      <c r="AT21" s="253">
        <v>130.6723442</v>
      </c>
      <c r="AU21" s="380"/>
      <c r="AV21" s="253">
        <v>128.82223479999999</v>
      </c>
      <c r="AW21" s="380"/>
      <c r="AX21" s="253">
        <v>129.7585153</v>
      </c>
      <c r="AY21" s="380"/>
      <c r="AZ21" s="253">
        <v>138.74721339999999</v>
      </c>
      <c r="BA21" s="380"/>
      <c r="BB21" s="253">
        <v>147.75391149999999</v>
      </c>
      <c r="BC21" s="380"/>
      <c r="BD21" s="253">
        <v>160.4128039</v>
      </c>
      <c r="BE21" s="380"/>
      <c r="BF21" s="253">
        <v>159.21260609999999</v>
      </c>
      <c r="BG21" s="380"/>
      <c r="BH21" s="253"/>
      <c r="BI21" s="254"/>
      <c r="CJ21" s="150"/>
      <c r="CK21" s="150"/>
      <c r="CL21" s="150"/>
      <c r="CM21" s="151"/>
      <c r="CN21" s="150"/>
      <c r="CO21" s="150"/>
      <c r="CP21" s="150"/>
      <c r="CQ21" s="150"/>
      <c r="CR21" s="150"/>
      <c r="CS21" s="150"/>
      <c r="CT21" s="150"/>
    </row>
    <row r="22" spans="1:98" s="12" customFormat="1" ht="12.75" customHeight="1">
      <c r="A22" s="310"/>
      <c r="B22" s="308" t="str">
        <f>Parameters!Q21</f>
        <v>C22</v>
      </c>
      <c r="C22" s="96"/>
      <c r="D22" s="495" t="str">
        <f>Parameters!S21</f>
        <v>Manufacture of rubber and plastic products</v>
      </c>
      <c r="E22" s="496"/>
      <c r="F22" s="224"/>
      <c r="G22" s="379"/>
      <c r="H22" s="228"/>
      <c r="I22" s="379"/>
      <c r="J22" s="228"/>
      <c r="K22" s="379"/>
      <c r="L22" s="228"/>
      <c r="M22" s="379"/>
      <c r="N22" s="228"/>
      <c r="O22" s="379"/>
      <c r="P22" s="228"/>
      <c r="Q22" s="379"/>
      <c r="R22" s="228"/>
      <c r="S22" s="379"/>
      <c r="T22" s="228"/>
      <c r="U22" s="379"/>
      <c r="V22" s="228"/>
      <c r="W22" s="379"/>
      <c r="X22" s="228"/>
      <c r="Y22" s="379"/>
      <c r="Z22" s="228"/>
      <c r="AA22" s="379"/>
      <c r="AB22" s="228"/>
      <c r="AC22" s="379"/>
      <c r="AD22" s="228"/>
      <c r="AE22" s="379"/>
      <c r="AF22" s="167">
        <v>0.74114809999999998</v>
      </c>
      <c r="AG22" s="379"/>
      <c r="AH22" s="167">
        <v>0.98318939999999999</v>
      </c>
      <c r="AI22" s="379"/>
      <c r="AJ22" s="167">
        <v>1.4933886999999999</v>
      </c>
      <c r="AK22" s="379"/>
      <c r="AL22" s="167">
        <v>1.8153087000000001</v>
      </c>
      <c r="AM22" s="379"/>
      <c r="AN22" s="167">
        <v>1.5147413000000001</v>
      </c>
      <c r="AO22" s="379"/>
      <c r="AP22" s="167">
        <v>2.2277000999999998</v>
      </c>
      <c r="AQ22" s="379"/>
      <c r="AR22" s="167">
        <v>3.0529704999999998</v>
      </c>
      <c r="AS22" s="379"/>
      <c r="AT22" s="167">
        <v>2.7659332000000001</v>
      </c>
      <c r="AU22" s="379"/>
      <c r="AV22" s="165">
        <v>2.7075802000000002</v>
      </c>
      <c r="AW22" s="379"/>
      <c r="AX22" s="165">
        <v>0.76577459999999997</v>
      </c>
      <c r="AY22" s="379"/>
      <c r="AZ22" s="165">
        <v>0.93722110000000003</v>
      </c>
      <c r="BA22" s="379"/>
      <c r="BB22" s="165">
        <v>0.98548119999999995</v>
      </c>
      <c r="BC22" s="379"/>
      <c r="BD22" s="165">
        <v>1.1287022</v>
      </c>
      <c r="BE22" s="379"/>
      <c r="BF22" s="165">
        <v>1.2844895999999999</v>
      </c>
      <c r="BG22" s="379"/>
      <c r="BH22" s="225"/>
      <c r="BI22" s="184"/>
      <c r="CJ22" s="150"/>
      <c r="CK22" s="150"/>
      <c r="CL22" s="150"/>
      <c r="CM22" s="151" t="s">
        <v>739</v>
      </c>
      <c r="CN22" s="150" t="s">
        <v>1130</v>
      </c>
      <c r="CO22" s="150"/>
      <c r="CP22" s="150"/>
      <c r="CQ22" s="150"/>
      <c r="CR22" s="150"/>
      <c r="CS22" s="150"/>
      <c r="CT22" s="150"/>
    </row>
    <row r="23" spans="1:98" s="12" customFormat="1" ht="12.75" customHeight="1">
      <c r="A23" s="310"/>
      <c r="B23" s="308" t="str">
        <f>Parameters!Q22</f>
        <v>C23</v>
      </c>
      <c r="C23" s="96"/>
      <c r="D23" s="495" t="str">
        <f>Parameters!S22</f>
        <v>Manufacture of other non-metallic mineral products</v>
      </c>
      <c r="E23" s="510"/>
      <c r="F23" s="224"/>
      <c r="G23" s="379"/>
      <c r="H23" s="228"/>
      <c r="I23" s="379"/>
      <c r="J23" s="228"/>
      <c r="K23" s="379"/>
      <c r="L23" s="228"/>
      <c r="M23" s="379"/>
      <c r="N23" s="228"/>
      <c r="O23" s="379"/>
      <c r="P23" s="228"/>
      <c r="Q23" s="379"/>
      <c r="R23" s="228"/>
      <c r="S23" s="379"/>
      <c r="T23" s="228"/>
      <c r="U23" s="379"/>
      <c r="V23" s="228"/>
      <c r="W23" s="379"/>
      <c r="X23" s="228"/>
      <c r="Y23" s="379"/>
      <c r="Z23" s="228"/>
      <c r="AA23" s="379"/>
      <c r="AB23" s="228"/>
      <c r="AC23" s="379"/>
      <c r="AD23" s="228"/>
      <c r="AE23" s="379"/>
      <c r="AF23" s="167">
        <v>130.13098679999999</v>
      </c>
      <c r="AG23" s="379"/>
      <c r="AH23" s="167">
        <v>125.4836895</v>
      </c>
      <c r="AI23" s="379"/>
      <c r="AJ23" s="167">
        <v>132.46157460000001</v>
      </c>
      <c r="AK23" s="379"/>
      <c r="AL23" s="167">
        <v>137.23378310000001</v>
      </c>
      <c r="AM23" s="379"/>
      <c r="AN23" s="167">
        <v>136.9407066</v>
      </c>
      <c r="AO23" s="379"/>
      <c r="AP23" s="167">
        <v>139.36901660000001</v>
      </c>
      <c r="AQ23" s="379"/>
      <c r="AR23" s="167">
        <v>130.12035589999999</v>
      </c>
      <c r="AS23" s="379"/>
      <c r="AT23" s="167">
        <v>127.90641100000001</v>
      </c>
      <c r="AU23" s="379"/>
      <c r="AV23" s="165">
        <v>126.11465459999999</v>
      </c>
      <c r="AW23" s="379"/>
      <c r="AX23" s="165">
        <v>128.99274070000001</v>
      </c>
      <c r="AY23" s="379"/>
      <c r="AZ23" s="165">
        <v>137.80999220000001</v>
      </c>
      <c r="BA23" s="379"/>
      <c r="BB23" s="165">
        <v>146.76843030000001</v>
      </c>
      <c r="BC23" s="379"/>
      <c r="BD23" s="165">
        <v>159.28410170000001</v>
      </c>
      <c r="BE23" s="379"/>
      <c r="BF23" s="165">
        <v>157.92811639999999</v>
      </c>
      <c r="BG23" s="379"/>
      <c r="BH23" s="225"/>
      <c r="BI23" s="184"/>
      <c r="CJ23" s="150"/>
      <c r="CK23" s="150"/>
      <c r="CL23" s="150"/>
      <c r="CM23" s="151" t="s">
        <v>743</v>
      </c>
      <c r="CN23" s="150" t="s">
        <v>1130</v>
      </c>
      <c r="CO23" s="150"/>
      <c r="CP23" s="150"/>
      <c r="CQ23" s="150"/>
      <c r="CR23" s="150"/>
      <c r="CS23" s="150"/>
      <c r="CT23" s="150"/>
    </row>
    <row r="24" spans="1:98" s="12" customFormat="1" ht="24.75" customHeight="1">
      <c r="A24" s="26"/>
      <c r="B24" s="89" t="str">
        <f>Parameters!Q23</f>
        <v>C24_C25</v>
      </c>
      <c r="C24" s="90"/>
      <c r="D24" s="504" t="str">
        <f>Parameters!S23</f>
        <v>Manufacture of basic metals and fabricated metal products, except machinery and equipment</v>
      </c>
      <c r="E24" s="506"/>
      <c r="F24" s="252"/>
      <c r="G24" s="380"/>
      <c r="H24" s="253"/>
      <c r="I24" s="380"/>
      <c r="J24" s="253"/>
      <c r="K24" s="380"/>
      <c r="L24" s="253"/>
      <c r="M24" s="380"/>
      <c r="N24" s="253"/>
      <c r="O24" s="380"/>
      <c r="P24" s="253"/>
      <c r="Q24" s="380"/>
      <c r="R24" s="253"/>
      <c r="S24" s="380"/>
      <c r="T24" s="253"/>
      <c r="U24" s="380"/>
      <c r="V24" s="253"/>
      <c r="W24" s="380"/>
      <c r="X24" s="253"/>
      <c r="Y24" s="380"/>
      <c r="Z24" s="253"/>
      <c r="AA24" s="380"/>
      <c r="AB24" s="253"/>
      <c r="AC24" s="380"/>
      <c r="AD24" s="253"/>
      <c r="AE24" s="380"/>
      <c r="AF24" s="253">
        <v>30.500363799999999</v>
      </c>
      <c r="AG24" s="380"/>
      <c r="AH24" s="253">
        <v>27.7364526</v>
      </c>
      <c r="AI24" s="380"/>
      <c r="AJ24" s="253">
        <v>35.117571400000003</v>
      </c>
      <c r="AK24" s="380"/>
      <c r="AL24" s="253">
        <v>33.951868699999999</v>
      </c>
      <c r="AM24" s="380"/>
      <c r="AN24" s="253">
        <v>30.3481649</v>
      </c>
      <c r="AO24" s="380"/>
      <c r="AP24" s="253">
        <v>33.907592999999999</v>
      </c>
      <c r="AQ24" s="380"/>
      <c r="AR24" s="253">
        <v>34.614646200000003</v>
      </c>
      <c r="AS24" s="380"/>
      <c r="AT24" s="253">
        <v>34.376378099999997</v>
      </c>
      <c r="AU24" s="380"/>
      <c r="AV24" s="253">
        <v>34.627204900000002</v>
      </c>
      <c r="AW24" s="380"/>
      <c r="AX24" s="253">
        <v>33.360301800000002</v>
      </c>
      <c r="AY24" s="380"/>
      <c r="AZ24" s="253">
        <v>31.9845826</v>
      </c>
      <c r="BA24" s="380"/>
      <c r="BB24" s="253">
        <v>29.831048899999999</v>
      </c>
      <c r="BC24" s="380"/>
      <c r="BD24" s="253">
        <v>33.629348</v>
      </c>
      <c r="BE24" s="380"/>
      <c r="BF24" s="253">
        <v>30.9712022</v>
      </c>
      <c r="BG24" s="380"/>
      <c r="BH24" s="253"/>
      <c r="BI24" s="254"/>
      <c r="CJ24" s="150"/>
      <c r="CK24" s="150"/>
      <c r="CL24" s="150"/>
      <c r="CM24" s="151"/>
      <c r="CN24" s="150"/>
      <c r="CO24" s="150"/>
      <c r="CP24" s="150"/>
      <c r="CQ24" s="150"/>
      <c r="CR24" s="150"/>
      <c r="CS24" s="150"/>
      <c r="CT24" s="150"/>
    </row>
    <row r="25" spans="1:98" s="12" customFormat="1" ht="12.75" customHeight="1">
      <c r="A25" s="310"/>
      <c r="B25" s="308" t="str">
        <f>Parameters!Q24</f>
        <v>C24</v>
      </c>
      <c r="C25" s="96"/>
      <c r="D25" s="495" t="str">
        <f>Parameters!S24</f>
        <v>Manufacture of basic metals</v>
      </c>
      <c r="E25" s="496"/>
      <c r="F25" s="224"/>
      <c r="G25" s="379"/>
      <c r="H25" s="228"/>
      <c r="I25" s="379"/>
      <c r="J25" s="228"/>
      <c r="K25" s="379"/>
      <c r="L25" s="228"/>
      <c r="M25" s="379"/>
      <c r="N25" s="228"/>
      <c r="O25" s="379"/>
      <c r="P25" s="228"/>
      <c r="Q25" s="379"/>
      <c r="R25" s="228"/>
      <c r="S25" s="379"/>
      <c r="T25" s="228"/>
      <c r="U25" s="379"/>
      <c r="V25" s="228"/>
      <c r="W25" s="379"/>
      <c r="X25" s="228"/>
      <c r="Y25" s="379"/>
      <c r="Z25" s="228"/>
      <c r="AA25" s="379"/>
      <c r="AB25" s="228"/>
      <c r="AC25" s="379"/>
      <c r="AD25" s="228"/>
      <c r="AE25" s="379"/>
      <c r="AF25" s="167">
        <v>29.248548899999999</v>
      </c>
      <c r="AG25" s="379"/>
      <c r="AH25" s="167">
        <v>26.829524899999999</v>
      </c>
      <c r="AI25" s="379"/>
      <c r="AJ25" s="167">
        <v>33.819695699999997</v>
      </c>
      <c r="AK25" s="379"/>
      <c r="AL25" s="167">
        <v>32.979021099999997</v>
      </c>
      <c r="AM25" s="379"/>
      <c r="AN25" s="167">
        <v>29.3153364</v>
      </c>
      <c r="AO25" s="379"/>
      <c r="AP25" s="167">
        <v>32.882995200000003</v>
      </c>
      <c r="AQ25" s="379"/>
      <c r="AR25" s="167">
        <v>33.970939700000002</v>
      </c>
      <c r="AS25" s="379"/>
      <c r="AT25" s="167">
        <v>33.479002600000001</v>
      </c>
      <c r="AU25" s="379"/>
      <c r="AV25" s="165">
        <v>33.746813600000003</v>
      </c>
      <c r="AW25" s="379"/>
      <c r="AX25" s="165">
        <v>32.585903799999997</v>
      </c>
      <c r="AY25" s="379"/>
      <c r="AZ25" s="165">
        <v>31.316232899999999</v>
      </c>
      <c r="BA25" s="379"/>
      <c r="BB25" s="165">
        <v>28.8545853</v>
      </c>
      <c r="BC25" s="379"/>
      <c r="BD25" s="165">
        <v>32.825944999999997</v>
      </c>
      <c r="BE25" s="379"/>
      <c r="BF25" s="165">
        <v>29.947771899999999</v>
      </c>
      <c r="BG25" s="379"/>
      <c r="BH25" s="225"/>
      <c r="BI25" s="184"/>
      <c r="CJ25" s="150"/>
      <c r="CK25" s="150"/>
      <c r="CL25" s="150"/>
      <c r="CM25" s="151" t="s">
        <v>749</v>
      </c>
      <c r="CN25" s="150" t="s">
        <v>1130</v>
      </c>
      <c r="CO25" s="150"/>
      <c r="CP25" s="150"/>
      <c r="CQ25" s="150"/>
      <c r="CR25" s="150"/>
      <c r="CS25" s="150"/>
      <c r="CT25" s="150"/>
    </row>
    <row r="26" spans="1:98" s="11" customFormat="1" ht="12.75" customHeight="1">
      <c r="A26" s="310"/>
      <c r="B26" s="308" t="str">
        <f>Parameters!Q25</f>
        <v>C25</v>
      </c>
      <c r="C26" s="309"/>
      <c r="D26" s="495" t="str">
        <f>Parameters!S25</f>
        <v>Manufacture of fabricated metal products, except machinery and equipment</v>
      </c>
      <c r="E26" s="510"/>
      <c r="F26" s="224"/>
      <c r="G26" s="379"/>
      <c r="H26" s="225"/>
      <c r="I26" s="379"/>
      <c r="J26" s="225"/>
      <c r="K26" s="379"/>
      <c r="L26" s="225"/>
      <c r="M26" s="379"/>
      <c r="N26" s="225"/>
      <c r="O26" s="379"/>
      <c r="P26" s="225"/>
      <c r="Q26" s="379"/>
      <c r="R26" s="225"/>
      <c r="S26" s="379"/>
      <c r="T26" s="225"/>
      <c r="U26" s="379"/>
      <c r="V26" s="225"/>
      <c r="W26" s="379"/>
      <c r="X26" s="225"/>
      <c r="Y26" s="379"/>
      <c r="Z26" s="225"/>
      <c r="AA26" s="379"/>
      <c r="AB26" s="225"/>
      <c r="AC26" s="379"/>
      <c r="AD26" s="225"/>
      <c r="AE26" s="379"/>
      <c r="AF26" s="165">
        <v>1.2518149000000001</v>
      </c>
      <c r="AG26" s="379"/>
      <c r="AH26" s="165">
        <v>0.9069277</v>
      </c>
      <c r="AI26" s="379"/>
      <c r="AJ26" s="165">
        <v>1.2978756</v>
      </c>
      <c r="AK26" s="379"/>
      <c r="AL26" s="165">
        <v>0.97284760000000003</v>
      </c>
      <c r="AM26" s="379"/>
      <c r="AN26" s="165">
        <v>1.0328284999999999</v>
      </c>
      <c r="AO26" s="379"/>
      <c r="AP26" s="165">
        <v>1.0245979000000001</v>
      </c>
      <c r="AQ26" s="379"/>
      <c r="AR26" s="165">
        <v>0.64370649999999996</v>
      </c>
      <c r="AS26" s="379"/>
      <c r="AT26" s="165">
        <v>0.89737549999999999</v>
      </c>
      <c r="AU26" s="379"/>
      <c r="AV26" s="165">
        <v>0.88039129999999999</v>
      </c>
      <c r="AW26" s="379"/>
      <c r="AX26" s="165">
        <v>0.77439800000000003</v>
      </c>
      <c r="AY26" s="379"/>
      <c r="AZ26" s="165">
        <v>0.66834959999999999</v>
      </c>
      <c r="BA26" s="379"/>
      <c r="BB26" s="165">
        <v>0.97646370000000005</v>
      </c>
      <c r="BC26" s="379"/>
      <c r="BD26" s="165">
        <v>0.80340290000000003</v>
      </c>
      <c r="BE26" s="379"/>
      <c r="BF26" s="165">
        <v>1.0234303</v>
      </c>
      <c r="BG26" s="379"/>
      <c r="BH26" s="225"/>
      <c r="BI26" s="184"/>
      <c r="CJ26" s="150"/>
      <c r="CK26" s="150"/>
      <c r="CL26" s="150"/>
      <c r="CM26" s="151" t="s">
        <v>753</v>
      </c>
      <c r="CN26" s="150" t="s">
        <v>1130</v>
      </c>
      <c r="CO26" s="150"/>
      <c r="CP26" s="150"/>
      <c r="CQ26" s="150"/>
      <c r="CR26" s="150"/>
      <c r="CS26" s="150"/>
      <c r="CT26" s="150"/>
    </row>
    <row r="27" spans="1:98" s="11" customFormat="1" ht="12.75" customHeight="1">
      <c r="A27" s="26"/>
      <c r="B27" s="89" t="str">
        <f>Parameters!Q26</f>
        <v>C26</v>
      </c>
      <c r="C27" s="90"/>
      <c r="D27" s="504" t="str">
        <f>Parameters!S26</f>
        <v>Manufacture of computer, electronic and optical products</v>
      </c>
      <c r="E27" s="505"/>
      <c r="F27" s="226"/>
      <c r="G27" s="379"/>
      <c r="H27" s="227"/>
      <c r="I27" s="379"/>
      <c r="J27" s="227"/>
      <c r="K27" s="379"/>
      <c r="L27" s="227"/>
      <c r="M27" s="379"/>
      <c r="N27" s="227"/>
      <c r="O27" s="379"/>
      <c r="P27" s="227"/>
      <c r="Q27" s="379"/>
      <c r="R27" s="227"/>
      <c r="S27" s="379"/>
      <c r="T27" s="227"/>
      <c r="U27" s="379"/>
      <c r="V27" s="227"/>
      <c r="W27" s="379"/>
      <c r="X27" s="227"/>
      <c r="Y27" s="379"/>
      <c r="Z27" s="227"/>
      <c r="AA27" s="379"/>
      <c r="AB27" s="227"/>
      <c r="AC27" s="379"/>
      <c r="AD27" s="227"/>
      <c r="AE27" s="379"/>
      <c r="AF27" s="166">
        <v>2.3896500000000001E-2</v>
      </c>
      <c r="AG27" s="379"/>
      <c r="AH27" s="166">
        <v>1.8650400000000001E-2</v>
      </c>
      <c r="AI27" s="379"/>
      <c r="AJ27" s="166">
        <v>2.0477499999999999E-2</v>
      </c>
      <c r="AK27" s="379"/>
      <c r="AL27" s="166">
        <v>1.24441E-2</v>
      </c>
      <c r="AM27" s="379"/>
      <c r="AN27" s="166">
        <v>2.6243099999999998E-2</v>
      </c>
      <c r="AO27" s="379"/>
      <c r="AP27" s="166">
        <v>1.9797599999999999E-2</v>
      </c>
      <c r="AQ27" s="379"/>
      <c r="AR27" s="166">
        <v>8.0242000000000004E-3</v>
      </c>
      <c r="AS27" s="379"/>
      <c r="AT27" s="166">
        <v>9.5454000000000008E-3</v>
      </c>
      <c r="AU27" s="379"/>
      <c r="AV27" s="166">
        <v>9.7246999999999993E-3</v>
      </c>
      <c r="AW27" s="379"/>
      <c r="AX27" s="166">
        <v>7.0549000000000002E-3</v>
      </c>
      <c r="AY27" s="379"/>
      <c r="AZ27" s="166">
        <v>8.6108999999999995E-3</v>
      </c>
      <c r="BA27" s="379"/>
      <c r="BB27" s="166">
        <v>1.8175899999999998E-2</v>
      </c>
      <c r="BC27" s="379"/>
      <c r="BD27" s="166">
        <v>3.10514E-2</v>
      </c>
      <c r="BE27" s="379"/>
      <c r="BF27" s="166">
        <v>1.1418299999999999E-2</v>
      </c>
      <c r="BG27" s="379"/>
      <c r="BH27" s="227"/>
      <c r="BI27" s="184"/>
      <c r="CJ27" s="150"/>
      <c r="CK27" s="150"/>
      <c r="CL27" s="150"/>
      <c r="CM27" s="151" t="s">
        <v>760</v>
      </c>
      <c r="CN27" s="150" t="s">
        <v>1130</v>
      </c>
      <c r="CO27" s="150"/>
      <c r="CP27" s="150"/>
      <c r="CQ27" s="150"/>
      <c r="CR27" s="150"/>
      <c r="CS27" s="150"/>
      <c r="CT27" s="150"/>
    </row>
    <row r="28" spans="1:98" s="12" customFormat="1" ht="12.75" customHeight="1">
      <c r="A28" s="26"/>
      <c r="B28" s="89" t="str">
        <f>Parameters!Q27</f>
        <v>C27</v>
      </c>
      <c r="C28" s="90"/>
      <c r="D28" s="504" t="str">
        <f>Parameters!S27</f>
        <v>Manufacture of electrical equipment</v>
      </c>
      <c r="E28" s="505"/>
      <c r="F28" s="226"/>
      <c r="G28" s="379"/>
      <c r="H28" s="227"/>
      <c r="I28" s="379"/>
      <c r="J28" s="227"/>
      <c r="K28" s="379"/>
      <c r="L28" s="227"/>
      <c r="M28" s="379"/>
      <c r="N28" s="227"/>
      <c r="O28" s="379"/>
      <c r="P28" s="227"/>
      <c r="Q28" s="379"/>
      <c r="R28" s="227"/>
      <c r="S28" s="379"/>
      <c r="T28" s="227"/>
      <c r="U28" s="379"/>
      <c r="V28" s="227"/>
      <c r="W28" s="379"/>
      <c r="X28" s="227"/>
      <c r="Y28" s="379"/>
      <c r="Z28" s="227"/>
      <c r="AA28" s="379"/>
      <c r="AB28" s="227"/>
      <c r="AC28" s="379"/>
      <c r="AD28" s="227"/>
      <c r="AE28" s="379"/>
      <c r="AF28" s="166">
        <v>0.36499759999999998</v>
      </c>
      <c r="AG28" s="379"/>
      <c r="AH28" s="166">
        <v>0.216894</v>
      </c>
      <c r="AI28" s="379"/>
      <c r="AJ28" s="166">
        <v>0.28381590000000001</v>
      </c>
      <c r="AK28" s="379"/>
      <c r="AL28" s="166">
        <v>0.32152130000000001</v>
      </c>
      <c r="AM28" s="379"/>
      <c r="AN28" s="166">
        <v>0.26403529999999997</v>
      </c>
      <c r="AO28" s="379"/>
      <c r="AP28" s="166">
        <v>0.31372539999999999</v>
      </c>
      <c r="AQ28" s="379"/>
      <c r="AR28" s="166">
        <v>0.1395508</v>
      </c>
      <c r="AS28" s="379"/>
      <c r="AT28" s="166">
        <v>0.16406480000000001</v>
      </c>
      <c r="AU28" s="379"/>
      <c r="AV28" s="166">
        <v>0.18696889999999999</v>
      </c>
      <c r="AW28" s="379"/>
      <c r="AX28" s="166">
        <v>0.26091350000000002</v>
      </c>
      <c r="AY28" s="379"/>
      <c r="AZ28" s="166">
        <v>0.21874640000000001</v>
      </c>
      <c r="BA28" s="379"/>
      <c r="BB28" s="166">
        <v>0.18793509999999999</v>
      </c>
      <c r="BC28" s="379"/>
      <c r="BD28" s="166">
        <v>0.1686754</v>
      </c>
      <c r="BE28" s="379"/>
      <c r="BF28" s="166">
        <v>0.2004667</v>
      </c>
      <c r="BG28" s="379"/>
      <c r="BH28" s="227"/>
      <c r="BI28" s="184"/>
      <c r="CJ28" s="150"/>
      <c r="CK28" s="150"/>
      <c r="CL28" s="150"/>
      <c r="CM28" s="151" t="s">
        <v>763</v>
      </c>
      <c r="CN28" s="150" t="s">
        <v>1130</v>
      </c>
      <c r="CO28" s="150"/>
      <c r="CP28" s="150"/>
      <c r="CQ28" s="150"/>
      <c r="CR28" s="150"/>
      <c r="CS28" s="150"/>
      <c r="CT28" s="150"/>
    </row>
    <row r="29" spans="1:98" s="12" customFormat="1" ht="12.75" customHeight="1">
      <c r="A29" s="26"/>
      <c r="B29" s="89" t="str">
        <f>Parameters!Q28</f>
        <v>C28</v>
      </c>
      <c r="C29" s="90"/>
      <c r="D29" s="504" t="str">
        <f>Parameters!S28</f>
        <v>Manufacture of machinery and equipment n.e.c.</v>
      </c>
      <c r="E29" s="505"/>
      <c r="F29" s="226"/>
      <c r="G29" s="379"/>
      <c r="H29" s="227"/>
      <c r="I29" s="379"/>
      <c r="J29" s="227"/>
      <c r="K29" s="379"/>
      <c r="L29" s="227"/>
      <c r="M29" s="379"/>
      <c r="N29" s="227"/>
      <c r="O29" s="379"/>
      <c r="P29" s="227"/>
      <c r="Q29" s="379"/>
      <c r="R29" s="227"/>
      <c r="S29" s="379"/>
      <c r="T29" s="227"/>
      <c r="U29" s="379"/>
      <c r="V29" s="227"/>
      <c r="W29" s="379"/>
      <c r="X29" s="227"/>
      <c r="Y29" s="379"/>
      <c r="Z29" s="227"/>
      <c r="AA29" s="379"/>
      <c r="AB29" s="227"/>
      <c r="AC29" s="379"/>
      <c r="AD29" s="227"/>
      <c r="AE29" s="379"/>
      <c r="AF29" s="166">
        <v>1.0230391999999999</v>
      </c>
      <c r="AG29" s="379"/>
      <c r="AH29" s="166">
        <v>0.90770960000000001</v>
      </c>
      <c r="AI29" s="379"/>
      <c r="AJ29" s="166">
        <v>1.1103864000000001</v>
      </c>
      <c r="AK29" s="379"/>
      <c r="AL29" s="166">
        <v>1.0501814</v>
      </c>
      <c r="AM29" s="379"/>
      <c r="AN29" s="166">
        <v>0.90608739999999999</v>
      </c>
      <c r="AO29" s="379"/>
      <c r="AP29" s="166">
        <v>1.1231287000000001</v>
      </c>
      <c r="AQ29" s="379"/>
      <c r="AR29" s="166">
        <v>1.1200809</v>
      </c>
      <c r="AS29" s="379"/>
      <c r="AT29" s="166">
        <v>1.0613336</v>
      </c>
      <c r="AU29" s="379"/>
      <c r="AV29" s="166">
        <v>0.83180160000000003</v>
      </c>
      <c r="AW29" s="379"/>
      <c r="AX29" s="166">
        <v>0.68764119999999995</v>
      </c>
      <c r="AY29" s="379"/>
      <c r="AZ29" s="166">
        <v>0.71949399999999997</v>
      </c>
      <c r="BA29" s="379"/>
      <c r="BB29" s="166">
        <v>0.9837998</v>
      </c>
      <c r="BC29" s="379"/>
      <c r="BD29" s="166">
        <v>0.65356369999999997</v>
      </c>
      <c r="BE29" s="379"/>
      <c r="BF29" s="166">
        <v>0.47658099999999998</v>
      </c>
      <c r="BG29" s="379"/>
      <c r="BH29" s="227"/>
      <c r="BI29" s="184"/>
      <c r="CJ29" s="150"/>
      <c r="CK29" s="150"/>
      <c r="CL29" s="150"/>
      <c r="CM29" s="151" t="s">
        <v>768</v>
      </c>
      <c r="CN29" s="150" t="s">
        <v>1130</v>
      </c>
      <c r="CO29" s="150"/>
      <c r="CP29" s="150"/>
      <c r="CQ29" s="150"/>
      <c r="CR29" s="150"/>
      <c r="CS29" s="150"/>
      <c r="CT29" s="150"/>
    </row>
    <row r="30" spans="1:98" s="12" customFormat="1" ht="12.75" customHeight="1">
      <c r="A30" s="26"/>
      <c r="B30" s="89" t="str">
        <f>Parameters!Q29</f>
        <v>C29_C30</v>
      </c>
      <c r="C30" s="90"/>
      <c r="D30" s="504" t="str">
        <f>Parameters!S29</f>
        <v>Manufacture of motor vehicles, trailers, semi-trailers and of other transport equipment</v>
      </c>
      <c r="E30" s="506"/>
      <c r="F30" s="252"/>
      <c r="G30" s="380"/>
      <c r="H30" s="253"/>
      <c r="I30" s="380"/>
      <c r="J30" s="253"/>
      <c r="K30" s="380"/>
      <c r="L30" s="253"/>
      <c r="M30" s="380"/>
      <c r="N30" s="253"/>
      <c r="O30" s="380"/>
      <c r="P30" s="253"/>
      <c r="Q30" s="380"/>
      <c r="R30" s="253"/>
      <c r="S30" s="380"/>
      <c r="T30" s="253"/>
      <c r="U30" s="380"/>
      <c r="V30" s="253"/>
      <c r="W30" s="380"/>
      <c r="X30" s="253"/>
      <c r="Y30" s="380"/>
      <c r="Z30" s="253"/>
      <c r="AA30" s="380"/>
      <c r="AB30" s="253"/>
      <c r="AC30" s="380"/>
      <c r="AD30" s="253"/>
      <c r="AE30" s="380"/>
      <c r="AF30" s="253">
        <v>2.4129263999999999</v>
      </c>
      <c r="AG30" s="380"/>
      <c r="AH30" s="253">
        <v>1.5534844000000001</v>
      </c>
      <c r="AI30" s="380"/>
      <c r="AJ30" s="253">
        <v>1.749487</v>
      </c>
      <c r="AK30" s="380"/>
      <c r="AL30" s="253">
        <v>1.6322284</v>
      </c>
      <c r="AM30" s="380"/>
      <c r="AN30" s="253">
        <v>1.877893</v>
      </c>
      <c r="AO30" s="380"/>
      <c r="AP30" s="253">
        <v>1.7501897</v>
      </c>
      <c r="AQ30" s="380"/>
      <c r="AR30" s="253">
        <v>1.3402567000000001</v>
      </c>
      <c r="AS30" s="380"/>
      <c r="AT30" s="253">
        <v>1.1388824</v>
      </c>
      <c r="AU30" s="380"/>
      <c r="AV30" s="253">
        <v>0.82082790000000005</v>
      </c>
      <c r="AW30" s="380"/>
      <c r="AX30" s="253">
        <v>0.9519126</v>
      </c>
      <c r="AY30" s="380"/>
      <c r="AZ30" s="253">
        <v>1.0797825000000001</v>
      </c>
      <c r="BA30" s="380"/>
      <c r="BB30" s="253">
        <v>1.6838542999999999</v>
      </c>
      <c r="BC30" s="380"/>
      <c r="BD30" s="253">
        <v>1.0584952000000001</v>
      </c>
      <c r="BE30" s="380"/>
      <c r="BF30" s="253">
        <v>1.8835834</v>
      </c>
      <c r="BG30" s="380"/>
      <c r="BH30" s="253"/>
      <c r="BI30" s="254"/>
      <c r="CJ30" s="150"/>
      <c r="CK30" s="150"/>
      <c r="CL30" s="150"/>
      <c r="CM30" s="151"/>
      <c r="CN30" s="150"/>
      <c r="CO30" s="150"/>
      <c r="CP30" s="150"/>
      <c r="CQ30" s="150"/>
      <c r="CR30" s="150"/>
      <c r="CS30" s="150"/>
      <c r="CT30" s="150"/>
    </row>
    <row r="31" spans="1:98" s="12" customFormat="1" ht="12.75" customHeight="1">
      <c r="A31" s="310"/>
      <c r="B31" s="308" t="str">
        <f>Parameters!Q30</f>
        <v>C29</v>
      </c>
      <c r="C31" s="309"/>
      <c r="D31" s="495" t="str">
        <f>Parameters!S30</f>
        <v>Manufacture of motor vehicles, trailers and semi-trailers</v>
      </c>
      <c r="E31" s="496"/>
      <c r="F31" s="224"/>
      <c r="G31" s="379"/>
      <c r="H31" s="225"/>
      <c r="I31" s="379"/>
      <c r="J31" s="225"/>
      <c r="K31" s="379"/>
      <c r="L31" s="225"/>
      <c r="M31" s="379"/>
      <c r="N31" s="225"/>
      <c r="O31" s="379"/>
      <c r="P31" s="225"/>
      <c r="Q31" s="379"/>
      <c r="R31" s="225"/>
      <c r="S31" s="379"/>
      <c r="T31" s="225"/>
      <c r="U31" s="379"/>
      <c r="V31" s="225"/>
      <c r="W31" s="379"/>
      <c r="X31" s="225"/>
      <c r="Y31" s="379"/>
      <c r="Z31" s="225"/>
      <c r="AA31" s="379"/>
      <c r="AB31" s="225"/>
      <c r="AC31" s="379"/>
      <c r="AD31" s="225"/>
      <c r="AE31" s="379"/>
      <c r="AF31" s="165">
        <v>0.49562230000000002</v>
      </c>
      <c r="AG31" s="379"/>
      <c r="AH31" s="165">
        <v>0.28691260000000002</v>
      </c>
      <c r="AI31" s="379"/>
      <c r="AJ31" s="165">
        <v>0.57935930000000002</v>
      </c>
      <c r="AK31" s="379"/>
      <c r="AL31" s="165">
        <v>0.29112870000000002</v>
      </c>
      <c r="AM31" s="379"/>
      <c r="AN31" s="165">
        <v>0.31737080000000001</v>
      </c>
      <c r="AO31" s="379"/>
      <c r="AP31" s="165">
        <v>0.26350639999999997</v>
      </c>
      <c r="AQ31" s="379"/>
      <c r="AR31" s="165">
        <v>0.28043970000000001</v>
      </c>
      <c r="AS31" s="379"/>
      <c r="AT31" s="165">
        <v>9.9967700000000007E-2</v>
      </c>
      <c r="AU31" s="379"/>
      <c r="AV31" s="165">
        <v>8.11283E-2</v>
      </c>
      <c r="AW31" s="379"/>
      <c r="AX31" s="165">
        <v>0.108699</v>
      </c>
      <c r="AY31" s="379"/>
      <c r="AZ31" s="165">
        <v>0.13691929999999999</v>
      </c>
      <c r="BA31" s="379"/>
      <c r="BB31" s="165">
        <v>0.13284509999999999</v>
      </c>
      <c r="BC31" s="379"/>
      <c r="BD31" s="165">
        <v>9.6865000000000007E-2</v>
      </c>
      <c r="BE31" s="379"/>
      <c r="BF31" s="165">
        <v>0.12984870000000001</v>
      </c>
      <c r="BG31" s="379"/>
      <c r="BH31" s="225"/>
      <c r="BI31" s="184"/>
      <c r="CJ31" s="150"/>
      <c r="CK31" s="150"/>
      <c r="CL31" s="150"/>
      <c r="CM31" s="151" t="s">
        <v>779</v>
      </c>
      <c r="CN31" s="150" t="s">
        <v>1130</v>
      </c>
      <c r="CO31" s="150"/>
      <c r="CP31" s="150"/>
      <c r="CQ31" s="150"/>
      <c r="CR31" s="150"/>
      <c r="CS31" s="150"/>
      <c r="CT31" s="150"/>
    </row>
    <row r="32" spans="1:98" s="12" customFormat="1" ht="12.75" customHeight="1">
      <c r="A32" s="310"/>
      <c r="B32" s="308" t="str">
        <f>Parameters!Q31</f>
        <v>C30</v>
      </c>
      <c r="C32" s="309"/>
      <c r="D32" s="495" t="str">
        <f>Parameters!S31</f>
        <v>Manufacture of other transport equipment</v>
      </c>
      <c r="E32" s="496"/>
      <c r="F32" s="224"/>
      <c r="G32" s="379"/>
      <c r="H32" s="225"/>
      <c r="I32" s="379"/>
      <c r="J32" s="225"/>
      <c r="K32" s="379"/>
      <c r="L32" s="225"/>
      <c r="M32" s="379"/>
      <c r="N32" s="225"/>
      <c r="O32" s="379"/>
      <c r="P32" s="225"/>
      <c r="Q32" s="379"/>
      <c r="R32" s="225"/>
      <c r="S32" s="379"/>
      <c r="T32" s="225"/>
      <c r="U32" s="379"/>
      <c r="V32" s="225"/>
      <c r="W32" s="379"/>
      <c r="X32" s="225"/>
      <c r="Y32" s="379"/>
      <c r="Z32" s="225"/>
      <c r="AA32" s="379"/>
      <c r="AB32" s="225"/>
      <c r="AC32" s="379"/>
      <c r="AD32" s="225"/>
      <c r="AE32" s="379"/>
      <c r="AF32" s="165">
        <v>1.9173042</v>
      </c>
      <c r="AG32" s="379"/>
      <c r="AH32" s="165">
        <v>1.2665719</v>
      </c>
      <c r="AI32" s="379"/>
      <c r="AJ32" s="165">
        <v>1.1701277000000001</v>
      </c>
      <c r="AK32" s="379"/>
      <c r="AL32" s="165">
        <v>1.3410997</v>
      </c>
      <c r="AM32" s="379"/>
      <c r="AN32" s="165">
        <v>1.5605222000000001</v>
      </c>
      <c r="AO32" s="379"/>
      <c r="AP32" s="165">
        <v>1.4866832999999999</v>
      </c>
      <c r="AQ32" s="379"/>
      <c r="AR32" s="165">
        <v>1.059817</v>
      </c>
      <c r="AS32" s="379"/>
      <c r="AT32" s="165">
        <v>1.0389147000000001</v>
      </c>
      <c r="AU32" s="379"/>
      <c r="AV32" s="165">
        <v>0.73969960000000001</v>
      </c>
      <c r="AW32" s="379"/>
      <c r="AX32" s="165">
        <v>0.84321349999999995</v>
      </c>
      <c r="AY32" s="379"/>
      <c r="AZ32" s="165">
        <v>0.94286320000000001</v>
      </c>
      <c r="BA32" s="379"/>
      <c r="BB32" s="165">
        <v>1.5510093</v>
      </c>
      <c r="BC32" s="379"/>
      <c r="BD32" s="165">
        <v>0.96163019999999999</v>
      </c>
      <c r="BE32" s="379"/>
      <c r="BF32" s="165">
        <v>1.7537347000000001</v>
      </c>
      <c r="BG32" s="379"/>
      <c r="BH32" s="225"/>
      <c r="BI32" s="184"/>
      <c r="CJ32" s="150"/>
      <c r="CK32" s="150"/>
      <c r="CL32" s="150"/>
      <c r="CM32" s="151" t="s">
        <v>788</v>
      </c>
      <c r="CN32" s="150" t="s">
        <v>1130</v>
      </c>
      <c r="CO32" s="150"/>
      <c r="CP32" s="150"/>
      <c r="CQ32" s="150"/>
      <c r="CR32" s="150"/>
      <c r="CS32" s="150"/>
      <c r="CT32" s="150"/>
    </row>
    <row r="33" spans="1:98" s="12" customFormat="1" ht="25.5" customHeight="1">
      <c r="A33" s="26"/>
      <c r="B33" s="89" t="str">
        <f>Parameters!Q32</f>
        <v>C31-C33</v>
      </c>
      <c r="C33" s="90"/>
      <c r="D33" s="504" t="str">
        <f>Parameters!S32</f>
        <v>Manufacture of furniture; jewellery, musical instruments, toys; repair and installation of machinery and equipment</v>
      </c>
      <c r="E33" s="506"/>
      <c r="F33" s="252"/>
      <c r="G33" s="380"/>
      <c r="H33" s="253"/>
      <c r="I33" s="380"/>
      <c r="J33" s="253"/>
      <c r="K33" s="380"/>
      <c r="L33" s="253"/>
      <c r="M33" s="380"/>
      <c r="N33" s="253"/>
      <c r="O33" s="380"/>
      <c r="P33" s="253"/>
      <c r="Q33" s="380"/>
      <c r="R33" s="253"/>
      <c r="S33" s="380"/>
      <c r="T33" s="253"/>
      <c r="U33" s="380"/>
      <c r="V33" s="253"/>
      <c r="W33" s="380"/>
      <c r="X33" s="253"/>
      <c r="Y33" s="380"/>
      <c r="Z33" s="253"/>
      <c r="AA33" s="380"/>
      <c r="AB33" s="253"/>
      <c r="AC33" s="380"/>
      <c r="AD33" s="253"/>
      <c r="AE33" s="380"/>
      <c r="AF33" s="253">
        <v>3.5386103000000002</v>
      </c>
      <c r="AG33" s="380"/>
      <c r="AH33" s="253">
        <v>3.3491192000000001</v>
      </c>
      <c r="AI33" s="380"/>
      <c r="AJ33" s="253">
        <v>4.6274506999999998</v>
      </c>
      <c r="AK33" s="380"/>
      <c r="AL33" s="253">
        <v>3.5167625</v>
      </c>
      <c r="AM33" s="380"/>
      <c r="AN33" s="253">
        <v>3.9345786999999999</v>
      </c>
      <c r="AO33" s="380"/>
      <c r="AP33" s="253">
        <v>4.264221</v>
      </c>
      <c r="AQ33" s="380"/>
      <c r="AR33" s="253">
        <v>3.9169521</v>
      </c>
      <c r="AS33" s="380"/>
      <c r="AT33" s="253">
        <v>3.2398886</v>
      </c>
      <c r="AU33" s="380"/>
      <c r="AV33" s="253">
        <v>2.419753</v>
      </c>
      <c r="AW33" s="380"/>
      <c r="AX33" s="253">
        <v>1.9465479999999999</v>
      </c>
      <c r="AY33" s="380"/>
      <c r="AZ33" s="253">
        <v>2.3298969</v>
      </c>
      <c r="BA33" s="380"/>
      <c r="BB33" s="253">
        <v>2.2185207999999998</v>
      </c>
      <c r="BC33" s="380"/>
      <c r="BD33" s="253">
        <v>2.3305254</v>
      </c>
      <c r="BE33" s="380"/>
      <c r="BF33" s="253">
        <v>2.6207729</v>
      </c>
      <c r="BG33" s="380"/>
      <c r="BH33" s="253"/>
      <c r="BI33" s="254"/>
      <c r="CJ33" s="150"/>
      <c r="CK33" s="150"/>
      <c r="CL33" s="150"/>
      <c r="CM33" s="151"/>
      <c r="CN33" s="150"/>
      <c r="CO33" s="150"/>
      <c r="CP33" s="150"/>
      <c r="CQ33" s="150"/>
      <c r="CR33" s="150"/>
      <c r="CS33" s="150"/>
      <c r="CT33" s="150"/>
    </row>
    <row r="34" spans="1:98" s="12" customFormat="1" ht="12.75" customHeight="1">
      <c r="A34" s="310"/>
      <c r="B34" s="308" t="str">
        <f>Parameters!Q33</f>
        <v>C31_C32</v>
      </c>
      <c r="C34" s="309"/>
      <c r="D34" s="495" t="str">
        <f>Parameters!S33</f>
        <v>Manufacture of furniture; other manufacturing</v>
      </c>
      <c r="E34" s="496"/>
      <c r="F34" s="224"/>
      <c r="G34" s="379"/>
      <c r="H34" s="225"/>
      <c r="I34" s="379"/>
      <c r="J34" s="225"/>
      <c r="K34" s="379"/>
      <c r="L34" s="225"/>
      <c r="M34" s="379"/>
      <c r="N34" s="225"/>
      <c r="O34" s="379"/>
      <c r="P34" s="225"/>
      <c r="Q34" s="379"/>
      <c r="R34" s="225"/>
      <c r="S34" s="379"/>
      <c r="T34" s="225"/>
      <c r="U34" s="379"/>
      <c r="V34" s="225"/>
      <c r="W34" s="379"/>
      <c r="X34" s="225"/>
      <c r="Y34" s="379"/>
      <c r="Z34" s="225"/>
      <c r="AA34" s="379"/>
      <c r="AB34" s="225"/>
      <c r="AC34" s="379"/>
      <c r="AD34" s="225"/>
      <c r="AE34" s="379"/>
      <c r="AF34" s="165">
        <v>2.8765898999999999</v>
      </c>
      <c r="AG34" s="379"/>
      <c r="AH34" s="165">
        <v>2.6452575999999999</v>
      </c>
      <c r="AI34" s="379"/>
      <c r="AJ34" s="165">
        <v>2.2153125999999999</v>
      </c>
      <c r="AK34" s="379"/>
      <c r="AL34" s="165">
        <v>2.4612595000000002</v>
      </c>
      <c r="AM34" s="379"/>
      <c r="AN34" s="165">
        <v>3.0106628</v>
      </c>
      <c r="AO34" s="379"/>
      <c r="AP34" s="165">
        <v>3.5893685999999998</v>
      </c>
      <c r="AQ34" s="379"/>
      <c r="AR34" s="165">
        <v>3.0327912000000001</v>
      </c>
      <c r="AS34" s="379"/>
      <c r="AT34" s="165">
        <v>2.1207280000000002</v>
      </c>
      <c r="AU34" s="379"/>
      <c r="AV34" s="165">
        <v>1.0839761999999999</v>
      </c>
      <c r="AW34" s="379"/>
      <c r="AX34" s="165">
        <v>1.2611717</v>
      </c>
      <c r="AY34" s="379"/>
      <c r="AZ34" s="165">
        <v>1.3995525</v>
      </c>
      <c r="BA34" s="379"/>
      <c r="BB34" s="165">
        <v>1.2125946000000001</v>
      </c>
      <c r="BC34" s="379"/>
      <c r="BD34" s="165">
        <v>1.4129973</v>
      </c>
      <c r="BE34" s="379"/>
      <c r="BF34" s="165">
        <v>1.4989479000000001</v>
      </c>
      <c r="BG34" s="379"/>
      <c r="BH34" s="225"/>
      <c r="BI34" s="184"/>
      <c r="CJ34" s="150"/>
      <c r="CK34" s="150"/>
      <c r="CL34" s="150"/>
      <c r="CM34" s="151" t="s">
        <v>1137</v>
      </c>
      <c r="CN34" s="150" t="s">
        <v>1130</v>
      </c>
      <c r="CO34" s="150"/>
      <c r="CP34" s="150"/>
      <c r="CQ34" s="150"/>
      <c r="CR34" s="150"/>
      <c r="CS34" s="150"/>
      <c r="CT34" s="150"/>
    </row>
    <row r="35" spans="1:98" s="11" customFormat="1" ht="12.75" customHeight="1">
      <c r="A35" s="310"/>
      <c r="B35" s="308" t="str">
        <f>Parameters!Q34</f>
        <v>C33</v>
      </c>
      <c r="C35" s="309"/>
      <c r="D35" s="495" t="str">
        <f>Parameters!S34</f>
        <v>Repair and installation of machinery and equipment</v>
      </c>
      <c r="E35" s="510"/>
      <c r="F35" s="224"/>
      <c r="G35" s="379"/>
      <c r="H35" s="225"/>
      <c r="I35" s="379"/>
      <c r="J35" s="225"/>
      <c r="K35" s="379"/>
      <c r="L35" s="225"/>
      <c r="M35" s="379"/>
      <c r="N35" s="225"/>
      <c r="O35" s="379"/>
      <c r="P35" s="225"/>
      <c r="Q35" s="379"/>
      <c r="R35" s="225"/>
      <c r="S35" s="379"/>
      <c r="T35" s="225"/>
      <c r="U35" s="379"/>
      <c r="V35" s="225"/>
      <c r="W35" s="379"/>
      <c r="X35" s="225"/>
      <c r="Y35" s="379"/>
      <c r="Z35" s="225"/>
      <c r="AA35" s="379"/>
      <c r="AB35" s="225"/>
      <c r="AC35" s="379"/>
      <c r="AD35" s="225"/>
      <c r="AE35" s="379"/>
      <c r="AF35" s="165">
        <v>0.66202039999999995</v>
      </c>
      <c r="AG35" s="379"/>
      <c r="AH35" s="165">
        <v>0.70386159999999998</v>
      </c>
      <c r="AI35" s="379"/>
      <c r="AJ35" s="165">
        <v>2.4121381</v>
      </c>
      <c r="AK35" s="379"/>
      <c r="AL35" s="165">
        <v>1.0555030000000001</v>
      </c>
      <c r="AM35" s="379"/>
      <c r="AN35" s="165">
        <v>0.92391590000000001</v>
      </c>
      <c r="AO35" s="379"/>
      <c r="AP35" s="165">
        <v>0.67485240000000002</v>
      </c>
      <c r="AQ35" s="379"/>
      <c r="AR35" s="165">
        <v>0.88416090000000003</v>
      </c>
      <c r="AS35" s="379"/>
      <c r="AT35" s="165">
        <v>1.1191606000000001</v>
      </c>
      <c r="AU35" s="379"/>
      <c r="AV35" s="165">
        <v>1.3357768000000001</v>
      </c>
      <c r="AW35" s="379"/>
      <c r="AX35" s="165">
        <v>0.6853764</v>
      </c>
      <c r="AY35" s="379"/>
      <c r="AZ35" s="165">
        <v>0.93034439999999996</v>
      </c>
      <c r="BA35" s="379"/>
      <c r="BB35" s="165">
        <v>1.0059262</v>
      </c>
      <c r="BC35" s="379"/>
      <c r="BD35" s="165">
        <v>0.91752809999999996</v>
      </c>
      <c r="BE35" s="379"/>
      <c r="BF35" s="165">
        <v>1.1218249</v>
      </c>
      <c r="BG35" s="379"/>
      <c r="BH35" s="225"/>
      <c r="BI35" s="184"/>
      <c r="CJ35" s="150"/>
      <c r="CK35" s="150"/>
      <c r="CL35" s="150"/>
      <c r="CM35" s="151" t="s">
        <v>810</v>
      </c>
      <c r="CN35" s="150" t="s">
        <v>1130</v>
      </c>
      <c r="CO35" s="150"/>
      <c r="CP35" s="150"/>
      <c r="CQ35" s="150"/>
      <c r="CR35" s="150"/>
      <c r="CS35" s="150"/>
      <c r="CT35" s="150"/>
    </row>
    <row r="36" spans="1:98" s="10" customFormat="1" ht="12.75" customHeight="1">
      <c r="A36" s="25"/>
      <c r="B36" s="87" t="str">
        <f>Parameters!Q35</f>
        <v>D</v>
      </c>
      <c r="C36" s="88"/>
      <c r="D36" s="498" t="str">
        <f>Parameters!S35</f>
        <v>Electricity, gas, steam and air conditioning supply</v>
      </c>
      <c r="E36" s="496"/>
      <c r="F36" s="222"/>
      <c r="G36" s="379"/>
      <c r="H36" s="223"/>
      <c r="I36" s="379"/>
      <c r="J36" s="223"/>
      <c r="K36" s="379"/>
      <c r="L36" s="223"/>
      <c r="M36" s="379"/>
      <c r="N36" s="223"/>
      <c r="O36" s="379"/>
      <c r="P36" s="223"/>
      <c r="Q36" s="379"/>
      <c r="R36" s="223"/>
      <c r="S36" s="379"/>
      <c r="T36" s="223"/>
      <c r="U36" s="379"/>
      <c r="V36" s="223"/>
      <c r="W36" s="379"/>
      <c r="X36" s="223"/>
      <c r="Y36" s="379"/>
      <c r="Z36" s="223"/>
      <c r="AA36" s="379"/>
      <c r="AB36" s="223"/>
      <c r="AC36" s="379"/>
      <c r="AD36" s="223"/>
      <c r="AE36" s="379"/>
      <c r="AF36" s="164">
        <v>1057.0739257</v>
      </c>
      <c r="AG36" s="379"/>
      <c r="AH36" s="164">
        <v>1591.2103721000001</v>
      </c>
      <c r="AI36" s="379"/>
      <c r="AJ36" s="164">
        <v>1795.0939011</v>
      </c>
      <c r="AK36" s="379"/>
      <c r="AL36" s="164">
        <v>1654.4030283</v>
      </c>
      <c r="AM36" s="379"/>
      <c r="AN36" s="164">
        <v>1629.0905560000001</v>
      </c>
      <c r="AO36" s="379"/>
      <c r="AP36" s="164">
        <v>1695.7920096</v>
      </c>
      <c r="AQ36" s="379"/>
      <c r="AR36" s="164">
        <v>1701.0197450000001</v>
      </c>
      <c r="AS36" s="379"/>
      <c r="AT36" s="164">
        <v>1818.9524211</v>
      </c>
      <c r="AU36" s="379"/>
      <c r="AV36" s="164">
        <v>1875.3698996000001</v>
      </c>
      <c r="AW36" s="379"/>
      <c r="AX36" s="164">
        <v>1966.2040377999999</v>
      </c>
      <c r="AY36" s="379"/>
      <c r="AZ36" s="164">
        <v>1915.0349183999999</v>
      </c>
      <c r="BA36" s="379"/>
      <c r="BB36" s="164">
        <v>1996.9768931000001</v>
      </c>
      <c r="BC36" s="379"/>
      <c r="BD36" s="164">
        <v>1878.6171721999999</v>
      </c>
      <c r="BE36" s="379"/>
      <c r="BF36" s="164">
        <v>1964.492968</v>
      </c>
      <c r="BG36" s="379"/>
      <c r="BH36" s="223"/>
      <c r="BI36" s="184"/>
      <c r="CJ36" s="150"/>
      <c r="CK36" s="150"/>
      <c r="CL36" s="150"/>
      <c r="CM36" s="151" t="s">
        <v>275</v>
      </c>
      <c r="CN36" s="150" t="s">
        <v>1130</v>
      </c>
      <c r="CO36" s="150"/>
      <c r="CP36" s="150"/>
      <c r="CQ36" s="150"/>
      <c r="CR36" s="150"/>
      <c r="CS36" s="150"/>
      <c r="CT36" s="150"/>
    </row>
    <row r="37" spans="1:98" s="10" customFormat="1">
      <c r="A37" s="25"/>
      <c r="B37" s="87" t="str">
        <f>Parameters!Q36</f>
        <v>E</v>
      </c>
      <c r="C37" s="88"/>
      <c r="D37" s="498" t="str">
        <f>Parameters!S36</f>
        <v>Water supply; sewerage, waste management and remediation activities</v>
      </c>
      <c r="E37" s="499"/>
      <c r="F37" s="222"/>
      <c r="G37" s="379"/>
      <c r="H37" s="223"/>
      <c r="I37" s="379"/>
      <c r="J37" s="223"/>
      <c r="K37" s="379"/>
      <c r="L37" s="223"/>
      <c r="M37" s="379"/>
      <c r="N37" s="223"/>
      <c r="O37" s="379"/>
      <c r="P37" s="223"/>
      <c r="Q37" s="379"/>
      <c r="R37" s="223"/>
      <c r="S37" s="379"/>
      <c r="T37" s="223"/>
      <c r="U37" s="379"/>
      <c r="V37" s="223"/>
      <c r="W37" s="379"/>
      <c r="X37" s="223"/>
      <c r="Y37" s="379"/>
      <c r="Z37" s="223"/>
      <c r="AA37" s="379"/>
      <c r="AB37" s="223"/>
      <c r="AC37" s="379"/>
      <c r="AD37" s="223"/>
      <c r="AE37" s="379"/>
      <c r="AF37" s="164">
        <v>44628.3276052</v>
      </c>
      <c r="AG37" s="379"/>
      <c r="AH37" s="164">
        <v>45460.930622699998</v>
      </c>
      <c r="AI37" s="379"/>
      <c r="AJ37" s="164">
        <v>44664.361432199999</v>
      </c>
      <c r="AK37" s="379"/>
      <c r="AL37" s="164">
        <v>44318.196834299997</v>
      </c>
      <c r="AM37" s="379"/>
      <c r="AN37" s="164">
        <v>42826.121012800002</v>
      </c>
      <c r="AO37" s="379"/>
      <c r="AP37" s="164">
        <v>41635.0136872</v>
      </c>
      <c r="AQ37" s="379"/>
      <c r="AR37" s="164">
        <v>40710.048381799999</v>
      </c>
      <c r="AS37" s="379"/>
      <c r="AT37" s="164">
        <v>38296.771941400002</v>
      </c>
      <c r="AU37" s="379"/>
      <c r="AV37" s="164">
        <v>35966.823867400002</v>
      </c>
      <c r="AW37" s="379"/>
      <c r="AX37" s="164">
        <v>33792.3012504</v>
      </c>
      <c r="AY37" s="379"/>
      <c r="AZ37" s="164">
        <v>32546.1639354</v>
      </c>
      <c r="BA37" s="379"/>
      <c r="BB37" s="164">
        <v>30725.117181000001</v>
      </c>
      <c r="BC37" s="379"/>
      <c r="BD37" s="164">
        <v>28995.573754599998</v>
      </c>
      <c r="BE37" s="379"/>
      <c r="BF37" s="164">
        <v>28210.249279799998</v>
      </c>
      <c r="BG37" s="379"/>
      <c r="BH37" s="223"/>
      <c r="BI37" s="184"/>
      <c r="CJ37" s="150"/>
      <c r="CK37" s="150"/>
      <c r="CL37" s="150"/>
      <c r="CM37" s="151" t="s">
        <v>269</v>
      </c>
      <c r="CN37" s="150" t="s">
        <v>1130</v>
      </c>
      <c r="CO37" s="150"/>
      <c r="CP37" s="150"/>
      <c r="CQ37" s="150"/>
      <c r="CR37" s="150"/>
      <c r="CS37" s="150"/>
      <c r="CT37" s="150"/>
    </row>
    <row r="38" spans="1:98" s="11" customFormat="1" ht="12.75" customHeight="1">
      <c r="A38" s="310"/>
      <c r="B38" s="308" t="str">
        <f>Parameters!Q37</f>
        <v>E36</v>
      </c>
      <c r="C38" s="309"/>
      <c r="D38" s="495" t="str">
        <f>Parameters!S37</f>
        <v>Water collection, treatment and supply</v>
      </c>
      <c r="E38" s="510"/>
      <c r="F38" s="224"/>
      <c r="G38" s="379"/>
      <c r="H38" s="225"/>
      <c r="I38" s="379"/>
      <c r="J38" s="225"/>
      <c r="K38" s="379"/>
      <c r="L38" s="225"/>
      <c r="M38" s="379"/>
      <c r="N38" s="225"/>
      <c r="O38" s="379"/>
      <c r="P38" s="225"/>
      <c r="Q38" s="379"/>
      <c r="R38" s="225"/>
      <c r="S38" s="379"/>
      <c r="T38" s="225"/>
      <c r="U38" s="379"/>
      <c r="V38" s="225"/>
      <c r="W38" s="379"/>
      <c r="X38" s="225"/>
      <c r="Y38" s="379"/>
      <c r="Z38" s="225"/>
      <c r="AA38" s="379"/>
      <c r="AB38" s="225"/>
      <c r="AC38" s="379"/>
      <c r="AD38" s="225"/>
      <c r="AE38" s="379"/>
      <c r="AF38" s="165">
        <v>8.0567600000000003E-2</v>
      </c>
      <c r="AG38" s="379"/>
      <c r="AH38" s="165">
        <v>8.9514300000000005E-2</v>
      </c>
      <c r="AI38" s="379"/>
      <c r="AJ38" s="165">
        <v>0.21542410000000001</v>
      </c>
      <c r="AK38" s="379"/>
      <c r="AL38" s="165">
        <v>0.14266480000000001</v>
      </c>
      <c r="AM38" s="379"/>
      <c r="AN38" s="165">
        <v>0.1231448</v>
      </c>
      <c r="AO38" s="379"/>
      <c r="AP38" s="165">
        <v>0.1610106</v>
      </c>
      <c r="AQ38" s="379"/>
      <c r="AR38" s="165">
        <v>0.17044129999999999</v>
      </c>
      <c r="AS38" s="379"/>
      <c r="AT38" s="165">
        <v>0.15234700000000001</v>
      </c>
      <c r="AU38" s="379"/>
      <c r="AV38" s="165">
        <v>0.1777773</v>
      </c>
      <c r="AW38" s="379"/>
      <c r="AX38" s="165">
        <v>0.1233701</v>
      </c>
      <c r="AY38" s="379"/>
      <c r="AZ38" s="165">
        <v>0.1064906</v>
      </c>
      <c r="BA38" s="379"/>
      <c r="BB38" s="165">
        <v>9.5452099999999998E-2</v>
      </c>
      <c r="BC38" s="379"/>
      <c r="BD38" s="165">
        <v>9.8244700000000004E-2</v>
      </c>
      <c r="BE38" s="379"/>
      <c r="BF38" s="165">
        <v>0.19459290000000001</v>
      </c>
      <c r="BG38" s="379"/>
      <c r="BH38" s="225"/>
      <c r="BI38" s="184"/>
      <c r="CJ38" s="150"/>
      <c r="CK38" s="150"/>
      <c r="CL38" s="150"/>
      <c r="CM38" s="151" t="s">
        <v>824</v>
      </c>
      <c r="CN38" s="150" t="s">
        <v>1130</v>
      </c>
      <c r="CO38" s="150"/>
      <c r="CP38" s="150"/>
      <c r="CQ38" s="150"/>
      <c r="CR38" s="150"/>
      <c r="CS38" s="150"/>
      <c r="CT38" s="150"/>
    </row>
    <row r="39" spans="1:98" s="11" customFormat="1" ht="12.75" customHeight="1">
      <c r="A39" s="310"/>
      <c r="B39" s="308" t="str">
        <f>Parameters!Q38</f>
        <v>E37-E39</v>
      </c>
      <c r="C39" s="309"/>
      <c r="D39" s="495" t="str">
        <f>Parameters!S38</f>
        <v>Sewerage, waste management, remediation activities</v>
      </c>
      <c r="E39" s="510"/>
      <c r="F39" s="224"/>
      <c r="G39" s="379"/>
      <c r="H39" s="225"/>
      <c r="I39" s="379"/>
      <c r="J39" s="225"/>
      <c r="K39" s="379"/>
      <c r="L39" s="225"/>
      <c r="M39" s="379"/>
      <c r="N39" s="225"/>
      <c r="O39" s="379"/>
      <c r="P39" s="225"/>
      <c r="Q39" s="379"/>
      <c r="R39" s="225"/>
      <c r="S39" s="379"/>
      <c r="T39" s="225"/>
      <c r="U39" s="379"/>
      <c r="V39" s="225"/>
      <c r="W39" s="379"/>
      <c r="X39" s="225"/>
      <c r="Y39" s="379"/>
      <c r="Z39" s="225"/>
      <c r="AA39" s="379"/>
      <c r="AB39" s="225"/>
      <c r="AC39" s="379"/>
      <c r="AD39" s="225"/>
      <c r="AE39" s="379"/>
      <c r="AF39" s="165">
        <v>44628.247037599998</v>
      </c>
      <c r="AG39" s="379"/>
      <c r="AH39" s="165">
        <v>45460.841108400004</v>
      </c>
      <c r="AI39" s="379"/>
      <c r="AJ39" s="165">
        <v>44664.146008099997</v>
      </c>
      <c r="AK39" s="379"/>
      <c r="AL39" s="165">
        <v>44318.054169499999</v>
      </c>
      <c r="AM39" s="379"/>
      <c r="AN39" s="165">
        <v>42825.997867999999</v>
      </c>
      <c r="AO39" s="379"/>
      <c r="AP39" s="165">
        <v>41634.8526766</v>
      </c>
      <c r="AQ39" s="379"/>
      <c r="AR39" s="165">
        <v>40709.877940500002</v>
      </c>
      <c r="AS39" s="379"/>
      <c r="AT39" s="165">
        <v>38296.6195945</v>
      </c>
      <c r="AU39" s="379"/>
      <c r="AV39" s="165">
        <v>35966.646090100003</v>
      </c>
      <c r="AW39" s="379"/>
      <c r="AX39" s="165">
        <v>33792.177880299998</v>
      </c>
      <c r="AY39" s="379"/>
      <c r="AZ39" s="165">
        <v>32546.057444800001</v>
      </c>
      <c r="BA39" s="379"/>
      <c r="BB39" s="165">
        <v>30725.021728899999</v>
      </c>
      <c r="BC39" s="379"/>
      <c r="BD39" s="165">
        <v>28995.475509899999</v>
      </c>
      <c r="BE39" s="379"/>
      <c r="BF39" s="165">
        <v>28210.054686799998</v>
      </c>
      <c r="BG39" s="379"/>
      <c r="BH39" s="225"/>
      <c r="BI39" s="184"/>
      <c r="CJ39" s="150"/>
      <c r="CK39" s="150"/>
      <c r="CL39" s="150"/>
      <c r="CM39" s="151" t="s">
        <v>1138</v>
      </c>
      <c r="CN39" s="150" t="s">
        <v>1130</v>
      </c>
      <c r="CO39" s="150"/>
      <c r="CP39" s="150"/>
      <c r="CQ39" s="150"/>
      <c r="CR39" s="150"/>
      <c r="CS39" s="150"/>
      <c r="CT39" s="150"/>
    </row>
    <row r="40" spans="1:98" s="10" customFormat="1" ht="12.75" customHeight="1">
      <c r="A40" s="27"/>
      <c r="B40" s="87" t="str">
        <f>Parameters!Q39</f>
        <v>F</v>
      </c>
      <c r="C40" s="88"/>
      <c r="D40" s="498" t="str">
        <f>Parameters!S39</f>
        <v>Construction</v>
      </c>
      <c r="E40" s="496"/>
      <c r="F40" s="222"/>
      <c r="G40" s="379"/>
      <c r="H40" s="223"/>
      <c r="I40" s="379"/>
      <c r="J40" s="223"/>
      <c r="K40" s="379"/>
      <c r="L40" s="223"/>
      <c r="M40" s="379"/>
      <c r="N40" s="223"/>
      <c r="O40" s="379"/>
      <c r="P40" s="223"/>
      <c r="Q40" s="379"/>
      <c r="R40" s="223"/>
      <c r="S40" s="379"/>
      <c r="T40" s="223"/>
      <c r="U40" s="379"/>
      <c r="V40" s="223"/>
      <c r="W40" s="379"/>
      <c r="X40" s="223"/>
      <c r="Y40" s="379"/>
      <c r="Z40" s="223"/>
      <c r="AA40" s="379"/>
      <c r="AB40" s="223"/>
      <c r="AC40" s="379"/>
      <c r="AD40" s="223"/>
      <c r="AE40" s="379"/>
      <c r="AF40" s="164">
        <v>73.540741699999998</v>
      </c>
      <c r="AG40" s="379"/>
      <c r="AH40" s="164">
        <v>66.382169899999994</v>
      </c>
      <c r="AI40" s="379"/>
      <c r="AJ40" s="164">
        <v>67.443919800000003</v>
      </c>
      <c r="AK40" s="379"/>
      <c r="AL40" s="164">
        <v>63.087050400000003</v>
      </c>
      <c r="AM40" s="379"/>
      <c r="AN40" s="164">
        <v>69.634697299999999</v>
      </c>
      <c r="AO40" s="379"/>
      <c r="AP40" s="164">
        <v>77.2947676</v>
      </c>
      <c r="AQ40" s="379"/>
      <c r="AR40" s="164">
        <v>72.277925300000007</v>
      </c>
      <c r="AS40" s="379"/>
      <c r="AT40" s="164">
        <v>72.776263200000002</v>
      </c>
      <c r="AU40" s="379"/>
      <c r="AV40" s="164">
        <v>71.534905300000005</v>
      </c>
      <c r="AW40" s="379"/>
      <c r="AX40" s="164">
        <v>80.343663000000006</v>
      </c>
      <c r="AY40" s="379"/>
      <c r="AZ40" s="164">
        <v>84.025411500000004</v>
      </c>
      <c r="BA40" s="379"/>
      <c r="BB40" s="164">
        <v>77.359414000000001</v>
      </c>
      <c r="BC40" s="379"/>
      <c r="BD40" s="164">
        <v>64.421009799999993</v>
      </c>
      <c r="BE40" s="379"/>
      <c r="BF40" s="164">
        <v>68.850789399999996</v>
      </c>
      <c r="BG40" s="379"/>
      <c r="BH40" s="223"/>
      <c r="BI40" s="184"/>
      <c r="CJ40" s="150"/>
      <c r="CK40" s="150"/>
      <c r="CL40" s="150"/>
      <c r="CM40" s="151" t="s">
        <v>834</v>
      </c>
      <c r="CN40" s="150" t="s">
        <v>1130</v>
      </c>
      <c r="CO40" s="150"/>
      <c r="CP40" s="150"/>
      <c r="CQ40" s="150"/>
      <c r="CR40" s="150"/>
      <c r="CS40" s="150"/>
      <c r="CT40" s="150"/>
    </row>
    <row r="41" spans="1:98" s="10" customFormat="1">
      <c r="A41" s="25"/>
      <c r="B41" s="87" t="str">
        <f>Parameters!Q40</f>
        <v>G</v>
      </c>
      <c r="C41" s="88"/>
      <c r="D41" s="498" t="str">
        <f>Parameters!S40</f>
        <v>Wholesale and retail trade; repair of motor vehicles and motorcycles</v>
      </c>
      <c r="E41" s="499"/>
      <c r="F41" s="222"/>
      <c r="G41" s="379"/>
      <c r="H41" s="223"/>
      <c r="I41" s="379"/>
      <c r="J41" s="223"/>
      <c r="K41" s="379"/>
      <c r="L41" s="223"/>
      <c r="M41" s="379"/>
      <c r="N41" s="223"/>
      <c r="O41" s="379"/>
      <c r="P41" s="223"/>
      <c r="Q41" s="379"/>
      <c r="R41" s="223"/>
      <c r="S41" s="379"/>
      <c r="T41" s="223"/>
      <c r="U41" s="379"/>
      <c r="V41" s="223"/>
      <c r="W41" s="379"/>
      <c r="X41" s="223"/>
      <c r="Y41" s="379"/>
      <c r="Z41" s="223"/>
      <c r="AA41" s="379"/>
      <c r="AB41" s="223"/>
      <c r="AC41" s="379"/>
      <c r="AD41" s="223"/>
      <c r="AE41" s="379"/>
      <c r="AF41" s="164">
        <v>77.973807600000001</v>
      </c>
      <c r="AG41" s="379"/>
      <c r="AH41" s="164">
        <v>73.6217793</v>
      </c>
      <c r="AI41" s="379"/>
      <c r="AJ41" s="164">
        <v>68.709208899999993</v>
      </c>
      <c r="AK41" s="379"/>
      <c r="AL41" s="164">
        <v>62.799076700000001</v>
      </c>
      <c r="AM41" s="379"/>
      <c r="AN41" s="164">
        <v>55.2892115</v>
      </c>
      <c r="AO41" s="379"/>
      <c r="AP41" s="164">
        <v>60.086910099999997</v>
      </c>
      <c r="AQ41" s="379"/>
      <c r="AR41" s="164">
        <v>46.576479499999998</v>
      </c>
      <c r="AS41" s="379"/>
      <c r="AT41" s="164">
        <v>41.146893499999997</v>
      </c>
      <c r="AU41" s="379"/>
      <c r="AV41" s="164">
        <v>47.8069652</v>
      </c>
      <c r="AW41" s="379"/>
      <c r="AX41" s="164">
        <v>43.793520100000002</v>
      </c>
      <c r="AY41" s="379"/>
      <c r="AZ41" s="164">
        <v>40.662774200000001</v>
      </c>
      <c r="BA41" s="379"/>
      <c r="BB41" s="164">
        <v>50.206823</v>
      </c>
      <c r="BC41" s="379"/>
      <c r="BD41" s="164">
        <v>42.614121599999997</v>
      </c>
      <c r="BE41" s="379"/>
      <c r="BF41" s="164">
        <v>42.865665900000003</v>
      </c>
      <c r="BG41" s="379"/>
      <c r="BH41" s="223"/>
      <c r="BI41" s="184"/>
      <c r="CJ41" s="150"/>
      <c r="CK41" s="150"/>
      <c r="CL41" s="150"/>
      <c r="CM41" s="151" t="s">
        <v>839</v>
      </c>
      <c r="CN41" s="150" t="s">
        <v>1130</v>
      </c>
      <c r="CO41" s="150"/>
      <c r="CP41" s="150"/>
      <c r="CQ41" s="150"/>
      <c r="CR41" s="150"/>
      <c r="CS41" s="150"/>
      <c r="CT41" s="150"/>
    </row>
    <row r="42" spans="1:98" s="10" customFormat="1" ht="12.75" customHeight="1">
      <c r="A42" s="310"/>
      <c r="B42" s="308" t="str">
        <f>Parameters!Q41</f>
        <v>G45</v>
      </c>
      <c r="C42" s="309"/>
      <c r="D42" s="495" t="str">
        <f>Parameters!S41</f>
        <v>Wholesale and retail trade and repair of motor vehicles and motorcycles</v>
      </c>
      <c r="E42" s="496"/>
      <c r="F42" s="224"/>
      <c r="G42" s="379"/>
      <c r="H42" s="225"/>
      <c r="I42" s="379"/>
      <c r="J42" s="225"/>
      <c r="K42" s="379"/>
      <c r="L42" s="225"/>
      <c r="M42" s="379"/>
      <c r="N42" s="225"/>
      <c r="O42" s="379"/>
      <c r="P42" s="225"/>
      <c r="Q42" s="379"/>
      <c r="R42" s="225"/>
      <c r="S42" s="379"/>
      <c r="T42" s="225"/>
      <c r="U42" s="379"/>
      <c r="V42" s="225"/>
      <c r="W42" s="379"/>
      <c r="X42" s="225"/>
      <c r="Y42" s="379"/>
      <c r="Z42" s="225"/>
      <c r="AA42" s="379"/>
      <c r="AB42" s="225"/>
      <c r="AC42" s="379"/>
      <c r="AD42" s="225"/>
      <c r="AE42" s="379"/>
      <c r="AF42" s="165">
        <v>21.0790343</v>
      </c>
      <c r="AG42" s="379"/>
      <c r="AH42" s="165">
        <v>19.660049900000001</v>
      </c>
      <c r="AI42" s="379"/>
      <c r="AJ42" s="165">
        <v>19.5088823</v>
      </c>
      <c r="AK42" s="379"/>
      <c r="AL42" s="165">
        <v>16.746901699999999</v>
      </c>
      <c r="AM42" s="379"/>
      <c r="AN42" s="165">
        <v>15.4276055</v>
      </c>
      <c r="AO42" s="379"/>
      <c r="AP42" s="165">
        <v>14.9572261</v>
      </c>
      <c r="AQ42" s="379"/>
      <c r="AR42" s="165">
        <v>12.510916699999999</v>
      </c>
      <c r="AS42" s="379"/>
      <c r="AT42" s="165">
        <v>12.0647175</v>
      </c>
      <c r="AU42" s="379"/>
      <c r="AV42" s="165">
        <v>15.5514236</v>
      </c>
      <c r="AW42" s="379"/>
      <c r="AX42" s="165">
        <v>14.548193299999999</v>
      </c>
      <c r="AY42" s="379"/>
      <c r="AZ42" s="165">
        <v>9.8917397999999999</v>
      </c>
      <c r="BA42" s="379"/>
      <c r="BB42" s="165">
        <v>6.9967715999999998</v>
      </c>
      <c r="BC42" s="379"/>
      <c r="BD42" s="165">
        <v>5.0484375000000004</v>
      </c>
      <c r="BE42" s="379"/>
      <c r="BF42" s="165">
        <v>5.5757754000000004</v>
      </c>
      <c r="BG42" s="379"/>
      <c r="BH42" s="225"/>
      <c r="BI42" s="184"/>
      <c r="CJ42" s="150"/>
      <c r="CK42" s="150"/>
      <c r="CL42" s="150"/>
      <c r="CM42" s="151" t="s">
        <v>844</v>
      </c>
      <c r="CN42" s="150" t="s">
        <v>1130</v>
      </c>
      <c r="CO42" s="150"/>
      <c r="CP42" s="150"/>
      <c r="CQ42" s="150"/>
      <c r="CR42" s="150"/>
      <c r="CS42" s="150"/>
      <c r="CT42" s="150"/>
    </row>
    <row r="43" spans="1:98" s="11" customFormat="1" ht="12.75" customHeight="1">
      <c r="A43" s="310"/>
      <c r="B43" s="308" t="str">
        <f>Parameters!Q42</f>
        <v>G46</v>
      </c>
      <c r="C43" s="309"/>
      <c r="D43" s="495" t="str">
        <f>Parameters!S42</f>
        <v>Wholesale trade, except of motor vehicles and motorcycles</v>
      </c>
      <c r="E43" s="496"/>
      <c r="F43" s="224"/>
      <c r="G43" s="379"/>
      <c r="H43" s="225"/>
      <c r="I43" s="379"/>
      <c r="J43" s="225"/>
      <c r="K43" s="379"/>
      <c r="L43" s="225"/>
      <c r="M43" s="379"/>
      <c r="N43" s="225"/>
      <c r="O43" s="379"/>
      <c r="P43" s="225"/>
      <c r="Q43" s="379"/>
      <c r="R43" s="225"/>
      <c r="S43" s="379"/>
      <c r="T43" s="225"/>
      <c r="U43" s="379"/>
      <c r="V43" s="225"/>
      <c r="W43" s="379"/>
      <c r="X43" s="225"/>
      <c r="Y43" s="379"/>
      <c r="Z43" s="225"/>
      <c r="AA43" s="379"/>
      <c r="AB43" s="225"/>
      <c r="AC43" s="379"/>
      <c r="AD43" s="225"/>
      <c r="AE43" s="379"/>
      <c r="AF43" s="165">
        <v>20.0283123</v>
      </c>
      <c r="AG43" s="379"/>
      <c r="AH43" s="165">
        <v>21.465692700000002</v>
      </c>
      <c r="AI43" s="379"/>
      <c r="AJ43" s="165">
        <v>26.6716622</v>
      </c>
      <c r="AK43" s="379"/>
      <c r="AL43" s="165">
        <v>23.1057828</v>
      </c>
      <c r="AM43" s="379"/>
      <c r="AN43" s="165">
        <v>19.990941299999999</v>
      </c>
      <c r="AO43" s="379"/>
      <c r="AP43" s="165">
        <v>26.417987400000001</v>
      </c>
      <c r="AQ43" s="379"/>
      <c r="AR43" s="165">
        <v>20.3810346</v>
      </c>
      <c r="AS43" s="379"/>
      <c r="AT43" s="165">
        <v>17.155396</v>
      </c>
      <c r="AU43" s="379"/>
      <c r="AV43" s="165">
        <v>19.723949300000001</v>
      </c>
      <c r="AW43" s="379"/>
      <c r="AX43" s="165">
        <v>18.766535999999999</v>
      </c>
      <c r="AY43" s="379"/>
      <c r="AZ43" s="165">
        <v>18.913058299999999</v>
      </c>
      <c r="BA43" s="379"/>
      <c r="BB43" s="165">
        <v>25.149047400000001</v>
      </c>
      <c r="BC43" s="379"/>
      <c r="BD43" s="165">
        <v>25.644209499999999</v>
      </c>
      <c r="BE43" s="379"/>
      <c r="BF43" s="165">
        <v>31.638141000000001</v>
      </c>
      <c r="BG43" s="379"/>
      <c r="BH43" s="225"/>
      <c r="BI43" s="184"/>
      <c r="CJ43" s="150"/>
      <c r="CK43" s="150"/>
      <c r="CL43" s="150"/>
      <c r="CM43" s="151" t="s">
        <v>848</v>
      </c>
      <c r="CN43" s="150" t="s">
        <v>1130</v>
      </c>
      <c r="CO43" s="150"/>
      <c r="CP43" s="150"/>
      <c r="CQ43" s="150"/>
      <c r="CR43" s="150"/>
      <c r="CS43" s="150"/>
      <c r="CT43" s="150"/>
    </row>
    <row r="44" spans="1:98" s="11" customFormat="1" ht="12.75" customHeight="1">
      <c r="A44" s="310"/>
      <c r="B44" s="308" t="str">
        <f>Parameters!Q43</f>
        <v>G47</v>
      </c>
      <c r="C44" s="309"/>
      <c r="D44" s="495" t="str">
        <f>Parameters!S43</f>
        <v>Retail trade, except of motor vehicles and motorcycles</v>
      </c>
      <c r="E44" s="496"/>
      <c r="F44" s="224"/>
      <c r="G44" s="379"/>
      <c r="H44" s="225"/>
      <c r="I44" s="379"/>
      <c r="J44" s="225"/>
      <c r="K44" s="379"/>
      <c r="L44" s="225"/>
      <c r="M44" s="379"/>
      <c r="N44" s="225"/>
      <c r="O44" s="379"/>
      <c r="P44" s="225"/>
      <c r="Q44" s="379"/>
      <c r="R44" s="225"/>
      <c r="S44" s="379"/>
      <c r="T44" s="225"/>
      <c r="U44" s="379"/>
      <c r="V44" s="225"/>
      <c r="W44" s="379"/>
      <c r="X44" s="225"/>
      <c r="Y44" s="379"/>
      <c r="Z44" s="225"/>
      <c r="AA44" s="379"/>
      <c r="AB44" s="225"/>
      <c r="AC44" s="379"/>
      <c r="AD44" s="225"/>
      <c r="AE44" s="379"/>
      <c r="AF44" s="165">
        <v>36.866461000000001</v>
      </c>
      <c r="AG44" s="379"/>
      <c r="AH44" s="165">
        <v>32.496036699999998</v>
      </c>
      <c r="AI44" s="379"/>
      <c r="AJ44" s="165">
        <v>22.5286644</v>
      </c>
      <c r="AK44" s="379"/>
      <c r="AL44" s="165">
        <v>22.946392199999998</v>
      </c>
      <c r="AM44" s="379"/>
      <c r="AN44" s="165">
        <v>19.870664699999999</v>
      </c>
      <c r="AO44" s="379"/>
      <c r="AP44" s="165">
        <v>18.711696499999999</v>
      </c>
      <c r="AQ44" s="379"/>
      <c r="AR44" s="165">
        <v>13.6845281</v>
      </c>
      <c r="AS44" s="379"/>
      <c r="AT44" s="165">
        <v>11.9267799</v>
      </c>
      <c r="AU44" s="379"/>
      <c r="AV44" s="165">
        <v>12.531592399999999</v>
      </c>
      <c r="AW44" s="379"/>
      <c r="AX44" s="165">
        <v>10.478790800000001</v>
      </c>
      <c r="AY44" s="379"/>
      <c r="AZ44" s="165">
        <v>11.8579761</v>
      </c>
      <c r="BA44" s="379"/>
      <c r="BB44" s="165">
        <v>18.061004000000001</v>
      </c>
      <c r="BC44" s="379"/>
      <c r="BD44" s="165">
        <v>11.9214746</v>
      </c>
      <c r="BE44" s="379"/>
      <c r="BF44" s="165">
        <v>5.6517493999999999</v>
      </c>
      <c r="BG44" s="379"/>
      <c r="BH44" s="225"/>
      <c r="BI44" s="184"/>
      <c r="CJ44" s="150"/>
      <c r="CK44" s="150"/>
      <c r="CL44" s="150"/>
      <c r="CM44" s="151" t="s">
        <v>854</v>
      </c>
      <c r="CN44" s="150" t="s">
        <v>1130</v>
      </c>
      <c r="CO44" s="150"/>
      <c r="CP44" s="150"/>
      <c r="CQ44" s="150"/>
      <c r="CR44" s="150"/>
      <c r="CS44" s="150"/>
      <c r="CT44" s="150"/>
    </row>
    <row r="45" spans="1:98" s="11" customFormat="1" ht="12.75" customHeight="1">
      <c r="A45" s="25"/>
      <c r="B45" s="87" t="str">
        <f>Parameters!Q44</f>
        <v>H</v>
      </c>
      <c r="C45" s="88"/>
      <c r="D45" s="498" t="str">
        <f>Parameters!S44</f>
        <v>Transportation and storage</v>
      </c>
      <c r="E45" s="499"/>
      <c r="F45" s="222"/>
      <c r="G45" s="379"/>
      <c r="H45" s="223"/>
      <c r="I45" s="379"/>
      <c r="J45" s="223"/>
      <c r="K45" s="379"/>
      <c r="L45" s="223"/>
      <c r="M45" s="379"/>
      <c r="N45" s="223"/>
      <c r="O45" s="379"/>
      <c r="P45" s="223"/>
      <c r="Q45" s="379"/>
      <c r="R45" s="223"/>
      <c r="S45" s="379"/>
      <c r="T45" s="223"/>
      <c r="U45" s="379"/>
      <c r="V45" s="223"/>
      <c r="W45" s="379"/>
      <c r="X45" s="223"/>
      <c r="Y45" s="379"/>
      <c r="Z45" s="223"/>
      <c r="AA45" s="379"/>
      <c r="AB45" s="223"/>
      <c r="AC45" s="379"/>
      <c r="AD45" s="223"/>
      <c r="AE45" s="379"/>
      <c r="AF45" s="164">
        <v>2931.2086694999998</v>
      </c>
      <c r="AG45" s="379"/>
      <c r="AH45" s="164">
        <v>3113.2471608000001</v>
      </c>
      <c r="AI45" s="379"/>
      <c r="AJ45" s="164">
        <v>3350.8901268</v>
      </c>
      <c r="AK45" s="379"/>
      <c r="AL45" s="164">
        <v>4066.9104087999999</v>
      </c>
      <c r="AM45" s="379"/>
      <c r="AN45" s="164">
        <v>4618.2812596000003</v>
      </c>
      <c r="AO45" s="379"/>
      <c r="AP45" s="164">
        <v>4984.5337232000002</v>
      </c>
      <c r="AQ45" s="379"/>
      <c r="AR45" s="164">
        <v>5332.132756</v>
      </c>
      <c r="AS45" s="379"/>
      <c r="AT45" s="164">
        <v>7226.7601747999997</v>
      </c>
      <c r="AU45" s="379"/>
      <c r="AV45" s="164">
        <v>6750.4566115999996</v>
      </c>
      <c r="AW45" s="379"/>
      <c r="AX45" s="164">
        <v>6984.8711438999999</v>
      </c>
      <c r="AY45" s="379"/>
      <c r="AZ45" s="164">
        <v>6580.5409999000003</v>
      </c>
      <c r="BA45" s="379"/>
      <c r="BB45" s="164">
        <v>6612.1203937999999</v>
      </c>
      <c r="BC45" s="379"/>
      <c r="BD45" s="164">
        <v>6674.9304935999999</v>
      </c>
      <c r="BE45" s="379"/>
      <c r="BF45" s="164">
        <v>6756.9199515999999</v>
      </c>
      <c r="BG45" s="379"/>
      <c r="BH45" s="223"/>
      <c r="BI45" s="184"/>
      <c r="CJ45" s="150"/>
      <c r="CK45" s="150"/>
      <c r="CL45" s="150"/>
      <c r="CM45" s="151" t="s">
        <v>862</v>
      </c>
      <c r="CN45" s="150" t="s">
        <v>1130</v>
      </c>
      <c r="CO45" s="150"/>
      <c r="CP45" s="150"/>
      <c r="CQ45" s="150"/>
      <c r="CR45" s="150"/>
      <c r="CS45" s="150"/>
      <c r="CT45" s="150"/>
    </row>
    <row r="46" spans="1:98" s="10" customFormat="1" ht="12.75" customHeight="1">
      <c r="A46" s="310"/>
      <c r="B46" s="308" t="str">
        <f>Parameters!Q45</f>
        <v>H49</v>
      </c>
      <c r="C46" s="309"/>
      <c r="D46" s="495" t="str">
        <f>Parameters!S45</f>
        <v>Land transport and transport via pipelines</v>
      </c>
      <c r="E46" s="496"/>
      <c r="F46" s="224"/>
      <c r="G46" s="379"/>
      <c r="H46" s="225"/>
      <c r="I46" s="379"/>
      <c r="J46" s="225"/>
      <c r="K46" s="379"/>
      <c r="L46" s="225"/>
      <c r="M46" s="379"/>
      <c r="N46" s="225"/>
      <c r="O46" s="379"/>
      <c r="P46" s="225"/>
      <c r="Q46" s="379"/>
      <c r="R46" s="225"/>
      <c r="S46" s="379"/>
      <c r="T46" s="225"/>
      <c r="U46" s="379"/>
      <c r="V46" s="225"/>
      <c r="W46" s="379"/>
      <c r="X46" s="225"/>
      <c r="Y46" s="379"/>
      <c r="Z46" s="225"/>
      <c r="AA46" s="379"/>
      <c r="AB46" s="225"/>
      <c r="AC46" s="379"/>
      <c r="AD46" s="225"/>
      <c r="AE46" s="379"/>
      <c r="AF46" s="165">
        <v>97.211316299999993</v>
      </c>
      <c r="AG46" s="379"/>
      <c r="AH46" s="165">
        <v>97.210369999999998</v>
      </c>
      <c r="AI46" s="379"/>
      <c r="AJ46" s="165">
        <v>120.97114139999999</v>
      </c>
      <c r="AK46" s="379"/>
      <c r="AL46" s="165">
        <v>135.86714749999999</v>
      </c>
      <c r="AM46" s="379"/>
      <c r="AN46" s="165">
        <v>248.13197529999999</v>
      </c>
      <c r="AO46" s="379"/>
      <c r="AP46" s="165">
        <v>286.91557390000003</v>
      </c>
      <c r="AQ46" s="379"/>
      <c r="AR46" s="165">
        <v>300.25111600000002</v>
      </c>
      <c r="AS46" s="379"/>
      <c r="AT46" s="165">
        <v>339.92820289999997</v>
      </c>
      <c r="AU46" s="379"/>
      <c r="AV46" s="165">
        <v>335.57865659999999</v>
      </c>
      <c r="AW46" s="379"/>
      <c r="AX46" s="165">
        <v>377.23650529999998</v>
      </c>
      <c r="AY46" s="379"/>
      <c r="AZ46" s="165">
        <v>377.6900387</v>
      </c>
      <c r="BA46" s="379"/>
      <c r="BB46" s="165">
        <v>392.90464839999999</v>
      </c>
      <c r="BC46" s="379"/>
      <c r="BD46" s="165">
        <v>362.92990520000001</v>
      </c>
      <c r="BE46" s="379"/>
      <c r="BF46" s="165">
        <v>387.37203909999999</v>
      </c>
      <c r="BG46" s="379"/>
      <c r="BH46" s="225"/>
      <c r="BI46" s="184"/>
      <c r="CJ46" s="150"/>
      <c r="CK46" s="150"/>
      <c r="CL46" s="150"/>
      <c r="CM46" s="151" t="s">
        <v>869</v>
      </c>
      <c r="CN46" s="150" t="s">
        <v>1130</v>
      </c>
      <c r="CO46" s="150"/>
      <c r="CP46" s="150"/>
      <c r="CQ46" s="150"/>
      <c r="CR46" s="150"/>
      <c r="CS46" s="150"/>
      <c r="CT46" s="150"/>
    </row>
    <row r="47" spans="1:98" s="10" customFormat="1" ht="12.75" customHeight="1">
      <c r="A47" s="310"/>
      <c r="B47" s="308" t="str">
        <f>Parameters!Q46</f>
        <v>H50</v>
      </c>
      <c r="C47" s="309"/>
      <c r="D47" s="495" t="str">
        <f>Parameters!S46</f>
        <v>Water transport</v>
      </c>
      <c r="E47" s="497"/>
      <c r="F47" s="224"/>
      <c r="G47" s="379"/>
      <c r="H47" s="225"/>
      <c r="I47" s="379"/>
      <c r="J47" s="225"/>
      <c r="K47" s="379"/>
      <c r="L47" s="225"/>
      <c r="M47" s="379"/>
      <c r="N47" s="225"/>
      <c r="O47" s="379"/>
      <c r="P47" s="225"/>
      <c r="Q47" s="379"/>
      <c r="R47" s="225"/>
      <c r="S47" s="379"/>
      <c r="T47" s="225"/>
      <c r="U47" s="379"/>
      <c r="V47" s="225"/>
      <c r="W47" s="379"/>
      <c r="X47" s="225"/>
      <c r="Y47" s="379"/>
      <c r="Z47" s="225"/>
      <c r="AA47" s="379"/>
      <c r="AB47" s="225"/>
      <c r="AC47" s="379"/>
      <c r="AD47" s="225"/>
      <c r="AE47" s="379"/>
      <c r="AF47" s="165">
        <v>2776.1785288000001</v>
      </c>
      <c r="AG47" s="379"/>
      <c r="AH47" s="165">
        <v>2956.9373313000001</v>
      </c>
      <c r="AI47" s="379"/>
      <c r="AJ47" s="165">
        <v>3168.6606327999998</v>
      </c>
      <c r="AK47" s="379"/>
      <c r="AL47" s="165">
        <v>3864.1128106000001</v>
      </c>
      <c r="AM47" s="379"/>
      <c r="AN47" s="165">
        <v>4304.4286129000002</v>
      </c>
      <c r="AO47" s="379"/>
      <c r="AP47" s="165">
        <v>4625.0194518999997</v>
      </c>
      <c r="AQ47" s="379"/>
      <c r="AR47" s="165">
        <v>4961.6679086000004</v>
      </c>
      <c r="AS47" s="379"/>
      <c r="AT47" s="165">
        <v>6815.0886017000003</v>
      </c>
      <c r="AU47" s="379"/>
      <c r="AV47" s="165">
        <v>6345.6887139999999</v>
      </c>
      <c r="AW47" s="379"/>
      <c r="AX47" s="165">
        <v>6535.5746053000003</v>
      </c>
      <c r="AY47" s="379"/>
      <c r="AZ47" s="165">
        <v>6129.6468455000004</v>
      </c>
      <c r="BA47" s="379"/>
      <c r="BB47" s="165">
        <v>6145.1551202999999</v>
      </c>
      <c r="BC47" s="379"/>
      <c r="BD47" s="165">
        <v>6257.6539648999997</v>
      </c>
      <c r="BE47" s="379"/>
      <c r="BF47" s="165">
        <v>6314.6379692</v>
      </c>
      <c r="BG47" s="379"/>
      <c r="BH47" s="225"/>
      <c r="BI47" s="184"/>
      <c r="CJ47" s="150"/>
      <c r="CK47" s="150"/>
      <c r="CL47" s="150"/>
      <c r="CM47" s="151" t="s">
        <v>877</v>
      </c>
      <c r="CN47" s="150" t="s">
        <v>1130</v>
      </c>
      <c r="CO47" s="150"/>
      <c r="CP47" s="150"/>
      <c r="CQ47" s="150"/>
      <c r="CR47" s="150"/>
      <c r="CS47" s="150"/>
      <c r="CT47" s="150"/>
    </row>
    <row r="48" spans="1:98" s="11" customFormat="1" ht="12.75" customHeight="1">
      <c r="A48" s="310"/>
      <c r="B48" s="308" t="str">
        <f>Parameters!Q47</f>
        <v>H51</v>
      </c>
      <c r="C48" s="309"/>
      <c r="D48" s="495" t="str">
        <f>Parameters!S47</f>
        <v>Air transport</v>
      </c>
      <c r="E48" s="510"/>
      <c r="F48" s="224"/>
      <c r="G48" s="379"/>
      <c r="H48" s="225"/>
      <c r="I48" s="379"/>
      <c r="J48" s="225"/>
      <c r="K48" s="379"/>
      <c r="L48" s="225"/>
      <c r="M48" s="379"/>
      <c r="N48" s="225"/>
      <c r="O48" s="379"/>
      <c r="P48" s="225"/>
      <c r="Q48" s="379"/>
      <c r="R48" s="225"/>
      <c r="S48" s="379"/>
      <c r="T48" s="225"/>
      <c r="U48" s="379"/>
      <c r="V48" s="225"/>
      <c r="W48" s="379"/>
      <c r="X48" s="225"/>
      <c r="Y48" s="379"/>
      <c r="Z48" s="225"/>
      <c r="AA48" s="379"/>
      <c r="AB48" s="225"/>
      <c r="AC48" s="379"/>
      <c r="AD48" s="225"/>
      <c r="AE48" s="379"/>
      <c r="AF48" s="165">
        <v>41.791564700000002</v>
      </c>
      <c r="AG48" s="379"/>
      <c r="AH48" s="165">
        <v>41.794496600000002</v>
      </c>
      <c r="AI48" s="379"/>
      <c r="AJ48" s="165">
        <v>44.774950099999998</v>
      </c>
      <c r="AK48" s="379"/>
      <c r="AL48" s="165">
        <v>49.445661299999998</v>
      </c>
      <c r="AM48" s="379"/>
      <c r="AN48" s="165">
        <v>51.255544999999998</v>
      </c>
      <c r="AO48" s="379"/>
      <c r="AP48" s="165">
        <v>51.375098100000002</v>
      </c>
      <c r="AQ48" s="379"/>
      <c r="AR48" s="165">
        <v>56.842888199999997</v>
      </c>
      <c r="AS48" s="379"/>
      <c r="AT48" s="165">
        <v>56.403472499999999</v>
      </c>
      <c r="AU48" s="379"/>
      <c r="AV48" s="165">
        <v>49.433698900000003</v>
      </c>
      <c r="AW48" s="379"/>
      <c r="AX48" s="165">
        <v>47.081390499999998</v>
      </c>
      <c r="AY48" s="379"/>
      <c r="AZ48" s="165">
        <v>47.642412</v>
      </c>
      <c r="BA48" s="379"/>
      <c r="BB48" s="165">
        <v>50.277677400000002</v>
      </c>
      <c r="BC48" s="379"/>
      <c r="BD48" s="165">
        <v>31.820785699999998</v>
      </c>
      <c r="BE48" s="379"/>
      <c r="BF48" s="165">
        <v>31.5072598</v>
      </c>
      <c r="BG48" s="379"/>
      <c r="BH48" s="225"/>
      <c r="BI48" s="184"/>
      <c r="CJ48" s="150"/>
      <c r="CK48" s="150"/>
      <c r="CL48" s="150"/>
      <c r="CM48" s="151" t="s">
        <v>884</v>
      </c>
      <c r="CN48" s="150" t="s">
        <v>1130</v>
      </c>
      <c r="CO48" s="150"/>
      <c r="CP48" s="150"/>
      <c r="CQ48" s="150"/>
      <c r="CR48" s="150"/>
      <c r="CS48" s="150"/>
      <c r="CT48" s="150"/>
    </row>
    <row r="49" spans="1:98" s="11" customFormat="1" ht="12.75" customHeight="1">
      <c r="A49" s="310"/>
      <c r="B49" s="308" t="str">
        <f>Parameters!Q48</f>
        <v>H52</v>
      </c>
      <c r="C49" s="309"/>
      <c r="D49" s="495" t="str">
        <f>Parameters!S48</f>
        <v>Warehousing and support activities for transportation</v>
      </c>
      <c r="E49" s="510"/>
      <c r="F49" s="224"/>
      <c r="G49" s="379"/>
      <c r="H49" s="225"/>
      <c r="I49" s="379"/>
      <c r="J49" s="225"/>
      <c r="K49" s="379"/>
      <c r="L49" s="225"/>
      <c r="M49" s="379"/>
      <c r="N49" s="225"/>
      <c r="O49" s="379"/>
      <c r="P49" s="225"/>
      <c r="Q49" s="379"/>
      <c r="R49" s="225"/>
      <c r="S49" s="379"/>
      <c r="T49" s="225"/>
      <c r="U49" s="379"/>
      <c r="V49" s="225"/>
      <c r="W49" s="379"/>
      <c r="X49" s="225"/>
      <c r="Y49" s="379"/>
      <c r="Z49" s="225"/>
      <c r="AA49" s="379"/>
      <c r="AB49" s="225"/>
      <c r="AC49" s="379"/>
      <c r="AD49" s="225"/>
      <c r="AE49" s="379"/>
      <c r="AF49" s="165">
        <v>15.218727299999999</v>
      </c>
      <c r="AG49" s="379"/>
      <c r="AH49" s="165">
        <v>16.594745</v>
      </c>
      <c r="AI49" s="379"/>
      <c r="AJ49" s="165">
        <v>15.265019300000001</v>
      </c>
      <c r="AK49" s="379"/>
      <c r="AL49" s="165">
        <v>16.683953599999999</v>
      </c>
      <c r="AM49" s="379"/>
      <c r="AN49" s="165">
        <v>13.6759971</v>
      </c>
      <c r="AO49" s="379"/>
      <c r="AP49" s="165">
        <v>20.329261299999999</v>
      </c>
      <c r="AQ49" s="379"/>
      <c r="AR49" s="165">
        <v>12.4327915</v>
      </c>
      <c r="AS49" s="379"/>
      <c r="AT49" s="165">
        <v>14.489697100000001</v>
      </c>
      <c r="AU49" s="379"/>
      <c r="AV49" s="165">
        <v>18.792162699999999</v>
      </c>
      <c r="AW49" s="379"/>
      <c r="AX49" s="165">
        <v>23.883099699999999</v>
      </c>
      <c r="AY49" s="379"/>
      <c r="AZ49" s="165">
        <v>24.4502995</v>
      </c>
      <c r="BA49" s="379"/>
      <c r="BB49" s="165">
        <v>22.553694499999999</v>
      </c>
      <c r="BC49" s="379"/>
      <c r="BD49" s="165">
        <v>21.738072200000001</v>
      </c>
      <c r="BE49" s="379"/>
      <c r="BF49" s="165">
        <v>22.427437000000001</v>
      </c>
      <c r="BG49" s="379"/>
      <c r="BH49" s="225"/>
      <c r="BI49" s="184"/>
      <c r="CJ49" s="150"/>
      <c r="CK49" s="150"/>
      <c r="CL49" s="150"/>
      <c r="CM49" s="151" t="s">
        <v>891</v>
      </c>
      <c r="CN49" s="150" t="s">
        <v>1130</v>
      </c>
      <c r="CO49" s="150"/>
      <c r="CP49" s="150"/>
      <c r="CQ49" s="150"/>
      <c r="CR49" s="150"/>
      <c r="CS49" s="150"/>
      <c r="CT49" s="150"/>
    </row>
    <row r="50" spans="1:98" s="11" customFormat="1" ht="12.75" customHeight="1">
      <c r="A50" s="310"/>
      <c r="B50" s="308" t="str">
        <f>Parameters!Q49</f>
        <v>H53</v>
      </c>
      <c r="C50" s="309"/>
      <c r="D50" s="495" t="str">
        <f>Parameters!S49</f>
        <v>Postal and courier activities</v>
      </c>
      <c r="E50" s="510"/>
      <c r="F50" s="224"/>
      <c r="G50" s="379"/>
      <c r="H50" s="225"/>
      <c r="I50" s="379"/>
      <c r="J50" s="225"/>
      <c r="K50" s="379"/>
      <c r="L50" s="225"/>
      <c r="M50" s="379"/>
      <c r="N50" s="225"/>
      <c r="O50" s="379"/>
      <c r="P50" s="225"/>
      <c r="Q50" s="379"/>
      <c r="R50" s="225"/>
      <c r="S50" s="379"/>
      <c r="T50" s="225"/>
      <c r="U50" s="379"/>
      <c r="V50" s="225"/>
      <c r="W50" s="379"/>
      <c r="X50" s="225"/>
      <c r="Y50" s="379"/>
      <c r="Z50" s="225"/>
      <c r="AA50" s="379"/>
      <c r="AB50" s="225"/>
      <c r="AC50" s="379"/>
      <c r="AD50" s="225"/>
      <c r="AE50" s="379"/>
      <c r="AF50" s="165">
        <v>0.80853229999999998</v>
      </c>
      <c r="AG50" s="379" t="s">
        <v>420</v>
      </c>
      <c r="AH50" s="165">
        <v>0.71021789999999996</v>
      </c>
      <c r="AI50" s="379" t="s">
        <v>420</v>
      </c>
      <c r="AJ50" s="165">
        <v>1.2183832999999999</v>
      </c>
      <c r="AK50" s="379" t="s">
        <v>420</v>
      </c>
      <c r="AL50" s="165">
        <v>0.80083570000000004</v>
      </c>
      <c r="AM50" s="379" t="s">
        <v>420</v>
      </c>
      <c r="AN50" s="165">
        <v>0.78912930000000003</v>
      </c>
      <c r="AO50" s="379" t="s">
        <v>420</v>
      </c>
      <c r="AP50" s="165">
        <v>0.89433810000000002</v>
      </c>
      <c r="AQ50" s="379" t="s">
        <v>420</v>
      </c>
      <c r="AR50" s="165">
        <v>0.93805170000000004</v>
      </c>
      <c r="AS50" s="379" t="s">
        <v>420</v>
      </c>
      <c r="AT50" s="165">
        <v>0.85020059999999997</v>
      </c>
      <c r="AU50" s="379" t="s">
        <v>420</v>
      </c>
      <c r="AV50" s="165">
        <v>0.96337950000000006</v>
      </c>
      <c r="AW50" s="379" t="s">
        <v>420</v>
      </c>
      <c r="AX50" s="165">
        <v>1.0955429999999999</v>
      </c>
      <c r="AY50" s="379" t="s">
        <v>420</v>
      </c>
      <c r="AZ50" s="165">
        <v>1.1114042</v>
      </c>
      <c r="BA50" s="379" t="s">
        <v>420</v>
      </c>
      <c r="BB50" s="165">
        <v>1.2292532</v>
      </c>
      <c r="BC50" s="379" t="s">
        <v>420</v>
      </c>
      <c r="BD50" s="165">
        <v>0.78776550000000001</v>
      </c>
      <c r="BE50" s="379" t="s">
        <v>420</v>
      </c>
      <c r="BF50" s="165">
        <v>0.97524650000000002</v>
      </c>
      <c r="BG50" s="379" t="s">
        <v>420</v>
      </c>
      <c r="BH50" s="225"/>
      <c r="BI50" s="184"/>
      <c r="CJ50" s="150"/>
      <c r="CK50" s="150"/>
      <c r="CL50" s="150"/>
      <c r="CM50" s="151" t="s">
        <v>897</v>
      </c>
      <c r="CN50" s="150" t="s">
        <v>1130</v>
      </c>
      <c r="CO50" s="150"/>
      <c r="CP50" s="150"/>
      <c r="CQ50" s="150"/>
      <c r="CR50" s="150"/>
      <c r="CS50" s="150"/>
      <c r="CT50" s="150"/>
    </row>
    <row r="51" spans="1:98" s="10" customFormat="1" ht="12.75" customHeight="1">
      <c r="A51" s="25"/>
      <c r="B51" s="87" t="str">
        <f>Parameters!Q50</f>
        <v>I</v>
      </c>
      <c r="C51" s="88"/>
      <c r="D51" s="498" t="str">
        <f>Parameters!S50</f>
        <v>Accommodation and food service activities</v>
      </c>
      <c r="E51" s="496"/>
      <c r="F51" s="222"/>
      <c r="G51" s="379"/>
      <c r="H51" s="223"/>
      <c r="I51" s="379"/>
      <c r="J51" s="223"/>
      <c r="K51" s="379"/>
      <c r="L51" s="223"/>
      <c r="M51" s="379"/>
      <c r="N51" s="223"/>
      <c r="O51" s="379"/>
      <c r="P51" s="223"/>
      <c r="Q51" s="379"/>
      <c r="R51" s="223"/>
      <c r="S51" s="379"/>
      <c r="T51" s="223"/>
      <c r="U51" s="379"/>
      <c r="V51" s="223"/>
      <c r="W51" s="379"/>
      <c r="X51" s="223"/>
      <c r="Y51" s="379"/>
      <c r="Z51" s="223"/>
      <c r="AA51" s="379"/>
      <c r="AB51" s="223"/>
      <c r="AC51" s="379"/>
      <c r="AD51" s="223"/>
      <c r="AE51" s="379"/>
      <c r="AF51" s="164">
        <v>3.1609894999999999</v>
      </c>
      <c r="AG51" s="379"/>
      <c r="AH51" s="164">
        <v>3.0874673000000001</v>
      </c>
      <c r="AI51" s="379"/>
      <c r="AJ51" s="164">
        <v>3.8637157000000002</v>
      </c>
      <c r="AK51" s="379"/>
      <c r="AL51" s="164">
        <v>2.9262811000000002</v>
      </c>
      <c r="AM51" s="379"/>
      <c r="AN51" s="164">
        <v>2.4412856999999999</v>
      </c>
      <c r="AO51" s="379"/>
      <c r="AP51" s="164">
        <v>2.4298533999999998</v>
      </c>
      <c r="AQ51" s="379"/>
      <c r="AR51" s="164">
        <v>2.2464439999999999</v>
      </c>
      <c r="AS51" s="379"/>
      <c r="AT51" s="164">
        <v>1.9583428000000001</v>
      </c>
      <c r="AU51" s="379"/>
      <c r="AV51" s="164">
        <v>2.1462040999999998</v>
      </c>
      <c r="AW51" s="379"/>
      <c r="AX51" s="164">
        <v>1.8450673</v>
      </c>
      <c r="AY51" s="379"/>
      <c r="AZ51" s="164">
        <v>2.2958934000000002</v>
      </c>
      <c r="BA51" s="379"/>
      <c r="BB51" s="164">
        <v>1.9998587000000001</v>
      </c>
      <c r="BC51" s="379"/>
      <c r="BD51" s="164">
        <v>1.6128035999999999</v>
      </c>
      <c r="BE51" s="379"/>
      <c r="BF51" s="164">
        <v>1.1557313</v>
      </c>
      <c r="BG51" s="379"/>
      <c r="BH51" s="223"/>
      <c r="BI51" s="184"/>
      <c r="CJ51" s="150"/>
      <c r="CK51" s="150"/>
      <c r="CL51" s="150"/>
      <c r="CM51" s="151" t="s">
        <v>904</v>
      </c>
      <c r="CN51" s="150" t="s">
        <v>1130</v>
      </c>
      <c r="CO51" s="150"/>
      <c r="CP51" s="150"/>
      <c r="CQ51" s="150"/>
      <c r="CR51" s="150"/>
      <c r="CS51" s="150"/>
      <c r="CT51" s="150"/>
    </row>
    <row r="52" spans="1:98" s="10" customFormat="1" ht="12.75" customHeight="1">
      <c r="A52" s="25"/>
      <c r="B52" s="87" t="str">
        <f>Parameters!Q51</f>
        <v>J</v>
      </c>
      <c r="C52" s="88"/>
      <c r="D52" s="498" t="str">
        <f>Parameters!S51</f>
        <v>Information and communication</v>
      </c>
      <c r="E52" s="499"/>
      <c r="F52" s="222"/>
      <c r="G52" s="379"/>
      <c r="H52" s="223"/>
      <c r="I52" s="379"/>
      <c r="J52" s="223"/>
      <c r="K52" s="379"/>
      <c r="L52" s="223"/>
      <c r="M52" s="379"/>
      <c r="N52" s="223"/>
      <c r="O52" s="379"/>
      <c r="P52" s="223"/>
      <c r="Q52" s="379"/>
      <c r="R52" s="223"/>
      <c r="S52" s="379"/>
      <c r="T52" s="223"/>
      <c r="U52" s="379"/>
      <c r="V52" s="223"/>
      <c r="W52" s="379"/>
      <c r="X52" s="223"/>
      <c r="Y52" s="379"/>
      <c r="Z52" s="223"/>
      <c r="AA52" s="379"/>
      <c r="AB52" s="223"/>
      <c r="AC52" s="379"/>
      <c r="AD52" s="223"/>
      <c r="AE52" s="379"/>
      <c r="AF52" s="164">
        <v>0.71753529999999999</v>
      </c>
      <c r="AG52" s="379"/>
      <c r="AH52" s="164">
        <v>0.69301880000000005</v>
      </c>
      <c r="AI52" s="379"/>
      <c r="AJ52" s="164">
        <v>1.3893641000000001</v>
      </c>
      <c r="AK52" s="379"/>
      <c r="AL52" s="164">
        <v>0.78070689999999998</v>
      </c>
      <c r="AM52" s="379"/>
      <c r="AN52" s="164">
        <v>0.70016699999999998</v>
      </c>
      <c r="AO52" s="379"/>
      <c r="AP52" s="164">
        <v>0.69395980000000002</v>
      </c>
      <c r="AQ52" s="379"/>
      <c r="AR52" s="164">
        <v>0.62350519999999998</v>
      </c>
      <c r="AS52" s="379"/>
      <c r="AT52" s="164">
        <v>0.55447590000000002</v>
      </c>
      <c r="AU52" s="379"/>
      <c r="AV52" s="164">
        <v>0.53971849999999999</v>
      </c>
      <c r="AW52" s="379"/>
      <c r="AX52" s="164">
        <v>0.47500179999999997</v>
      </c>
      <c r="AY52" s="379"/>
      <c r="AZ52" s="164">
        <v>0.4750414</v>
      </c>
      <c r="BA52" s="379"/>
      <c r="BB52" s="164">
        <v>0.47158290000000003</v>
      </c>
      <c r="BC52" s="379"/>
      <c r="BD52" s="164">
        <v>0.33682820000000002</v>
      </c>
      <c r="BE52" s="379"/>
      <c r="BF52" s="164">
        <v>0.32566260000000002</v>
      </c>
      <c r="BG52" s="379"/>
      <c r="BH52" s="223"/>
      <c r="BI52" s="184"/>
      <c r="CJ52" s="150"/>
      <c r="CK52" s="150"/>
      <c r="CL52" s="150"/>
      <c r="CM52" s="153" t="s">
        <v>910</v>
      </c>
      <c r="CN52" s="150" t="s">
        <v>1130</v>
      </c>
      <c r="CO52" s="150"/>
      <c r="CP52" s="150"/>
      <c r="CQ52" s="150"/>
      <c r="CR52" s="150"/>
      <c r="CS52" s="150"/>
      <c r="CT52" s="150"/>
    </row>
    <row r="53" spans="1:98" s="10" customFormat="1" ht="27" customHeight="1">
      <c r="A53" s="26"/>
      <c r="B53" s="89" t="str">
        <f>Parameters!Q52</f>
        <v>J58-J60</v>
      </c>
      <c r="C53" s="90"/>
      <c r="D53" s="504" t="str">
        <f>Parameters!S52</f>
        <v>Publishing, motion picture, video, television programme production; sound recording, programming and broadcasting activities</v>
      </c>
      <c r="E53" s="506"/>
      <c r="F53" s="252"/>
      <c r="G53" s="380"/>
      <c r="H53" s="253"/>
      <c r="I53" s="380"/>
      <c r="J53" s="253"/>
      <c r="K53" s="380"/>
      <c r="L53" s="253"/>
      <c r="M53" s="380"/>
      <c r="N53" s="253"/>
      <c r="O53" s="380"/>
      <c r="P53" s="253"/>
      <c r="Q53" s="380"/>
      <c r="R53" s="253"/>
      <c r="S53" s="380"/>
      <c r="T53" s="253"/>
      <c r="U53" s="380"/>
      <c r="V53" s="253"/>
      <c r="W53" s="380"/>
      <c r="X53" s="253"/>
      <c r="Y53" s="380"/>
      <c r="Z53" s="253"/>
      <c r="AA53" s="380"/>
      <c r="AB53" s="253"/>
      <c r="AC53" s="380"/>
      <c r="AD53" s="253"/>
      <c r="AE53" s="380"/>
      <c r="AF53" s="253">
        <v>0.3263529</v>
      </c>
      <c r="AG53" s="380"/>
      <c r="AH53" s="253">
        <v>0.35015829999999998</v>
      </c>
      <c r="AI53" s="380"/>
      <c r="AJ53" s="253">
        <v>0.82567429999999997</v>
      </c>
      <c r="AK53" s="380"/>
      <c r="AL53" s="253">
        <v>0.34009630000000002</v>
      </c>
      <c r="AM53" s="380"/>
      <c r="AN53" s="253">
        <v>0.28918440000000001</v>
      </c>
      <c r="AO53" s="380"/>
      <c r="AP53" s="253">
        <v>0.2731768</v>
      </c>
      <c r="AQ53" s="380"/>
      <c r="AR53" s="253">
        <v>0.2698624</v>
      </c>
      <c r="AS53" s="380"/>
      <c r="AT53" s="253">
        <v>0.21736710000000001</v>
      </c>
      <c r="AU53" s="380"/>
      <c r="AV53" s="253">
        <v>0.22471150000000001</v>
      </c>
      <c r="AW53" s="380"/>
      <c r="AX53" s="253">
        <v>0.2091354</v>
      </c>
      <c r="AY53" s="380"/>
      <c r="AZ53" s="253">
        <v>0.20958360000000001</v>
      </c>
      <c r="BA53" s="380"/>
      <c r="BB53" s="253">
        <v>0.1874229</v>
      </c>
      <c r="BC53" s="380"/>
      <c r="BD53" s="253">
        <v>0.1317846</v>
      </c>
      <c r="BE53" s="380"/>
      <c r="BF53" s="253">
        <v>0.12898879999999999</v>
      </c>
      <c r="BG53" s="380"/>
      <c r="BH53" s="253"/>
      <c r="BI53" s="254"/>
      <c r="CJ53" s="150"/>
      <c r="CK53" s="150"/>
      <c r="CL53" s="150"/>
      <c r="CM53" s="151"/>
      <c r="CN53" s="150"/>
      <c r="CO53" s="150"/>
      <c r="CP53" s="150"/>
      <c r="CQ53" s="150"/>
      <c r="CR53" s="150"/>
      <c r="CS53" s="150"/>
      <c r="CT53" s="150"/>
    </row>
    <row r="54" spans="1:98" s="11" customFormat="1" ht="12.75" customHeight="1">
      <c r="A54" s="310"/>
      <c r="B54" s="308" t="str">
        <f>Parameters!Q53</f>
        <v>J58</v>
      </c>
      <c r="C54" s="309"/>
      <c r="D54" s="495" t="str">
        <f>Parameters!S53</f>
        <v>Publishing activities</v>
      </c>
      <c r="E54" s="510"/>
      <c r="F54" s="224"/>
      <c r="G54" s="379"/>
      <c r="H54" s="225"/>
      <c r="I54" s="379"/>
      <c r="J54" s="225"/>
      <c r="K54" s="379"/>
      <c r="L54" s="225"/>
      <c r="M54" s="379"/>
      <c r="N54" s="225"/>
      <c r="O54" s="379"/>
      <c r="P54" s="225"/>
      <c r="Q54" s="379"/>
      <c r="R54" s="225"/>
      <c r="S54" s="379"/>
      <c r="T54" s="225"/>
      <c r="U54" s="379"/>
      <c r="V54" s="225"/>
      <c r="W54" s="379"/>
      <c r="X54" s="225"/>
      <c r="Y54" s="379"/>
      <c r="Z54" s="225"/>
      <c r="AA54" s="379"/>
      <c r="AB54" s="225"/>
      <c r="AC54" s="379"/>
      <c r="AD54" s="225"/>
      <c r="AE54" s="379"/>
      <c r="AF54" s="165">
        <v>0.1827936</v>
      </c>
      <c r="AG54" s="379"/>
      <c r="AH54" s="165">
        <v>0.17401059999999999</v>
      </c>
      <c r="AI54" s="379"/>
      <c r="AJ54" s="165">
        <v>0.3446244</v>
      </c>
      <c r="AK54" s="379"/>
      <c r="AL54" s="165">
        <v>0.21442559999999999</v>
      </c>
      <c r="AM54" s="379"/>
      <c r="AN54" s="165">
        <v>0.17571780000000001</v>
      </c>
      <c r="AO54" s="379"/>
      <c r="AP54" s="165">
        <v>0.18163940000000001</v>
      </c>
      <c r="AQ54" s="379"/>
      <c r="AR54" s="165">
        <v>0.17322969999999999</v>
      </c>
      <c r="AS54" s="379"/>
      <c r="AT54" s="165">
        <v>0.1478575</v>
      </c>
      <c r="AU54" s="379"/>
      <c r="AV54" s="165">
        <v>0.1515418</v>
      </c>
      <c r="AW54" s="379"/>
      <c r="AX54" s="165">
        <v>0.14508170000000001</v>
      </c>
      <c r="AY54" s="379"/>
      <c r="AZ54" s="165">
        <v>0.14374419999999999</v>
      </c>
      <c r="BA54" s="379"/>
      <c r="BB54" s="165">
        <v>0.13145809999999999</v>
      </c>
      <c r="BC54" s="379"/>
      <c r="BD54" s="165">
        <v>9.2388100000000001E-2</v>
      </c>
      <c r="BE54" s="379"/>
      <c r="BF54" s="165">
        <v>8.4751099999999996E-2</v>
      </c>
      <c r="BG54" s="379"/>
      <c r="BH54" s="225"/>
      <c r="BI54" s="184"/>
      <c r="CJ54" s="150"/>
      <c r="CK54" s="150"/>
      <c r="CL54" s="150"/>
      <c r="CM54" s="151" t="s">
        <v>926</v>
      </c>
      <c r="CN54" s="150" t="s">
        <v>1130</v>
      </c>
      <c r="CO54" s="151"/>
      <c r="CP54" s="150"/>
      <c r="CQ54" s="150"/>
      <c r="CR54" s="150"/>
      <c r="CS54" s="150"/>
      <c r="CT54" s="150"/>
    </row>
    <row r="55" spans="1:98" s="11" customFormat="1">
      <c r="A55" s="310"/>
      <c r="B55" s="308" t="str">
        <f>Parameters!Q54</f>
        <v>J59_J60</v>
      </c>
      <c r="C55" s="309"/>
      <c r="D55" s="495" t="str">
        <f>Parameters!S54</f>
        <v>Motion picture, video, television programme production; programming and broadcasting activities</v>
      </c>
      <c r="E55" s="510"/>
      <c r="F55" s="224"/>
      <c r="G55" s="379"/>
      <c r="H55" s="225"/>
      <c r="I55" s="379"/>
      <c r="J55" s="225"/>
      <c r="K55" s="379"/>
      <c r="L55" s="225"/>
      <c r="M55" s="379"/>
      <c r="N55" s="225"/>
      <c r="O55" s="379"/>
      <c r="P55" s="225"/>
      <c r="Q55" s="379"/>
      <c r="R55" s="225"/>
      <c r="S55" s="379"/>
      <c r="T55" s="225"/>
      <c r="U55" s="379"/>
      <c r="V55" s="225"/>
      <c r="W55" s="379"/>
      <c r="X55" s="225"/>
      <c r="Y55" s="379"/>
      <c r="Z55" s="225"/>
      <c r="AA55" s="379"/>
      <c r="AB55" s="225"/>
      <c r="AC55" s="379"/>
      <c r="AD55" s="225"/>
      <c r="AE55" s="379"/>
      <c r="AF55" s="165">
        <v>0.1435593</v>
      </c>
      <c r="AG55" s="379"/>
      <c r="AH55" s="165">
        <v>0.17614779999999999</v>
      </c>
      <c r="AI55" s="379"/>
      <c r="AJ55" s="165">
        <v>0.48104989999999997</v>
      </c>
      <c r="AK55" s="379"/>
      <c r="AL55" s="165">
        <v>0.1256707</v>
      </c>
      <c r="AM55" s="379"/>
      <c r="AN55" s="165">
        <v>0.1134666</v>
      </c>
      <c r="AO55" s="379"/>
      <c r="AP55" s="165">
        <v>9.1537400000000005E-2</v>
      </c>
      <c r="AQ55" s="379"/>
      <c r="AR55" s="165">
        <v>9.6632700000000002E-2</v>
      </c>
      <c r="AS55" s="379"/>
      <c r="AT55" s="165">
        <v>6.9509600000000005E-2</v>
      </c>
      <c r="AU55" s="379"/>
      <c r="AV55" s="165">
        <v>7.3169700000000004E-2</v>
      </c>
      <c r="AW55" s="379"/>
      <c r="AX55" s="165">
        <v>6.4053700000000005E-2</v>
      </c>
      <c r="AY55" s="379"/>
      <c r="AZ55" s="165">
        <v>6.5839400000000006E-2</v>
      </c>
      <c r="BA55" s="379"/>
      <c r="BB55" s="165">
        <v>5.5964800000000002E-2</v>
      </c>
      <c r="BC55" s="379"/>
      <c r="BD55" s="165">
        <v>3.9396599999999997E-2</v>
      </c>
      <c r="BE55" s="379"/>
      <c r="BF55" s="165">
        <v>4.4237600000000002E-2</v>
      </c>
      <c r="BG55" s="379"/>
      <c r="BH55" s="225"/>
      <c r="BI55" s="184"/>
      <c r="CJ55" s="150"/>
      <c r="CK55" s="150"/>
      <c r="CL55" s="150"/>
      <c r="CM55" s="151" t="s">
        <v>1139</v>
      </c>
      <c r="CN55" s="150" t="s">
        <v>1130</v>
      </c>
      <c r="CO55" s="150"/>
      <c r="CP55" s="150"/>
      <c r="CQ55" s="150"/>
      <c r="CR55" s="150"/>
      <c r="CS55" s="150"/>
      <c r="CT55" s="150"/>
    </row>
    <row r="56" spans="1:98" s="11" customFormat="1" ht="12.75" customHeight="1">
      <c r="A56" s="26"/>
      <c r="B56" s="89" t="str">
        <f>Parameters!Q55</f>
        <v>J61</v>
      </c>
      <c r="C56" s="90"/>
      <c r="D56" s="504" t="str">
        <f>Parameters!S55</f>
        <v>Telecommunications</v>
      </c>
      <c r="E56" s="505"/>
      <c r="F56" s="226"/>
      <c r="G56" s="379"/>
      <c r="H56" s="227"/>
      <c r="I56" s="379"/>
      <c r="J56" s="227"/>
      <c r="K56" s="379"/>
      <c r="L56" s="227"/>
      <c r="M56" s="379"/>
      <c r="N56" s="227"/>
      <c r="O56" s="379"/>
      <c r="P56" s="227"/>
      <c r="Q56" s="379"/>
      <c r="R56" s="227"/>
      <c r="S56" s="379"/>
      <c r="T56" s="227"/>
      <c r="U56" s="379"/>
      <c r="V56" s="227"/>
      <c r="W56" s="379"/>
      <c r="X56" s="227"/>
      <c r="Y56" s="379"/>
      <c r="Z56" s="227"/>
      <c r="AA56" s="379"/>
      <c r="AB56" s="227"/>
      <c r="AC56" s="379"/>
      <c r="AD56" s="227"/>
      <c r="AE56" s="379"/>
      <c r="AF56" s="166">
        <v>0</v>
      </c>
      <c r="AG56" s="379" t="s">
        <v>420</v>
      </c>
      <c r="AH56" s="166">
        <v>0</v>
      </c>
      <c r="AI56" s="379" t="s">
        <v>420</v>
      </c>
      <c r="AJ56" s="166">
        <v>0</v>
      </c>
      <c r="AK56" s="379" t="s">
        <v>420</v>
      </c>
      <c r="AL56" s="166">
        <v>0</v>
      </c>
      <c r="AM56" s="379" t="s">
        <v>420</v>
      </c>
      <c r="AN56" s="166">
        <v>0</v>
      </c>
      <c r="AO56" s="379" t="s">
        <v>420</v>
      </c>
      <c r="AP56" s="166">
        <v>0</v>
      </c>
      <c r="AQ56" s="379" t="s">
        <v>420</v>
      </c>
      <c r="AR56" s="166">
        <v>0</v>
      </c>
      <c r="AS56" s="379" t="s">
        <v>420</v>
      </c>
      <c r="AT56" s="166">
        <v>0</v>
      </c>
      <c r="AU56" s="379" t="s">
        <v>420</v>
      </c>
      <c r="AV56" s="166">
        <v>0</v>
      </c>
      <c r="AW56" s="379" t="s">
        <v>420</v>
      </c>
      <c r="AX56" s="166">
        <v>0</v>
      </c>
      <c r="AY56" s="379" t="s">
        <v>420</v>
      </c>
      <c r="AZ56" s="166">
        <v>0</v>
      </c>
      <c r="BA56" s="379" t="s">
        <v>420</v>
      </c>
      <c r="BB56" s="166">
        <v>0</v>
      </c>
      <c r="BC56" s="379" t="s">
        <v>420</v>
      </c>
      <c r="BD56" s="166">
        <v>0</v>
      </c>
      <c r="BE56" s="379" t="s">
        <v>420</v>
      </c>
      <c r="BF56" s="166">
        <v>0</v>
      </c>
      <c r="BG56" s="379" t="s">
        <v>420</v>
      </c>
      <c r="BH56" s="227"/>
      <c r="BI56" s="184"/>
      <c r="CJ56" s="150"/>
      <c r="CK56" s="150"/>
      <c r="CL56" s="150"/>
      <c r="CM56" s="151" t="s">
        <v>939</v>
      </c>
      <c r="CN56" s="150" t="s">
        <v>1130</v>
      </c>
      <c r="CO56" s="150"/>
      <c r="CP56" s="150"/>
      <c r="CQ56" s="150"/>
      <c r="CR56" s="150"/>
      <c r="CS56" s="150"/>
      <c r="CT56" s="150"/>
    </row>
    <row r="57" spans="1:98" s="10" customFormat="1" ht="12.75" customHeight="1">
      <c r="A57" s="26"/>
      <c r="B57" s="89" t="str">
        <f>Parameters!Q56</f>
        <v>J62_J63</v>
      </c>
      <c r="C57" s="90"/>
      <c r="D57" s="504" t="str">
        <f>Parameters!S56</f>
        <v>Computer programming, consultancy, and information service activities</v>
      </c>
      <c r="E57" s="505"/>
      <c r="F57" s="226"/>
      <c r="G57" s="379"/>
      <c r="H57" s="227"/>
      <c r="I57" s="379"/>
      <c r="J57" s="227"/>
      <c r="K57" s="379"/>
      <c r="L57" s="227"/>
      <c r="M57" s="379"/>
      <c r="N57" s="227"/>
      <c r="O57" s="379"/>
      <c r="P57" s="227"/>
      <c r="Q57" s="379"/>
      <c r="R57" s="227"/>
      <c r="S57" s="379"/>
      <c r="T57" s="227"/>
      <c r="U57" s="379"/>
      <c r="V57" s="227"/>
      <c r="W57" s="379"/>
      <c r="X57" s="227"/>
      <c r="Y57" s="379"/>
      <c r="Z57" s="227"/>
      <c r="AA57" s="379"/>
      <c r="AB57" s="227"/>
      <c r="AC57" s="379"/>
      <c r="AD57" s="227"/>
      <c r="AE57" s="379"/>
      <c r="AF57" s="166">
        <v>0.39118239999999999</v>
      </c>
      <c r="AG57" s="379"/>
      <c r="AH57" s="166">
        <v>0.34286050000000001</v>
      </c>
      <c r="AI57" s="379"/>
      <c r="AJ57" s="166">
        <v>0.56368980000000002</v>
      </c>
      <c r="AK57" s="379"/>
      <c r="AL57" s="166">
        <v>0.44061070000000002</v>
      </c>
      <c r="AM57" s="379"/>
      <c r="AN57" s="166">
        <v>0.41098259999999998</v>
      </c>
      <c r="AO57" s="379"/>
      <c r="AP57" s="166">
        <v>0.42078300000000002</v>
      </c>
      <c r="AQ57" s="379"/>
      <c r="AR57" s="166">
        <v>0.35364279999999998</v>
      </c>
      <c r="AS57" s="379"/>
      <c r="AT57" s="166">
        <v>0.33710879999999999</v>
      </c>
      <c r="AU57" s="379"/>
      <c r="AV57" s="166">
        <v>0.31500699999999998</v>
      </c>
      <c r="AW57" s="379"/>
      <c r="AX57" s="166">
        <v>0.2658664</v>
      </c>
      <c r="AY57" s="379"/>
      <c r="AZ57" s="166">
        <v>0.26545770000000002</v>
      </c>
      <c r="BA57" s="379"/>
      <c r="BB57" s="166">
        <v>0.28416000000000002</v>
      </c>
      <c r="BC57" s="379"/>
      <c r="BD57" s="166">
        <v>0.20504359999999999</v>
      </c>
      <c r="BE57" s="379"/>
      <c r="BF57" s="166">
        <v>0.19667380000000001</v>
      </c>
      <c r="BG57" s="379"/>
      <c r="BH57" s="227"/>
      <c r="BI57" s="184"/>
      <c r="CJ57" s="158"/>
      <c r="CK57" s="150"/>
      <c r="CL57" s="158"/>
      <c r="CM57" s="151" t="s">
        <v>1140</v>
      </c>
      <c r="CN57" s="150" t="s">
        <v>1130</v>
      </c>
      <c r="CO57" s="150"/>
      <c r="CP57" s="158"/>
      <c r="CQ57" s="158"/>
      <c r="CR57" s="158"/>
      <c r="CS57" s="158"/>
      <c r="CT57" s="158"/>
    </row>
    <row r="58" spans="1:98" s="10" customFormat="1" ht="12.75" customHeight="1">
      <c r="A58" s="25"/>
      <c r="B58" s="87" t="str">
        <f>Parameters!Q57</f>
        <v>K</v>
      </c>
      <c r="C58" s="88"/>
      <c r="D58" s="498" t="str">
        <f>Parameters!S57</f>
        <v>Financial and insurance activities</v>
      </c>
      <c r="E58" s="499"/>
      <c r="F58" s="222"/>
      <c r="G58" s="379"/>
      <c r="H58" s="223"/>
      <c r="I58" s="379"/>
      <c r="J58" s="223"/>
      <c r="K58" s="379"/>
      <c r="L58" s="223"/>
      <c r="M58" s="379"/>
      <c r="N58" s="223"/>
      <c r="O58" s="379"/>
      <c r="P58" s="223"/>
      <c r="Q58" s="379"/>
      <c r="R58" s="223"/>
      <c r="S58" s="379"/>
      <c r="T58" s="223"/>
      <c r="U58" s="379"/>
      <c r="V58" s="223"/>
      <c r="W58" s="379"/>
      <c r="X58" s="223"/>
      <c r="Y58" s="379"/>
      <c r="Z58" s="223"/>
      <c r="AA58" s="379"/>
      <c r="AB58" s="223"/>
      <c r="AC58" s="379"/>
      <c r="AD58" s="223"/>
      <c r="AE58" s="379"/>
      <c r="AF58" s="164">
        <v>8.9923699999999995E-2</v>
      </c>
      <c r="AG58" s="379"/>
      <c r="AH58" s="164">
        <v>0.1258445</v>
      </c>
      <c r="AI58" s="379"/>
      <c r="AJ58" s="164">
        <v>0.34183219999999997</v>
      </c>
      <c r="AK58" s="379"/>
      <c r="AL58" s="164">
        <v>7.3056200000000002E-2</v>
      </c>
      <c r="AM58" s="379"/>
      <c r="AN58" s="164">
        <v>6.6529400000000002E-2</v>
      </c>
      <c r="AO58" s="379"/>
      <c r="AP58" s="164">
        <v>3.9024000000000003E-2</v>
      </c>
      <c r="AQ58" s="379"/>
      <c r="AR58" s="164">
        <v>2.0193099999999999E-2</v>
      </c>
      <c r="AS58" s="379"/>
      <c r="AT58" s="164">
        <v>1.42834E-2</v>
      </c>
      <c r="AU58" s="379"/>
      <c r="AV58" s="164">
        <v>1.7258900000000001E-2</v>
      </c>
      <c r="AW58" s="379"/>
      <c r="AX58" s="164">
        <v>2.2142599999999998E-2</v>
      </c>
      <c r="AY58" s="379"/>
      <c r="AZ58" s="164">
        <v>1.4658300000000001E-2</v>
      </c>
      <c r="BA58" s="379"/>
      <c r="BB58" s="164">
        <v>6.4765799999999998E-2</v>
      </c>
      <c r="BC58" s="379"/>
      <c r="BD58" s="164">
        <v>5.4196000000000001E-2</v>
      </c>
      <c r="BE58" s="379"/>
      <c r="BF58" s="164">
        <v>1.09046E-2</v>
      </c>
      <c r="BG58" s="379"/>
      <c r="BH58" s="223"/>
      <c r="BI58" s="184"/>
      <c r="CJ58" s="150"/>
      <c r="CK58" s="150"/>
      <c r="CL58" s="150"/>
      <c r="CM58" s="151" t="s">
        <v>951</v>
      </c>
      <c r="CN58" s="150" t="s">
        <v>1130</v>
      </c>
      <c r="CO58" s="150"/>
      <c r="CP58" s="150"/>
      <c r="CQ58" s="150"/>
      <c r="CR58" s="150"/>
      <c r="CS58" s="150"/>
      <c r="CT58" s="150"/>
    </row>
    <row r="59" spans="1:98" s="11" customFormat="1" ht="12.75" customHeight="1">
      <c r="A59" s="310"/>
      <c r="B59" s="308" t="str">
        <f>Parameters!Q58</f>
        <v>K64</v>
      </c>
      <c r="C59" s="309"/>
      <c r="D59" s="495" t="str">
        <f>Parameters!S58</f>
        <v>Financial service activities, except insurance and pension funding</v>
      </c>
      <c r="E59" s="496"/>
      <c r="F59" s="224"/>
      <c r="G59" s="379"/>
      <c r="H59" s="225"/>
      <c r="I59" s="379"/>
      <c r="J59" s="225"/>
      <c r="K59" s="379"/>
      <c r="L59" s="225"/>
      <c r="M59" s="379"/>
      <c r="N59" s="225"/>
      <c r="O59" s="379"/>
      <c r="P59" s="225"/>
      <c r="Q59" s="379"/>
      <c r="R59" s="225"/>
      <c r="S59" s="379"/>
      <c r="T59" s="225"/>
      <c r="U59" s="379"/>
      <c r="V59" s="225"/>
      <c r="W59" s="379"/>
      <c r="X59" s="225"/>
      <c r="Y59" s="379"/>
      <c r="Z59" s="225"/>
      <c r="AA59" s="379"/>
      <c r="AB59" s="225"/>
      <c r="AC59" s="379"/>
      <c r="AD59" s="225"/>
      <c r="AE59" s="379"/>
      <c r="AF59" s="165">
        <v>8.2836900000000005E-2</v>
      </c>
      <c r="AG59" s="379"/>
      <c r="AH59" s="165">
        <v>0.1163126</v>
      </c>
      <c r="AI59" s="379"/>
      <c r="AJ59" s="165">
        <v>0.31366070000000001</v>
      </c>
      <c r="AK59" s="379"/>
      <c r="AL59" s="165">
        <v>6.0481800000000002E-2</v>
      </c>
      <c r="AM59" s="379"/>
      <c r="AN59" s="165">
        <v>5.9752399999999997E-2</v>
      </c>
      <c r="AO59" s="379"/>
      <c r="AP59" s="165">
        <v>2.8269699999999998E-2</v>
      </c>
      <c r="AQ59" s="379"/>
      <c r="AR59" s="165">
        <v>7.1362999999999999E-3</v>
      </c>
      <c r="AS59" s="379"/>
      <c r="AT59" s="165">
        <v>5.4216999999999998E-3</v>
      </c>
      <c r="AU59" s="379"/>
      <c r="AV59" s="165">
        <v>4.4416000000000004E-3</v>
      </c>
      <c r="AW59" s="379"/>
      <c r="AX59" s="165">
        <v>1.08948E-2</v>
      </c>
      <c r="AY59" s="379"/>
      <c r="AZ59" s="165">
        <v>2.9548999999999999E-3</v>
      </c>
      <c r="BA59" s="379"/>
      <c r="BB59" s="165">
        <v>5.7995999999999999E-2</v>
      </c>
      <c r="BC59" s="379"/>
      <c r="BD59" s="165">
        <v>4.6109900000000002E-2</v>
      </c>
      <c r="BE59" s="379"/>
      <c r="BF59" s="165">
        <v>2.7246000000000002E-3</v>
      </c>
      <c r="BG59" s="379"/>
      <c r="BH59" s="225"/>
      <c r="BI59" s="184"/>
      <c r="CJ59" s="150"/>
      <c r="CK59" s="150"/>
      <c r="CL59" s="150"/>
      <c r="CM59" s="151" t="s">
        <v>957</v>
      </c>
      <c r="CN59" s="150" t="s">
        <v>1130</v>
      </c>
      <c r="CO59" s="150"/>
      <c r="CP59" s="150"/>
      <c r="CQ59" s="150"/>
      <c r="CR59" s="150"/>
      <c r="CS59" s="150"/>
      <c r="CT59" s="150"/>
    </row>
    <row r="60" spans="1:98" s="11" customFormat="1" ht="12.75" customHeight="1">
      <c r="A60" s="310"/>
      <c r="B60" s="308" t="str">
        <f>Parameters!Q59</f>
        <v>K65</v>
      </c>
      <c r="C60" s="309"/>
      <c r="D60" s="495" t="str">
        <f>Parameters!S59</f>
        <v>Insurance, reinsurance and pension funding, except compulsory social security</v>
      </c>
      <c r="E60" s="496"/>
      <c r="F60" s="224"/>
      <c r="G60" s="379"/>
      <c r="H60" s="225"/>
      <c r="I60" s="379"/>
      <c r="J60" s="225"/>
      <c r="K60" s="379"/>
      <c r="L60" s="225"/>
      <c r="M60" s="379"/>
      <c r="N60" s="225"/>
      <c r="O60" s="379"/>
      <c r="P60" s="225"/>
      <c r="Q60" s="379"/>
      <c r="R60" s="225"/>
      <c r="S60" s="379"/>
      <c r="T60" s="225"/>
      <c r="U60" s="379"/>
      <c r="V60" s="225"/>
      <c r="W60" s="379"/>
      <c r="X60" s="225"/>
      <c r="Y60" s="379"/>
      <c r="Z60" s="225"/>
      <c r="AA60" s="379"/>
      <c r="AB60" s="225"/>
      <c r="AC60" s="379"/>
      <c r="AD60" s="225"/>
      <c r="AE60" s="379"/>
      <c r="AF60" s="165">
        <v>1.6559999999999999E-3</v>
      </c>
      <c r="AG60" s="379"/>
      <c r="AH60" s="165">
        <v>3.6362999999999999E-3</v>
      </c>
      <c r="AI60" s="379"/>
      <c r="AJ60" s="165">
        <v>1.31979E-2</v>
      </c>
      <c r="AK60" s="379"/>
      <c r="AL60" s="165">
        <v>1.7354E-3</v>
      </c>
      <c r="AM60" s="379"/>
      <c r="AN60" s="165">
        <v>0</v>
      </c>
      <c r="AO60" s="379"/>
      <c r="AP60" s="165">
        <v>0</v>
      </c>
      <c r="AQ60" s="379"/>
      <c r="AR60" s="165">
        <v>0</v>
      </c>
      <c r="AS60" s="379"/>
      <c r="AT60" s="165">
        <v>0</v>
      </c>
      <c r="AU60" s="379"/>
      <c r="AV60" s="165">
        <v>0</v>
      </c>
      <c r="AW60" s="379"/>
      <c r="AX60" s="165">
        <v>3.0059999999999999E-4</v>
      </c>
      <c r="AY60" s="379"/>
      <c r="AZ60" s="165">
        <v>2.0419000000000001E-3</v>
      </c>
      <c r="BA60" s="379"/>
      <c r="BB60" s="165">
        <v>0</v>
      </c>
      <c r="BC60" s="379"/>
      <c r="BD60" s="165">
        <v>0</v>
      </c>
      <c r="BE60" s="379"/>
      <c r="BF60" s="165">
        <v>0</v>
      </c>
      <c r="BG60" s="379"/>
      <c r="BH60" s="225"/>
      <c r="BI60" s="184"/>
      <c r="CJ60" s="150"/>
      <c r="CK60" s="150"/>
      <c r="CL60" s="150"/>
      <c r="CM60" s="151" t="s">
        <v>963</v>
      </c>
      <c r="CN60" s="150" t="s">
        <v>1130</v>
      </c>
      <c r="CO60" s="150"/>
      <c r="CP60" s="150"/>
      <c r="CQ60" s="150"/>
      <c r="CR60" s="150"/>
      <c r="CS60" s="150"/>
      <c r="CT60" s="150"/>
    </row>
    <row r="61" spans="1:98" s="11" customFormat="1" ht="12.75" customHeight="1">
      <c r="A61" s="310"/>
      <c r="B61" s="308" t="str">
        <f>Parameters!Q60</f>
        <v>K66</v>
      </c>
      <c r="C61" s="309"/>
      <c r="D61" s="495" t="str">
        <f>Parameters!S60</f>
        <v>Activities auxiliary to financial services and insurance activities</v>
      </c>
      <c r="E61" s="510"/>
      <c r="F61" s="224"/>
      <c r="G61" s="379"/>
      <c r="H61" s="225"/>
      <c r="I61" s="379"/>
      <c r="J61" s="225"/>
      <c r="K61" s="379"/>
      <c r="L61" s="225"/>
      <c r="M61" s="379"/>
      <c r="N61" s="225"/>
      <c r="O61" s="379"/>
      <c r="P61" s="225"/>
      <c r="Q61" s="379"/>
      <c r="R61" s="225"/>
      <c r="S61" s="379"/>
      <c r="T61" s="225"/>
      <c r="U61" s="379"/>
      <c r="V61" s="225"/>
      <c r="W61" s="379"/>
      <c r="X61" s="225"/>
      <c r="Y61" s="379"/>
      <c r="Z61" s="225"/>
      <c r="AA61" s="379"/>
      <c r="AB61" s="225"/>
      <c r="AC61" s="379"/>
      <c r="AD61" s="225"/>
      <c r="AE61" s="379"/>
      <c r="AF61" s="165">
        <v>5.4307000000000001E-3</v>
      </c>
      <c r="AG61" s="379"/>
      <c r="AH61" s="165">
        <v>5.8956E-3</v>
      </c>
      <c r="AI61" s="379"/>
      <c r="AJ61" s="165">
        <v>1.49736E-2</v>
      </c>
      <c r="AK61" s="379"/>
      <c r="AL61" s="165">
        <v>1.0839100000000001E-2</v>
      </c>
      <c r="AM61" s="379"/>
      <c r="AN61" s="165">
        <v>6.777E-3</v>
      </c>
      <c r="AO61" s="379"/>
      <c r="AP61" s="165">
        <v>1.07543E-2</v>
      </c>
      <c r="AQ61" s="379"/>
      <c r="AR61" s="165">
        <v>1.30568E-2</v>
      </c>
      <c r="AS61" s="379"/>
      <c r="AT61" s="165">
        <v>8.8616000000000007E-3</v>
      </c>
      <c r="AU61" s="379"/>
      <c r="AV61" s="165">
        <v>1.28173E-2</v>
      </c>
      <c r="AW61" s="379"/>
      <c r="AX61" s="165">
        <v>1.0947200000000001E-2</v>
      </c>
      <c r="AY61" s="379"/>
      <c r="AZ61" s="165">
        <v>9.6614999999999999E-3</v>
      </c>
      <c r="BA61" s="379"/>
      <c r="BB61" s="165">
        <v>6.7697E-3</v>
      </c>
      <c r="BC61" s="379"/>
      <c r="BD61" s="165">
        <v>8.0861000000000006E-3</v>
      </c>
      <c r="BE61" s="379"/>
      <c r="BF61" s="165">
        <v>8.1799999999999998E-3</v>
      </c>
      <c r="BG61" s="379"/>
      <c r="BH61" s="225"/>
      <c r="BI61" s="184"/>
      <c r="CJ61" s="150"/>
      <c r="CK61" s="150"/>
      <c r="CL61" s="150"/>
      <c r="CM61" s="151" t="s">
        <v>969</v>
      </c>
      <c r="CN61" s="150" t="s">
        <v>1130</v>
      </c>
      <c r="CO61" s="150"/>
      <c r="CP61" s="150"/>
      <c r="CQ61" s="150"/>
      <c r="CR61" s="150"/>
      <c r="CS61" s="150"/>
      <c r="CT61" s="150"/>
    </row>
    <row r="62" spans="1:98" s="11" customFormat="1" ht="12.75" customHeight="1">
      <c r="A62" s="25"/>
      <c r="B62" s="87" t="str">
        <f>Parameters!Q61</f>
        <v>L</v>
      </c>
      <c r="C62" s="88"/>
      <c r="D62" s="498" t="str">
        <f>Parameters!S61</f>
        <v>Real estate activities</v>
      </c>
      <c r="E62" s="507"/>
      <c r="F62" s="222"/>
      <c r="G62" s="379"/>
      <c r="H62" s="223"/>
      <c r="I62" s="379"/>
      <c r="J62" s="223"/>
      <c r="K62" s="379"/>
      <c r="L62" s="223"/>
      <c r="M62" s="379"/>
      <c r="N62" s="223"/>
      <c r="O62" s="379"/>
      <c r="P62" s="223"/>
      <c r="Q62" s="379"/>
      <c r="R62" s="223"/>
      <c r="S62" s="379"/>
      <c r="T62" s="223"/>
      <c r="U62" s="379"/>
      <c r="V62" s="223"/>
      <c r="W62" s="379"/>
      <c r="X62" s="223"/>
      <c r="Y62" s="379"/>
      <c r="Z62" s="223"/>
      <c r="AA62" s="379"/>
      <c r="AB62" s="223"/>
      <c r="AC62" s="379"/>
      <c r="AD62" s="223"/>
      <c r="AE62" s="379"/>
      <c r="AF62" s="164">
        <v>8.2031167000000007</v>
      </c>
      <c r="AG62" s="379"/>
      <c r="AH62" s="164">
        <v>9.6630476000000005</v>
      </c>
      <c r="AI62" s="379"/>
      <c r="AJ62" s="164">
        <v>15.899335499999999</v>
      </c>
      <c r="AK62" s="379"/>
      <c r="AL62" s="164">
        <v>10.0224115</v>
      </c>
      <c r="AM62" s="379"/>
      <c r="AN62" s="164">
        <v>6.7870873999999999</v>
      </c>
      <c r="AO62" s="379"/>
      <c r="AP62" s="164">
        <v>7.3369378999999997</v>
      </c>
      <c r="AQ62" s="379"/>
      <c r="AR62" s="164">
        <v>5.7324947999999996</v>
      </c>
      <c r="AS62" s="379"/>
      <c r="AT62" s="164">
        <v>4.5059946999999996</v>
      </c>
      <c r="AU62" s="379"/>
      <c r="AV62" s="164">
        <v>5.1039876</v>
      </c>
      <c r="AW62" s="379"/>
      <c r="AX62" s="164">
        <v>4.5326046</v>
      </c>
      <c r="AY62" s="379"/>
      <c r="AZ62" s="164">
        <v>6.0141235999999996</v>
      </c>
      <c r="BA62" s="379"/>
      <c r="BB62" s="164">
        <v>3.2983104000000001</v>
      </c>
      <c r="BC62" s="379"/>
      <c r="BD62" s="164">
        <v>3.2027087999999999</v>
      </c>
      <c r="BE62" s="379"/>
      <c r="BF62" s="164">
        <v>3.1390965999999998</v>
      </c>
      <c r="BG62" s="379"/>
      <c r="BH62" s="223"/>
      <c r="BI62" s="184"/>
      <c r="CJ62" s="150"/>
      <c r="CK62" s="150"/>
      <c r="CL62" s="150"/>
      <c r="CM62" s="151" t="s">
        <v>974</v>
      </c>
      <c r="CN62" s="150" t="s">
        <v>1130</v>
      </c>
      <c r="CO62" s="150"/>
      <c r="CP62" s="150"/>
      <c r="CQ62" s="150"/>
      <c r="CR62" s="150"/>
      <c r="CS62" s="150"/>
      <c r="CT62" s="150"/>
    </row>
    <row r="63" spans="1:98" s="11" customFormat="1" ht="12.75" customHeight="1">
      <c r="A63" s="310"/>
      <c r="B63" s="308" t="str">
        <f>Parameters!Q62</f>
        <v>L68A</v>
      </c>
      <c r="C63" s="309"/>
      <c r="D63" s="508" t="str">
        <f>Parameters!S62</f>
        <v>Imputed rents of owner-occupied dwellings</v>
      </c>
      <c r="E63" s="509"/>
      <c r="F63" s="229"/>
      <c r="G63" s="379"/>
      <c r="H63" s="230"/>
      <c r="I63" s="379"/>
      <c r="J63" s="230"/>
      <c r="K63" s="379"/>
      <c r="L63" s="230"/>
      <c r="M63" s="379"/>
      <c r="N63" s="230"/>
      <c r="O63" s="379"/>
      <c r="P63" s="230"/>
      <c r="Q63" s="379"/>
      <c r="R63" s="230"/>
      <c r="S63" s="379"/>
      <c r="T63" s="230"/>
      <c r="U63" s="379"/>
      <c r="V63" s="230"/>
      <c r="W63" s="379"/>
      <c r="X63" s="230"/>
      <c r="Y63" s="379"/>
      <c r="Z63" s="230"/>
      <c r="AA63" s="379"/>
      <c r="AB63" s="230"/>
      <c r="AC63" s="379"/>
      <c r="AD63" s="230"/>
      <c r="AE63" s="379"/>
      <c r="AF63" s="168">
        <v>8.2031167000000007</v>
      </c>
      <c r="AG63" s="379"/>
      <c r="AH63" s="168">
        <v>9.6630476000000005</v>
      </c>
      <c r="AI63" s="379"/>
      <c r="AJ63" s="168">
        <v>15.899335499999999</v>
      </c>
      <c r="AK63" s="379"/>
      <c r="AL63" s="168">
        <v>10.0224115</v>
      </c>
      <c r="AM63" s="379"/>
      <c r="AN63" s="168">
        <v>6.7870873999999999</v>
      </c>
      <c r="AO63" s="379"/>
      <c r="AP63" s="168">
        <v>7.3369378999999997</v>
      </c>
      <c r="AQ63" s="379"/>
      <c r="AR63" s="168">
        <v>5.7324947999999996</v>
      </c>
      <c r="AS63" s="379"/>
      <c r="AT63" s="168">
        <v>4.5059946999999996</v>
      </c>
      <c r="AU63" s="379"/>
      <c r="AV63" s="168">
        <v>5.1039876</v>
      </c>
      <c r="AW63" s="379"/>
      <c r="AX63" s="168">
        <v>4.5326046</v>
      </c>
      <c r="AY63" s="379"/>
      <c r="AZ63" s="168">
        <v>6.0141235999999996</v>
      </c>
      <c r="BA63" s="379"/>
      <c r="BB63" s="168">
        <v>3.2983104000000001</v>
      </c>
      <c r="BC63" s="379"/>
      <c r="BD63" s="168">
        <v>3.2027087999999999</v>
      </c>
      <c r="BE63" s="379"/>
      <c r="BF63" s="168">
        <v>3.1390965999999998</v>
      </c>
      <c r="BG63" s="379"/>
      <c r="BH63" s="230"/>
      <c r="BI63" s="184"/>
      <c r="CJ63" s="150"/>
      <c r="CK63" s="150"/>
      <c r="CL63" s="150"/>
      <c r="CM63" s="151" t="s">
        <v>981</v>
      </c>
      <c r="CN63" s="150" t="s">
        <v>1130</v>
      </c>
      <c r="CO63" s="150"/>
      <c r="CP63" s="150"/>
      <c r="CQ63" s="150"/>
      <c r="CR63" s="150"/>
      <c r="CS63" s="150"/>
      <c r="CT63" s="150"/>
    </row>
    <row r="64" spans="1:98" s="11" customFormat="1" ht="12.75" customHeight="1">
      <c r="A64" s="25"/>
      <c r="B64" s="87" t="str">
        <f>Parameters!Q63</f>
        <v>M</v>
      </c>
      <c r="C64" s="88"/>
      <c r="D64" s="498" t="str">
        <f>Parameters!S63</f>
        <v>Professional, scientific and technical activities</v>
      </c>
      <c r="E64" s="499"/>
      <c r="F64" s="222"/>
      <c r="G64" s="379"/>
      <c r="H64" s="223"/>
      <c r="I64" s="379"/>
      <c r="J64" s="223"/>
      <c r="K64" s="379"/>
      <c r="L64" s="223"/>
      <c r="M64" s="379"/>
      <c r="N64" s="223"/>
      <c r="O64" s="379"/>
      <c r="P64" s="223"/>
      <c r="Q64" s="379"/>
      <c r="R64" s="223"/>
      <c r="S64" s="379"/>
      <c r="T64" s="223"/>
      <c r="U64" s="379"/>
      <c r="V64" s="223"/>
      <c r="W64" s="379"/>
      <c r="X64" s="223"/>
      <c r="Y64" s="379"/>
      <c r="Z64" s="223"/>
      <c r="AA64" s="379"/>
      <c r="AB64" s="223"/>
      <c r="AC64" s="379"/>
      <c r="AD64" s="223"/>
      <c r="AE64" s="379"/>
      <c r="AF64" s="164">
        <v>4.1536613999999998</v>
      </c>
      <c r="AG64" s="379"/>
      <c r="AH64" s="164">
        <v>4.5015896</v>
      </c>
      <c r="AI64" s="379"/>
      <c r="AJ64" s="164">
        <v>5.4235215999999999</v>
      </c>
      <c r="AK64" s="379"/>
      <c r="AL64" s="164">
        <v>6.1117882000000003</v>
      </c>
      <c r="AM64" s="379"/>
      <c r="AN64" s="164">
        <v>5.9686262000000001</v>
      </c>
      <c r="AO64" s="379"/>
      <c r="AP64" s="164">
        <v>7.5212487000000001</v>
      </c>
      <c r="AQ64" s="379"/>
      <c r="AR64" s="164">
        <v>6.0976888000000002</v>
      </c>
      <c r="AS64" s="379"/>
      <c r="AT64" s="164">
        <v>4.5448854000000001</v>
      </c>
      <c r="AU64" s="379"/>
      <c r="AV64" s="164">
        <v>4.3263996999999996</v>
      </c>
      <c r="AW64" s="379"/>
      <c r="AX64" s="164">
        <v>3.7571055000000002</v>
      </c>
      <c r="AY64" s="379"/>
      <c r="AZ64" s="164">
        <v>3.3597776000000001</v>
      </c>
      <c r="BA64" s="379"/>
      <c r="BB64" s="164">
        <v>2.2740616</v>
      </c>
      <c r="BC64" s="379"/>
      <c r="BD64" s="164">
        <v>1.7445161</v>
      </c>
      <c r="BE64" s="379"/>
      <c r="BF64" s="164">
        <v>2.9026798999999999</v>
      </c>
      <c r="BG64" s="379"/>
      <c r="BH64" s="223"/>
      <c r="BI64" s="184"/>
      <c r="CJ64" s="150"/>
      <c r="CK64" s="150"/>
      <c r="CL64" s="150"/>
      <c r="CM64" s="151" t="s">
        <v>988</v>
      </c>
      <c r="CN64" s="150" t="s">
        <v>1130</v>
      </c>
      <c r="CO64" s="150"/>
      <c r="CP64" s="150"/>
      <c r="CQ64" s="150"/>
      <c r="CR64" s="150"/>
      <c r="CS64" s="150"/>
      <c r="CT64" s="150"/>
    </row>
    <row r="65" spans="1:98" s="11" customFormat="1" ht="26.25" customHeight="1">
      <c r="A65" s="26"/>
      <c r="B65" s="89" t="str">
        <f>Parameters!Q64</f>
        <v>M69-M71</v>
      </c>
      <c r="C65" s="90"/>
      <c r="D65" s="504" t="str">
        <f>Parameters!S64</f>
        <v>Legal and accounting activities; activities of head offices; management consultancy activities; architectural and engineering activities; technical testing and analysis</v>
      </c>
      <c r="E65" s="506"/>
      <c r="F65" s="252"/>
      <c r="G65" s="380"/>
      <c r="H65" s="253"/>
      <c r="I65" s="380"/>
      <c r="J65" s="253"/>
      <c r="K65" s="380"/>
      <c r="L65" s="253"/>
      <c r="M65" s="380"/>
      <c r="N65" s="253"/>
      <c r="O65" s="380"/>
      <c r="P65" s="253"/>
      <c r="Q65" s="380"/>
      <c r="R65" s="253"/>
      <c r="S65" s="380"/>
      <c r="T65" s="253"/>
      <c r="U65" s="380"/>
      <c r="V65" s="253"/>
      <c r="W65" s="380"/>
      <c r="X65" s="253"/>
      <c r="Y65" s="380"/>
      <c r="Z65" s="253"/>
      <c r="AA65" s="380"/>
      <c r="AB65" s="253"/>
      <c r="AC65" s="380"/>
      <c r="AD65" s="253"/>
      <c r="AE65" s="380"/>
      <c r="AF65" s="253">
        <v>0</v>
      </c>
      <c r="AG65" s="380"/>
      <c r="AH65" s="253">
        <v>0</v>
      </c>
      <c r="AI65" s="380"/>
      <c r="AJ65" s="253">
        <v>0</v>
      </c>
      <c r="AK65" s="380"/>
      <c r="AL65" s="253">
        <v>0</v>
      </c>
      <c r="AM65" s="380"/>
      <c r="AN65" s="253">
        <v>0</v>
      </c>
      <c r="AO65" s="380"/>
      <c r="AP65" s="253">
        <v>0</v>
      </c>
      <c r="AQ65" s="380"/>
      <c r="AR65" s="253">
        <v>0</v>
      </c>
      <c r="AS65" s="380"/>
      <c r="AT65" s="253">
        <v>0</v>
      </c>
      <c r="AU65" s="380"/>
      <c r="AV65" s="253">
        <v>0</v>
      </c>
      <c r="AW65" s="380"/>
      <c r="AX65" s="253">
        <v>0</v>
      </c>
      <c r="AY65" s="380"/>
      <c r="AZ65" s="253">
        <v>0</v>
      </c>
      <c r="BA65" s="380"/>
      <c r="BB65" s="253">
        <v>0</v>
      </c>
      <c r="BC65" s="380"/>
      <c r="BD65" s="253">
        <v>0</v>
      </c>
      <c r="BE65" s="380"/>
      <c r="BF65" s="253">
        <v>0</v>
      </c>
      <c r="BG65" s="380"/>
      <c r="BH65" s="253"/>
      <c r="BI65" s="254"/>
      <c r="CJ65" s="150"/>
      <c r="CK65" s="150"/>
      <c r="CL65" s="150"/>
      <c r="CM65" s="151"/>
      <c r="CN65" s="150"/>
      <c r="CO65" s="150"/>
      <c r="CP65" s="150"/>
      <c r="CQ65" s="150"/>
      <c r="CR65" s="150"/>
      <c r="CS65" s="150"/>
      <c r="CT65" s="150"/>
    </row>
    <row r="66" spans="1:98" s="10" customFormat="1">
      <c r="A66" s="310"/>
      <c r="B66" s="308" t="str">
        <f>Parameters!Q65</f>
        <v>M69_M70</v>
      </c>
      <c r="C66" s="309"/>
      <c r="D66" s="495" t="str">
        <f>Parameters!S65</f>
        <v>Legal and accounting activities; activities of head offices; management consultancy activities</v>
      </c>
      <c r="E66" s="496"/>
      <c r="F66" s="224"/>
      <c r="G66" s="379"/>
      <c r="H66" s="225"/>
      <c r="I66" s="379"/>
      <c r="J66" s="225"/>
      <c r="K66" s="379"/>
      <c r="L66" s="225"/>
      <c r="M66" s="379"/>
      <c r="N66" s="225"/>
      <c r="O66" s="379"/>
      <c r="P66" s="225"/>
      <c r="Q66" s="379"/>
      <c r="R66" s="225"/>
      <c r="S66" s="379"/>
      <c r="T66" s="225"/>
      <c r="U66" s="379"/>
      <c r="V66" s="225"/>
      <c r="W66" s="379"/>
      <c r="X66" s="225"/>
      <c r="Y66" s="379"/>
      <c r="Z66" s="225"/>
      <c r="AA66" s="379"/>
      <c r="AB66" s="225"/>
      <c r="AC66" s="379"/>
      <c r="AD66" s="225"/>
      <c r="AE66" s="379"/>
      <c r="AF66" s="165">
        <v>0.65349880000000005</v>
      </c>
      <c r="AG66" s="379"/>
      <c r="AH66" s="165">
        <v>0.58105519999999999</v>
      </c>
      <c r="AI66" s="379"/>
      <c r="AJ66" s="165">
        <v>0.95857060000000005</v>
      </c>
      <c r="AK66" s="379"/>
      <c r="AL66" s="165">
        <v>0.79355039999999999</v>
      </c>
      <c r="AM66" s="379"/>
      <c r="AN66" s="165">
        <v>0.65772560000000002</v>
      </c>
      <c r="AO66" s="379"/>
      <c r="AP66" s="165">
        <v>0.50998370000000004</v>
      </c>
      <c r="AQ66" s="379"/>
      <c r="AR66" s="165">
        <v>0.42862640000000002</v>
      </c>
      <c r="AS66" s="379"/>
      <c r="AT66" s="165">
        <v>0.45500350000000001</v>
      </c>
      <c r="AU66" s="379"/>
      <c r="AV66" s="165">
        <v>0.39141930000000003</v>
      </c>
      <c r="AW66" s="379"/>
      <c r="AX66" s="165">
        <v>0.38482290000000002</v>
      </c>
      <c r="AY66" s="379"/>
      <c r="AZ66" s="165">
        <v>0.46415659999999997</v>
      </c>
      <c r="BA66" s="379"/>
      <c r="BB66" s="165">
        <v>0.44701600000000002</v>
      </c>
      <c r="BC66" s="379"/>
      <c r="BD66" s="165">
        <v>0.26193949999999999</v>
      </c>
      <c r="BE66" s="379"/>
      <c r="BF66" s="165">
        <v>0.3743918</v>
      </c>
      <c r="BG66" s="379"/>
      <c r="BH66" s="225"/>
      <c r="BI66" s="184"/>
      <c r="CJ66" s="150"/>
      <c r="CK66" s="150"/>
      <c r="CL66" s="150"/>
      <c r="CM66" s="151" t="s">
        <v>1141</v>
      </c>
      <c r="CN66" s="150" t="s">
        <v>1130</v>
      </c>
      <c r="CO66" s="150"/>
      <c r="CP66" s="150"/>
      <c r="CQ66" s="150"/>
      <c r="CR66" s="150"/>
      <c r="CS66" s="150"/>
      <c r="CT66" s="150"/>
    </row>
    <row r="67" spans="1:98" s="10" customFormat="1" ht="12.75" customHeight="1">
      <c r="A67" s="310"/>
      <c r="B67" s="308" t="str">
        <f>Parameters!Q66</f>
        <v>M71</v>
      </c>
      <c r="C67" s="309"/>
      <c r="D67" s="495" t="str">
        <f>Parameters!S66</f>
        <v>Architectural and engineering activities; technical testing and analysis</v>
      </c>
      <c r="E67" s="496"/>
      <c r="F67" s="224"/>
      <c r="G67" s="379"/>
      <c r="H67" s="225"/>
      <c r="I67" s="379"/>
      <c r="J67" s="225"/>
      <c r="K67" s="379"/>
      <c r="L67" s="225"/>
      <c r="M67" s="379"/>
      <c r="N67" s="225"/>
      <c r="O67" s="379"/>
      <c r="P67" s="225"/>
      <c r="Q67" s="379"/>
      <c r="R67" s="225"/>
      <c r="S67" s="379"/>
      <c r="T67" s="225"/>
      <c r="U67" s="379"/>
      <c r="V67" s="225"/>
      <c r="W67" s="379"/>
      <c r="X67" s="225"/>
      <c r="Y67" s="379"/>
      <c r="Z67" s="225"/>
      <c r="AA67" s="379"/>
      <c r="AB67" s="225"/>
      <c r="AC67" s="379"/>
      <c r="AD67" s="225"/>
      <c r="AE67" s="379"/>
      <c r="AF67" s="165">
        <v>2.2455807000000001</v>
      </c>
      <c r="AG67" s="379"/>
      <c r="AH67" s="165">
        <v>2.6352528999999998</v>
      </c>
      <c r="AI67" s="379"/>
      <c r="AJ67" s="165">
        <v>3.1222599999999998</v>
      </c>
      <c r="AK67" s="379"/>
      <c r="AL67" s="165">
        <v>3.5437441000000001</v>
      </c>
      <c r="AM67" s="379"/>
      <c r="AN67" s="165">
        <v>3.6771299000000002</v>
      </c>
      <c r="AO67" s="379"/>
      <c r="AP67" s="165">
        <v>5.2206751999999996</v>
      </c>
      <c r="AQ67" s="379"/>
      <c r="AR67" s="165">
        <v>4.0503013000000001</v>
      </c>
      <c r="AS67" s="379"/>
      <c r="AT67" s="165">
        <v>2.7556967000000001</v>
      </c>
      <c r="AU67" s="379"/>
      <c r="AV67" s="165">
        <v>2.5476385000000001</v>
      </c>
      <c r="AW67" s="379"/>
      <c r="AX67" s="165">
        <v>1.8428876000000001</v>
      </c>
      <c r="AY67" s="379"/>
      <c r="AZ67" s="165">
        <v>1.7376185</v>
      </c>
      <c r="BA67" s="379"/>
      <c r="BB67" s="165">
        <v>1.2397674000000001</v>
      </c>
      <c r="BC67" s="379"/>
      <c r="BD67" s="165">
        <v>1.0737413</v>
      </c>
      <c r="BE67" s="379"/>
      <c r="BF67" s="165">
        <v>2.1207563</v>
      </c>
      <c r="BG67" s="379"/>
      <c r="BH67" s="225"/>
      <c r="BI67" s="184"/>
      <c r="CJ67" s="150"/>
      <c r="CK67" s="150"/>
      <c r="CL67" s="150"/>
      <c r="CM67" s="151" t="s">
        <v>1007</v>
      </c>
      <c r="CN67" s="150" t="s">
        <v>1130</v>
      </c>
      <c r="CO67" s="150"/>
      <c r="CP67" s="150"/>
      <c r="CQ67" s="150"/>
      <c r="CR67" s="150"/>
      <c r="CS67" s="150"/>
      <c r="CT67" s="150"/>
    </row>
    <row r="68" spans="1:98" s="10" customFormat="1" ht="12.75" customHeight="1">
      <c r="A68" s="26"/>
      <c r="B68" s="89" t="str">
        <f>Parameters!Q67</f>
        <v>M72</v>
      </c>
      <c r="C68" s="90"/>
      <c r="D68" s="504" t="str">
        <f>Parameters!S67</f>
        <v>Scientific research and development</v>
      </c>
      <c r="E68" s="505"/>
      <c r="F68" s="226"/>
      <c r="G68" s="379"/>
      <c r="H68" s="227"/>
      <c r="I68" s="379"/>
      <c r="J68" s="227"/>
      <c r="K68" s="379"/>
      <c r="L68" s="227"/>
      <c r="M68" s="379"/>
      <c r="N68" s="227"/>
      <c r="O68" s="379"/>
      <c r="P68" s="227"/>
      <c r="Q68" s="379"/>
      <c r="R68" s="227"/>
      <c r="S68" s="379"/>
      <c r="T68" s="227"/>
      <c r="U68" s="379"/>
      <c r="V68" s="227"/>
      <c r="W68" s="379"/>
      <c r="X68" s="227"/>
      <c r="Y68" s="379"/>
      <c r="Z68" s="227"/>
      <c r="AA68" s="379"/>
      <c r="AB68" s="227"/>
      <c r="AC68" s="379"/>
      <c r="AD68" s="227"/>
      <c r="AE68" s="379"/>
      <c r="AF68" s="166">
        <v>0.73099999999999998</v>
      </c>
      <c r="AG68" s="379"/>
      <c r="AH68" s="166">
        <v>0.82934779999999997</v>
      </c>
      <c r="AI68" s="379"/>
      <c r="AJ68" s="166">
        <v>0.67437429999999998</v>
      </c>
      <c r="AK68" s="379"/>
      <c r="AL68" s="166">
        <v>1.1668548000000001</v>
      </c>
      <c r="AM68" s="379"/>
      <c r="AN68" s="166">
        <v>1.0694399999999999</v>
      </c>
      <c r="AO68" s="379"/>
      <c r="AP68" s="166">
        <v>1.1696479</v>
      </c>
      <c r="AQ68" s="379"/>
      <c r="AR68" s="166">
        <v>1.0852107</v>
      </c>
      <c r="AS68" s="379"/>
      <c r="AT68" s="166">
        <v>0.75388920000000004</v>
      </c>
      <c r="AU68" s="379"/>
      <c r="AV68" s="166">
        <v>0.88231570000000004</v>
      </c>
      <c r="AW68" s="379"/>
      <c r="AX68" s="166">
        <v>1.0164173999999999</v>
      </c>
      <c r="AY68" s="379"/>
      <c r="AZ68" s="166">
        <v>0.66539539999999997</v>
      </c>
      <c r="BA68" s="379"/>
      <c r="BB68" s="166">
        <v>7.6834399999999997E-2</v>
      </c>
      <c r="BC68" s="379"/>
      <c r="BD68" s="166">
        <v>6.2137900000000003E-2</v>
      </c>
      <c r="BE68" s="379"/>
      <c r="BF68" s="166">
        <v>6.0754299999999997E-2</v>
      </c>
      <c r="BG68" s="379"/>
      <c r="BH68" s="227"/>
      <c r="BI68" s="184"/>
      <c r="CJ68" s="150"/>
      <c r="CK68" s="150"/>
      <c r="CL68" s="150"/>
      <c r="CM68" s="151" t="s">
        <v>1011</v>
      </c>
      <c r="CN68" s="150" t="s">
        <v>1130</v>
      </c>
      <c r="CO68" s="150"/>
      <c r="CP68" s="150"/>
      <c r="CQ68" s="150"/>
      <c r="CR68" s="150"/>
      <c r="CS68" s="150"/>
      <c r="CT68" s="150"/>
    </row>
    <row r="69" spans="1:98" s="10" customFormat="1" ht="24" customHeight="1">
      <c r="A69" s="26"/>
      <c r="B69" s="89" t="str">
        <f>Parameters!Q68</f>
        <v>M73-M75</v>
      </c>
      <c r="C69" s="90"/>
      <c r="D69" s="504" t="str">
        <f>Parameters!S68</f>
        <v>Advertising and market research; other professional, scientific and technical activities; veterinary activities</v>
      </c>
      <c r="E69" s="506"/>
      <c r="F69" s="252"/>
      <c r="G69" s="380"/>
      <c r="H69" s="253"/>
      <c r="I69" s="380"/>
      <c r="J69" s="253"/>
      <c r="K69" s="380"/>
      <c r="L69" s="253"/>
      <c r="M69" s="380"/>
      <c r="N69" s="253"/>
      <c r="O69" s="380"/>
      <c r="P69" s="253"/>
      <c r="Q69" s="380"/>
      <c r="R69" s="253"/>
      <c r="S69" s="380"/>
      <c r="T69" s="253"/>
      <c r="U69" s="380"/>
      <c r="V69" s="253"/>
      <c r="W69" s="380"/>
      <c r="X69" s="253"/>
      <c r="Y69" s="380"/>
      <c r="Z69" s="253"/>
      <c r="AA69" s="380"/>
      <c r="AB69" s="253"/>
      <c r="AC69" s="380"/>
      <c r="AD69" s="253"/>
      <c r="AE69" s="380"/>
      <c r="AF69" s="253">
        <v>0</v>
      </c>
      <c r="AG69" s="380"/>
      <c r="AH69" s="253">
        <v>0</v>
      </c>
      <c r="AI69" s="380"/>
      <c r="AJ69" s="253">
        <v>0</v>
      </c>
      <c r="AK69" s="380"/>
      <c r="AL69" s="253">
        <v>0</v>
      </c>
      <c r="AM69" s="380"/>
      <c r="AN69" s="253">
        <v>0</v>
      </c>
      <c r="AO69" s="380"/>
      <c r="AP69" s="253">
        <v>0</v>
      </c>
      <c r="AQ69" s="380"/>
      <c r="AR69" s="253">
        <v>0</v>
      </c>
      <c r="AS69" s="380"/>
      <c r="AT69" s="253">
        <v>0</v>
      </c>
      <c r="AU69" s="380"/>
      <c r="AV69" s="253">
        <v>0</v>
      </c>
      <c r="AW69" s="380"/>
      <c r="AX69" s="253">
        <v>0</v>
      </c>
      <c r="AY69" s="380"/>
      <c r="AZ69" s="253">
        <v>0</v>
      </c>
      <c r="BA69" s="380"/>
      <c r="BB69" s="253">
        <v>0</v>
      </c>
      <c r="BC69" s="380"/>
      <c r="BD69" s="253">
        <v>0</v>
      </c>
      <c r="BE69" s="380"/>
      <c r="BF69" s="253">
        <v>0</v>
      </c>
      <c r="BG69" s="380"/>
      <c r="BH69" s="253"/>
      <c r="BI69" s="254"/>
      <c r="CJ69" s="150"/>
      <c r="CK69" s="150"/>
      <c r="CL69" s="150"/>
      <c r="CM69" s="151"/>
      <c r="CN69" s="150"/>
      <c r="CO69" s="150"/>
      <c r="CP69" s="150"/>
      <c r="CQ69" s="150"/>
      <c r="CR69" s="150"/>
      <c r="CS69" s="150"/>
      <c r="CT69" s="150"/>
    </row>
    <row r="70" spans="1:98" s="10" customFormat="1" ht="12.75" customHeight="1">
      <c r="A70" s="310"/>
      <c r="B70" s="308" t="str">
        <f>Parameters!Q69</f>
        <v>M73</v>
      </c>
      <c r="C70" s="309"/>
      <c r="D70" s="495" t="str">
        <f>Parameters!S69</f>
        <v>Advertising and market research</v>
      </c>
      <c r="E70" s="496"/>
      <c r="F70" s="224"/>
      <c r="G70" s="379"/>
      <c r="H70" s="225"/>
      <c r="I70" s="379"/>
      <c r="J70" s="225"/>
      <c r="K70" s="379"/>
      <c r="L70" s="225"/>
      <c r="M70" s="379"/>
      <c r="N70" s="225"/>
      <c r="O70" s="379"/>
      <c r="P70" s="225"/>
      <c r="Q70" s="379"/>
      <c r="R70" s="225"/>
      <c r="S70" s="379"/>
      <c r="T70" s="225"/>
      <c r="U70" s="379"/>
      <c r="V70" s="225"/>
      <c r="W70" s="379"/>
      <c r="X70" s="225"/>
      <c r="Y70" s="379"/>
      <c r="Z70" s="225"/>
      <c r="AA70" s="379"/>
      <c r="AB70" s="225"/>
      <c r="AC70" s="379"/>
      <c r="AD70" s="225"/>
      <c r="AE70" s="379"/>
      <c r="AF70" s="165">
        <v>0.23004040000000001</v>
      </c>
      <c r="AG70" s="379"/>
      <c r="AH70" s="165">
        <v>0.20118820000000001</v>
      </c>
      <c r="AI70" s="379"/>
      <c r="AJ70" s="165">
        <v>0.2297285</v>
      </c>
      <c r="AK70" s="379"/>
      <c r="AL70" s="165">
        <v>0.24723139999999999</v>
      </c>
      <c r="AM70" s="379"/>
      <c r="AN70" s="165">
        <v>0.2266571</v>
      </c>
      <c r="AO70" s="379"/>
      <c r="AP70" s="165">
        <v>0.26600889999999999</v>
      </c>
      <c r="AQ70" s="379"/>
      <c r="AR70" s="165">
        <v>0.20733460000000001</v>
      </c>
      <c r="AS70" s="379"/>
      <c r="AT70" s="165">
        <v>0.18834989999999999</v>
      </c>
      <c r="AU70" s="379"/>
      <c r="AV70" s="165">
        <v>0.1280036</v>
      </c>
      <c r="AW70" s="379"/>
      <c r="AX70" s="165">
        <v>0.13989779999999999</v>
      </c>
      <c r="AY70" s="379"/>
      <c r="AZ70" s="165">
        <v>0.14124390000000001</v>
      </c>
      <c r="BA70" s="379"/>
      <c r="BB70" s="165">
        <v>0.14582590000000001</v>
      </c>
      <c r="BC70" s="379"/>
      <c r="BD70" s="165">
        <v>9.3320799999999995E-2</v>
      </c>
      <c r="BE70" s="379"/>
      <c r="BF70" s="165">
        <v>9.6557599999999993E-2</v>
      </c>
      <c r="BG70" s="379"/>
      <c r="BH70" s="225"/>
      <c r="BI70" s="184"/>
      <c r="CJ70" s="150"/>
      <c r="CK70" s="150"/>
      <c r="CL70" s="150"/>
      <c r="CM70" s="151" t="s">
        <v>1022</v>
      </c>
      <c r="CN70" s="150" t="s">
        <v>1130</v>
      </c>
      <c r="CO70" s="150"/>
      <c r="CP70" s="150"/>
      <c r="CQ70" s="150"/>
      <c r="CR70" s="150"/>
      <c r="CS70" s="150"/>
      <c r="CT70" s="150"/>
    </row>
    <row r="71" spans="1:98" s="11" customFormat="1" ht="12.75" customHeight="1">
      <c r="A71" s="310"/>
      <c r="B71" s="308" t="str">
        <f>Parameters!Q70</f>
        <v>M74_M75</v>
      </c>
      <c r="C71" s="309"/>
      <c r="D71" s="495" t="str">
        <f>Parameters!S70</f>
        <v>Other professional, scientific and technical activities; veterinary activities</v>
      </c>
      <c r="E71" s="496"/>
      <c r="F71" s="224"/>
      <c r="G71" s="379"/>
      <c r="H71" s="225"/>
      <c r="I71" s="379"/>
      <c r="J71" s="225"/>
      <c r="K71" s="379"/>
      <c r="L71" s="225"/>
      <c r="M71" s="379"/>
      <c r="N71" s="225"/>
      <c r="O71" s="379"/>
      <c r="P71" s="225"/>
      <c r="Q71" s="379"/>
      <c r="R71" s="225"/>
      <c r="S71" s="379"/>
      <c r="T71" s="225"/>
      <c r="U71" s="379"/>
      <c r="V71" s="225"/>
      <c r="W71" s="379"/>
      <c r="X71" s="225"/>
      <c r="Y71" s="379"/>
      <c r="Z71" s="225"/>
      <c r="AA71" s="379"/>
      <c r="AB71" s="225"/>
      <c r="AC71" s="379"/>
      <c r="AD71" s="225"/>
      <c r="AE71" s="379"/>
      <c r="AF71" s="165">
        <v>0.29354140000000001</v>
      </c>
      <c r="AG71" s="379"/>
      <c r="AH71" s="165">
        <v>0.25474560000000002</v>
      </c>
      <c r="AI71" s="379"/>
      <c r="AJ71" s="165">
        <v>0.43858819999999998</v>
      </c>
      <c r="AK71" s="379"/>
      <c r="AL71" s="165">
        <v>0.36040749999999999</v>
      </c>
      <c r="AM71" s="379"/>
      <c r="AN71" s="165">
        <v>0.33767350000000002</v>
      </c>
      <c r="AO71" s="379"/>
      <c r="AP71" s="165">
        <v>0.3549331</v>
      </c>
      <c r="AQ71" s="379"/>
      <c r="AR71" s="165">
        <v>0.3262158</v>
      </c>
      <c r="AS71" s="379"/>
      <c r="AT71" s="165">
        <v>0.39194610000000002</v>
      </c>
      <c r="AU71" s="379"/>
      <c r="AV71" s="165">
        <v>0.37702259999999999</v>
      </c>
      <c r="AW71" s="379"/>
      <c r="AX71" s="165">
        <v>0.37307980000000002</v>
      </c>
      <c r="AY71" s="379"/>
      <c r="AZ71" s="165">
        <v>0.35136319999999999</v>
      </c>
      <c r="BA71" s="379"/>
      <c r="BB71" s="165">
        <v>0.36461789999999999</v>
      </c>
      <c r="BC71" s="379"/>
      <c r="BD71" s="165">
        <v>0.2533765</v>
      </c>
      <c r="BE71" s="379"/>
      <c r="BF71" s="165">
        <v>0.2502199</v>
      </c>
      <c r="BG71" s="379"/>
      <c r="BH71" s="225"/>
      <c r="BI71" s="184"/>
      <c r="CJ71" s="150"/>
      <c r="CK71" s="150"/>
      <c r="CL71" s="150"/>
      <c r="CM71" s="151" t="s">
        <v>1142</v>
      </c>
      <c r="CN71" s="150" t="s">
        <v>1130</v>
      </c>
      <c r="CO71" s="150"/>
      <c r="CP71" s="150"/>
      <c r="CQ71" s="150"/>
      <c r="CR71" s="150"/>
      <c r="CS71" s="150"/>
      <c r="CT71" s="150"/>
    </row>
    <row r="72" spans="1:98" s="11" customFormat="1" ht="12.75" customHeight="1">
      <c r="A72" s="25"/>
      <c r="B72" s="87" t="str">
        <f>Parameters!Q71</f>
        <v>N</v>
      </c>
      <c r="C72" s="88"/>
      <c r="D72" s="498" t="str">
        <f>Parameters!S71</f>
        <v>Administrative and support service activities</v>
      </c>
      <c r="E72" s="499"/>
      <c r="F72" s="222"/>
      <c r="G72" s="379"/>
      <c r="H72" s="223"/>
      <c r="I72" s="379"/>
      <c r="J72" s="223"/>
      <c r="K72" s="379"/>
      <c r="L72" s="223"/>
      <c r="M72" s="379"/>
      <c r="N72" s="223"/>
      <c r="O72" s="379"/>
      <c r="P72" s="223"/>
      <c r="Q72" s="379"/>
      <c r="R72" s="223"/>
      <c r="S72" s="379"/>
      <c r="T72" s="223"/>
      <c r="U72" s="379"/>
      <c r="V72" s="223"/>
      <c r="W72" s="379"/>
      <c r="X72" s="223"/>
      <c r="Y72" s="379"/>
      <c r="Z72" s="223"/>
      <c r="AA72" s="379"/>
      <c r="AB72" s="223"/>
      <c r="AC72" s="379"/>
      <c r="AD72" s="223"/>
      <c r="AE72" s="379"/>
      <c r="AF72" s="164">
        <v>4.1638203000000003</v>
      </c>
      <c r="AG72" s="379"/>
      <c r="AH72" s="164">
        <v>4.3332417999999997</v>
      </c>
      <c r="AI72" s="379"/>
      <c r="AJ72" s="164">
        <v>7.5098231000000002</v>
      </c>
      <c r="AK72" s="379"/>
      <c r="AL72" s="164">
        <v>6.4006442000000003</v>
      </c>
      <c r="AM72" s="379"/>
      <c r="AN72" s="164">
        <v>5.1354967</v>
      </c>
      <c r="AO72" s="379"/>
      <c r="AP72" s="164">
        <v>6.0342425999999998</v>
      </c>
      <c r="AQ72" s="379"/>
      <c r="AR72" s="164">
        <v>5.6776059999999999</v>
      </c>
      <c r="AS72" s="379"/>
      <c r="AT72" s="164">
        <v>6.3201147000000004</v>
      </c>
      <c r="AU72" s="379"/>
      <c r="AV72" s="164">
        <v>7.6698937000000003</v>
      </c>
      <c r="AW72" s="379"/>
      <c r="AX72" s="164">
        <v>8.9252535000000002</v>
      </c>
      <c r="AY72" s="379"/>
      <c r="AZ72" s="164">
        <v>13.796380299999999</v>
      </c>
      <c r="BA72" s="379"/>
      <c r="BB72" s="164">
        <v>8.2980484000000008</v>
      </c>
      <c r="BC72" s="379"/>
      <c r="BD72" s="164">
        <v>4.8925774999999998</v>
      </c>
      <c r="BE72" s="379"/>
      <c r="BF72" s="164">
        <v>4.9504418000000001</v>
      </c>
      <c r="BG72" s="379"/>
      <c r="BH72" s="223"/>
      <c r="BI72" s="184"/>
      <c r="CJ72" s="150"/>
      <c r="CK72" s="150"/>
      <c r="CL72" s="150"/>
      <c r="CM72" s="151" t="s">
        <v>1031</v>
      </c>
      <c r="CN72" s="150" t="s">
        <v>1130</v>
      </c>
      <c r="CO72" s="150"/>
      <c r="CP72" s="150"/>
      <c r="CQ72" s="150"/>
      <c r="CR72" s="150"/>
      <c r="CS72" s="150"/>
      <c r="CT72" s="150"/>
    </row>
    <row r="73" spans="1:98" s="11" customFormat="1" ht="12.75" customHeight="1">
      <c r="A73" s="310"/>
      <c r="B73" s="308" t="str">
        <f>Parameters!Q72</f>
        <v>N77</v>
      </c>
      <c r="C73" s="309"/>
      <c r="D73" s="495" t="str">
        <f>Parameters!S72</f>
        <v>Rental and leasing activities</v>
      </c>
      <c r="E73" s="496"/>
      <c r="F73" s="224"/>
      <c r="G73" s="379"/>
      <c r="H73" s="225"/>
      <c r="I73" s="379"/>
      <c r="J73" s="225"/>
      <c r="K73" s="379"/>
      <c r="L73" s="225"/>
      <c r="M73" s="379"/>
      <c r="N73" s="225"/>
      <c r="O73" s="379"/>
      <c r="P73" s="225"/>
      <c r="Q73" s="379"/>
      <c r="R73" s="225"/>
      <c r="S73" s="379"/>
      <c r="T73" s="225"/>
      <c r="U73" s="379"/>
      <c r="V73" s="225"/>
      <c r="W73" s="379"/>
      <c r="X73" s="225"/>
      <c r="Y73" s="379"/>
      <c r="Z73" s="225"/>
      <c r="AA73" s="379"/>
      <c r="AB73" s="225"/>
      <c r="AC73" s="379"/>
      <c r="AD73" s="225"/>
      <c r="AE73" s="379"/>
      <c r="AF73" s="165">
        <v>0.81577250000000001</v>
      </c>
      <c r="AG73" s="379"/>
      <c r="AH73" s="165">
        <v>0.78932849999999999</v>
      </c>
      <c r="AI73" s="379"/>
      <c r="AJ73" s="165">
        <v>1.6406581</v>
      </c>
      <c r="AK73" s="379"/>
      <c r="AL73" s="165">
        <v>1.3360618</v>
      </c>
      <c r="AM73" s="379"/>
      <c r="AN73" s="165">
        <v>1.0180201</v>
      </c>
      <c r="AO73" s="379"/>
      <c r="AP73" s="165">
        <v>1.5787431000000001</v>
      </c>
      <c r="AQ73" s="379"/>
      <c r="AR73" s="165">
        <v>1.9266281000000001</v>
      </c>
      <c r="AS73" s="379"/>
      <c r="AT73" s="165">
        <v>2.4166265</v>
      </c>
      <c r="AU73" s="379"/>
      <c r="AV73" s="165">
        <v>2.3210706999999999</v>
      </c>
      <c r="AW73" s="379"/>
      <c r="AX73" s="165">
        <v>2.5907094000000002</v>
      </c>
      <c r="AY73" s="379"/>
      <c r="AZ73" s="165">
        <v>7.7587155000000001</v>
      </c>
      <c r="BA73" s="379"/>
      <c r="BB73" s="165">
        <v>4.1621135000000002</v>
      </c>
      <c r="BC73" s="379"/>
      <c r="BD73" s="165">
        <v>1.5464894</v>
      </c>
      <c r="BE73" s="379"/>
      <c r="BF73" s="165">
        <v>1.9296188000000001</v>
      </c>
      <c r="BG73" s="379"/>
      <c r="BH73" s="225"/>
      <c r="BI73" s="184"/>
      <c r="CJ73" s="150"/>
      <c r="CK73" s="150"/>
      <c r="CL73" s="150"/>
      <c r="CM73" s="151" t="s">
        <v>1035</v>
      </c>
      <c r="CN73" s="150" t="s">
        <v>1130</v>
      </c>
      <c r="CO73" s="150"/>
      <c r="CP73" s="150"/>
      <c r="CQ73" s="150"/>
      <c r="CR73" s="150"/>
      <c r="CS73" s="150"/>
      <c r="CT73" s="150"/>
    </row>
    <row r="74" spans="1:98" s="11" customFormat="1" ht="12.75" customHeight="1">
      <c r="A74" s="310"/>
      <c r="B74" s="308" t="str">
        <f>Parameters!Q73</f>
        <v>N78</v>
      </c>
      <c r="C74" s="309"/>
      <c r="D74" s="495" t="str">
        <f>Parameters!S73</f>
        <v>Employment activities</v>
      </c>
      <c r="E74" s="496"/>
      <c r="F74" s="224"/>
      <c r="G74" s="379"/>
      <c r="H74" s="225"/>
      <c r="I74" s="379"/>
      <c r="J74" s="225"/>
      <c r="K74" s="379"/>
      <c r="L74" s="225"/>
      <c r="M74" s="379"/>
      <c r="N74" s="225"/>
      <c r="O74" s="379"/>
      <c r="P74" s="225"/>
      <c r="Q74" s="379"/>
      <c r="R74" s="225"/>
      <c r="S74" s="379"/>
      <c r="T74" s="225"/>
      <c r="U74" s="379"/>
      <c r="V74" s="225"/>
      <c r="W74" s="379"/>
      <c r="X74" s="225"/>
      <c r="Y74" s="379"/>
      <c r="Z74" s="225"/>
      <c r="AA74" s="379"/>
      <c r="AB74" s="225"/>
      <c r="AC74" s="379"/>
      <c r="AD74" s="225"/>
      <c r="AE74" s="379"/>
      <c r="AF74" s="165">
        <v>0.15107719999999999</v>
      </c>
      <c r="AG74" s="379"/>
      <c r="AH74" s="165">
        <v>0.13219049999999999</v>
      </c>
      <c r="AI74" s="379"/>
      <c r="AJ74" s="165">
        <v>0.2006896</v>
      </c>
      <c r="AK74" s="379"/>
      <c r="AL74" s="165">
        <v>0.17310980000000001</v>
      </c>
      <c r="AM74" s="379"/>
      <c r="AN74" s="165">
        <v>0.17308899999999999</v>
      </c>
      <c r="AO74" s="379"/>
      <c r="AP74" s="165">
        <v>0.43470199999999998</v>
      </c>
      <c r="AQ74" s="379"/>
      <c r="AR74" s="165">
        <v>0.28003240000000001</v>
      </c>
      <c r="AS74" s="379"/>
      <c r="AT74" s="165">
        <v>0.39557179999999997</v>
      </c>
      <c r="AU74" s="379"/>
      <c r="AV74" s="165">
        <v>1.4924757</v>
      </c>
      <c r="AW74" s="379"/>
      <c r="AX74" s="165">
        <v>2.3790220999999998</v>
      </c>
      <c r="AY74" s="379"/>
      <c r="AZ74" s="165">
        <v>1.9022477</v>
      </c>
      <c r="BA74" s="379"/>
      <c r="BB74" s="165">
        <v>0.26162390000000002</v>
      </c>
      <c r="BC74" s="379"/>
      <c r="BD74" s="165">
        <v>0.1992101</v>
      </c>
      <c r="BE74" s="379"/>
      <c r="BF74" s="165">
        <v>0.18292939999999999</v>
      </c>
      <c r="BG74" s="379"/>
      <c r="BH74" s="225"/>
      <c r="BI74" s="184"/>
      <c r="CJ74" s="150"/>
      <c r="CK74" s="150"/>
      <c r="CL74" s="150"/>
      <c r="CM74" s="151" t="s">
        <v>1039</v>
      </c>
      <c r="CN74" s="150" t="s">
        <v>1130</v>
      </c>
      <c r="CO74" s="150"/>
      <c r="CP74" s="150"/>
      <c r="CQ74" s="150"/>
      <c r="CR74" s="150"/>
      <c r="CS74" s="150"/>
      <c r="CT74" s="150"/>
    </row>
    <row r="75" spans="1:98" s="11" customFormat="1" ht="12.75" customHeight="1">
      <c r="A75" s="310"/>
      <c r="B75" s="308" t="str">
        <f>Parameters!Q74</f>
        <v>N79</v>
      </c>
      <c r="C75" s="309"/>
      <c r="D75" s="495" t="str">
        <f>Parameters!S74</f>
        <v>Travel agency, tour operator reservation service and related activities</v>
      </c>
      <c r="E75" s="496"/>
      <c r="F75" s="224"/>
      <c r="G75" s="379"/>
      <c r="H75" s="225"/>
      <c r="I75" s="379"/>
      <c r="J75" s="225"/>
      <c r="K75" s="379"/>
      <c r="L75" s="225"/>
      <c r="M75" s="379"/>
      <c r="N75" s="225"/>
      <c r="O75" s="379"/>
      <c r="P75" s="225"/>
      <c r="Q75" s="379"/>
      <c r="R75" s="225"/>
      <c r="S75" s="379"/>
      <c r="T75" s="225"/>
      <c r="U75" s="379"/>
      <c r="V75" s="225"/>
      <c r="W75" s="379"/>
      <c r="X75" s="225"/>
      <c r="Y75" s="379"/>
      <c r="Z75" s="225"/>
      <c r="AA75" s="379"/>
      <c r="AB75" s="225"/>
      <c r="AC75" s="379"/>
      <c r="AD75" s="225"/>
      <c r="AE75" s="379"/>
      <c r="AF75" s="165">
        <v>0.20676919999999999</v>
      </c>
      <c r="AG75" s="379"/>
      <c r="AH75" s="165">
        <v>0.18795880000000001</v>
      </c>
      <c r="AI75" s="379"/>
      <c r="AJ75" s="165">
        <v>0.22403890000000001</v>
      </c>
      <c r="AK75" s="379"/>
      <c r="AL75" s="165">
        <v>0.25427559999999999</v>
      </c>
      <c r="AM75" s="379"/>
      <c r="AN75" s="165">
        <v>0.29067409999999999</v>
      </c>
      <c r="AO75" s="379"/>
      <c r="AP75" s="165">
        <v>0.17185059999999999</v>
      </c>
      <c r="AQ75" s="379"/>
      <c r="AR75" s="165">
        <v>0.1442688</v>
      </c>
      <c r="AS75" s="379"/>
      <c r="AT75" s="165">
        <v>0.22563269999999999</v>
      </c>
      <c r="AU75" s="379"/>
      <c r="AV75" s="165">
        <v>0.24170610000000001</v>
      </c>
      <c r="AW75" s="379"/>
      <c r="AX75" s="165">
        <v>0.1806778</v>
      </c>
      <c r="AY75" s="379"/>
      <c r="AZ75" s="165">
        <v>0.18196100000000001</v>
      </c>
      <c r="BA75" s="379"/>
      <c r="BB75" s="165">
        <v>0.2073634</v>
      </c>
      <c r="BC75" s="379"/>
      <c r="BD75" s="165">
        <v>0.1295887</v>
      </c>
      <c r="BE75" s="379"/>
      <c r="BF75" s="165">
        <v>0.10974490000000001</v>
      </c>
      <c r="BG75" s="379"/>
      <c r="BH75" s="225"/>
      <c r="BI75" s="184"/>
      <c r="CJ75" s="150"/>
      <c r="CK75" s="150"/>
      <c r="CL75" s="150"/>
      <c r="CM75" s="151" t="s">
        <v>1043</v>
      </c>
      <c r="CN75" s="150" t="s">
        <v>1130</v>
      </c>
      <c r="CO75" s="150"/>
      <c r="CP75" s="150"/>
      <c r="CQ75" s="150"/>
      <c r="CR75" s="150"/>
      <c r="CS75" s="150"/>
      <c r="CT75" s="150"/>
    </row>
    <row r="76" spans="1:98" s="11" customFormat="1">
      <c r="A76" s="310"/>
      <c r="B76" s="308" t="str">
        <f>Parameters!Q75</f>
        <v>N80-N82</v>
      </c>
      <c r="C76" s="309"/>
      <c r="D76" s="495" t="str">
        <f>Parameters!S75</f>
        <v>Security and investigation, service and landscape, office administrative and support activities</v>
      </c>
      <c r="E76" s="497"/>
      <c r="F76" s="224"/>
      <c r="G76" s="379"/>
      <c r="H76" s="225"/>
      <c r="I76" s="379"/>
      <c r="J76" s="225"/>
      <c r="K76" s="379"/>
      <c r="L76" s="225"/>
      <c r="M76" s="379"/>
      <c r="N76" s="225"/>
      <c r="O76" s="379"/>
      <c r="P76" s="225"/>
      <c r="Q76" s="379"/>
      <c r="R76" s="225"/>
      <c r="S76" s="379"/>
      <c r="T76" s="225"/>
      <c r="U76" s="379"/>
      <c r="V76" s="225"/>
      <c r="W76" s="379"/>
      <c r="X76" s="225"/>
      <c r="Y76" s="379"/>
      <c r="Z76" s="225"/>
      <c r="AA76" s="379"/>
      <c r="AB76" s="225"/>
      <c r="AC76" s="379"/>
      <c r="AD76" s="225"/>
      <c r="AE76" s="379"/>
      <c r="AF76" s="165">
        <v>2.9902014000000001</v>
      </c>
      <c r="AG76" s="379"/>
      <c r="AH76" s="165">
        <v>3.2237638999999998</v>
      </c>
      <c r="AI76" s="379"/>
      <c r="AJ76" s="165">
        <v>5.4444365000000001</v>
      </c>
      <c r="AK76" s="379"/>
      <c r="AL76" s="165">
        <v>4.6371969999999996</v>
      </c>
      <c r="AM76" s="379"/>
      <c r="AN76" s="165">
        <v>3.6537134</v>
      </c>
      <c r="AO76" s="379"/>
      <c r="AP76" s="165">
        <v>3.8489469999999999</v>
      </c>
      <c r="AQ76" s="379"/>
      <c r="AR76" s="165">
        <v>3.3266767000000002</v>
      </c>
      <c r="AS76" s="379"/>
      <c r="AT76" s="165">
        <v>3.2822836999999998</v>
      </c>
      <c r="AU76" s="379"/>
      <c r="AV76" s="165">
        <v>3.6146413000000002</v>
      </c>
      <c r="AW76" s="379"/>
      <c r="AX76" s="165">
        <v>3.7748442</v>
      </c>
      <c r="AY76" s="379"/>
      <c r="AZ76" s="165">
        <v>3.9534560999999999</v>
      </c>
      <c r="BA76" s="379"/>
      <c r="BB76" s="165">
        <v>3.6669477000000001</v>
      </c>
      <c r="BC76" s="379"/>
      <c r="BD76" s="165">
        <v>3.0172892999999998</v>
      </c>
      <c r="BE76" s="379"/>
      <c r="BF76" s="165">
        <v>2.7281485999999999</v>
      </c>
      <c r="BG76" s="379"/>
      <c r="BH76" s="225"/>
      <c r="BI76" s="184"/>
      <c r="CJ76" s="150"/>
      <c r="CK76" s="150"/>
      <c r="CL76" s="150"/>
      <c r="CM76" s="151" t="s">
        <v>1143</v>
      </c>
      <c r="CN76" s="150" t="s">
        <v>1130</v>
      </c>
      <c r="CO76" s="150"/>
      <c r="CP76" s="150"/>
      <c r="CQ76" s="150"/>
      <c r="CR76" s="150"/>
      <c r="CS76" s="150"/>
      <c r="CT76" s="150"/>
    </row>
    <row r="77" spans="1:98" s="11" customFormat="1" ht="12.75" customHeight="1">
      <c r="A77" s="25"/>
      <c r="B77" s="87" t="str">
        <f>Parameters!Q76</f>
        <v>O</v>
      </c>
      <c r="C77" s="88"/>
      <c r="D77" s="498" t="str">
        <f>Parameters!S76</f>
        <v>Public administration and defence; compulsory social security</v>
      </c>
      <c r="E77" s="499"/>
      <c r="F77" s="222"/>
      <c r="G77" s="379"/>
      <c r="H77" s="223"/>
      <c r="I77" s="379"/>
      <c r="J77" s="223"/>
      <c r="K77" s="379"/>
      <c r="L77" s="223"/>
      <c r="M77" s="379"/>
      <c r="N77" s="223"/>
      <c r="O77" s="379"/>
      <c r="P77" s="223"/>
      <c r="Q77" s="379"/>
      <c r="R77" s="223"/>
      <c r="S77" s="379"/>
      <c r="T77" s="223"/>
      <c r="U77" s="379"/>
      <c r="V77" s="223"/>
      <c r="W77" s="379"/>
      <c r="X77" s="223"/>
      <c r="Y77" s="379"/>
      <c r="Z77" s="223"/>
      <c r="AA77" s="379"/>
      <c r="AB77" s="223"/>
      <c r="AC77" s="379"/>
      <c r="AD77" s="223"/>
      <c r="AE77" s="379"/>
      <c r="AF77" s="164">
        <v>40.060211500000001</v>
      </c>
      <c r="AG77" s="379"/>
      <c r="AH77" s="164">
        <v>51.834857900000003</v>
      </c>
      <c r="AI77" s="379"/>
      <c r="AJ77" s="164">
        <v>34.809338500000003</v>
      </c>
      <c r="AK77" s="379"/>
      <c r="AL77" s="164">
        <v>33.636078699999999</v>
      </c>
      <c r="AM77" s="379"/>
      <c r="AN77" s="164">
        <v>26.992471800000001</v>
      </c>
      <c r="AO77" s="379"/>
      <c r="AP77" s="164">
        <v>33.4860288</v>
      </c>
      <c r="AQ77" s="379"/>
      <c r="AR77" s="164">
        <v>28.423092199999999</v>
      </c>
      <c r="AS77" s="379"/>
      <c r="AT77" s="164">
        <v>17.305018700000002</v>
      </c>
      <c r="AU77" s="379"/>
      <c r="AV77" s="164">
        <v>16.843565600000002</v>
      </c>
      <c r="AW77" s="379"/>
      <c r="AX77" s="164">
        <v>16.928064899999999</v>
      </c>
      <c r="AY77" s="379"/>
      <c r="AZ77" s="164">
        <v>15.2733364</v>
      </c>
      <c r="BA77" s="379"/>
      <c r="BB77" s="164">
        <v>12.982866</v>
      </c>
      <c r="BC77" s="379"/>
      <c r="BD77" s="164">
        <v>10.370970099999999</v>
      </c>
      <c r="BE77" s="379"/>
      <c r="BF77" s="164">
        <v>9.2421472999999992</v>
      </c>
      <c r="BG77" s="379"/>
      <c r="BH77" s="223"/>
      <c r="BI77" s="184"/>
      <c r="CJ77" s="150"/>
      <c r="CK77" s="150"/>
      <c r="CL77" s="150"/>
      <c r="CM77" s="151" t="s">
        <v>1051</v>
      </c>
      <c r="CN77" s="150" t="s">
        <v>1130</v>
      </c>
      <c r="CO77" s="150"/>
      <c r="CP77" s="150"/>
      <c r="CQ77" s="150"/>
      <c r="CR77" s="150"/>
      <c r="CS77" s="150"/>
      <c r="CT77" s="150"/>
    </row>
    <row r="78" spans="1:98" s="11" customFormat="1" ht="12.75" customHeight="1">
      <c r="A78" s="25"/>
      <c r="B78" s="87" t="str">
        <f>Parameters!Q77</f>
        <v>P</v>
      </c>
      <c r="C78" s="88"/>
      <c r="D78" s="498" t="str">
        <f>Parameters!S77</f>
        <v>Education</v>
      </c>
      <c r="E78" s="499"/>
      <c r="F78" s="222"/>
      <c r="G78" s="379"/>
      <c r="H78" s="223"/>
      <c r="I78" s="379"/>
      <c r="J78" s="223"/>
      <c r="K78" s="379"/>
      <c r="L78" s="223"/>
      <c r="M78" s="379"/>
      <c r="N78" s="223"/>
      <c r="O78" s="379"/>
      <c r="P78" s="223"/>
      <c r="Q78" s="379"/>
      <c r="R78" s="223"/>
      <c r="S78" s="379"/>
      <c r="T78" s="223"/>
      <c r="U78" s="379"/>
      <c r="V78" s="223"/>
      <c r="W78" s="379"/>
      <c r="X78" s="223"/>
      <c r="Y78" s="379"/>
      <c r="Z78" s="223"/>
      <c r="AA78" s="379"/>
      <c r="AB78" s="223"/>
      <c r="AC78" s="379"/>
      <c r="AD78" s="223"/>
      <c r="AE78" s="379"/>
      <c r="AF78" s="164">
        <v>2.7817788000000001</v>
      </c>
      <c r="AG78" s="379"/>
      <c r="AH78" s="164">
        <v>3.2214269</v>
      </c>
      <c r="AI78" s="379"/>
      <c r="AJ78" s="164">
        <v>4.7444559000000002</v>
      </c>
      <c r="AK78" s="379"/>
      <c r="AL78" s="164">
        <v>4.0833668999999997</v>
      </c>
      <c r="AM78" s="379"/>
      <c r="AN78" s="164">
        <v>4.4153098000000002</v>
      </c>
      <c r="AO78" s="379"/>
      <c r="AP78" s="164">
        <v>4.1157683</v>
      </c>
      <c r="AQ78" s="379"/>
      <c r="AR78" s="164">
        <v>3.2821858000000002</v>
      </c>
      <c r="AS78" s="379"/>
      <c r="AT78" s="164">
        <v>2.8912694000000001</v>
      </c>
      <c r="AU78" s="379"/>
      <c r="AV78" s="164">
        <v>3.0378687000000002</v>
      </c>
      <c r="AW78" s="379"/>
      <c r="AX78" s="164">
        <v>2.8250434000000002</v>
      </c>
      <c r="AY78" s="379"/>
      <c r="AZ78" s="164">
        <v>3.0373329</v>
      </c>
      <c r="BA78" s="379"/>
      <c r="BB78" s="164">
        <v>4.3091473999999996</v>
      </c>
      <c r="BC78" s="379"/>
      <c r="BD78" s="164">
        <v>4.0760709999999998</v>
      </c>
      <c r="BE78" s="379"/>
      <c r="BF78" s="164">
        <v>3.3617881999999999</v>
      </c>
      <c r="BG78" s="379"/>
      <c r="BH78" s="223"/>
      <c r="BI78" s="184"/>
      <c r="CJ78" s="150"/>
      <c r="CK78" s="150"/>
      <c r="CL78" s="150"/>
      <c r="CM78" s="151" t="s">
        <v>271</v>
      </c>
      <c r="CN78" s="150" t="s">
        <v>1130</v>
      </c>
      <c r="CO78" s="150"/>
      <c r="CP78" s="150"/>
      <c r="CQ78" s="150"/>
      <c r="CR78" s="150"/>
      <c r="CS78" s="150"/>
      <c r="CT78" s="150"/>
    </row>
    <row r="79" spans="1:98" s="11" customFormat="1" ht="12.75" customHeight="1">
      <c r="A79" s="25"/>
      <c r="B79" s="87" t="str">
        <f>Parameters!Q78</f>
        <v>Q</v>
      </c>
      <c r="C79" s="88"/>
      <c r="D79" s="498" t="str">
        <f>Parameters!S78</f>
        <v>Human health and social work activities</v>
      </c>
      <c r="E79" s="499"/>
      <c r="F79" s="222"/>
      <c r="G79" s="379"/>
      <c r="H79" s="223"/>
      <c r="I79" s="379"/>
      <c r="J79" s="223"/>
      <c r="K79" s="379"/>
      <c r="L79" s="223"/>
      <c r="M79" s="379"/>
      <c r="N79" s="223"/>
      <c r="O79" s="379"/>
      <c r="P79" s="223"/>
      <c r="Q79" s="379"/>
      <c r="R79" s="223"/>
      <c r="S79" s="379"/>
      <c r="T79" s="223"/>
      <c r="U79" s="379"/>
      <c r="V79" s="223"/>
      <c r="W79" s="379"/>
      <c r="X79" s="223"/>
      <c r="Y79" s="379"/>
      <c r="Z79" s="223"/>
      <c r="AA79" s="379"/>
      <c r="AB79" s="223"/>
      <c r="AC79" s="379"/>
      <c r="AD79" s="223"/>
      <c r="AE79" s="379"/>
      <c r="AF79" s="164">
        <v>11.1431994</v>
      </c>
      <c r="AG79" s="379"/>
      <c r="AH79" s="164">
        <v>12.0723425</v>
      </c>
      <c r="AI79" s="379"/>
      <c r="AJ79" s="164">
        <v>12.4284517</v>
      </c>
      <c r="AK79" s="379"/>
      <c r="AL79" s="164">
        <v>9.1590001000000001</v>
      </c>
      <c r="AM79" s="379"/>
      <c r="AN79" s="164">
        <v>7.2538881999999996</v>
      </c>
      <c r="AO79" s="379"/>
      <c r="AP79" s="164">
        <v>6.4347538000000002</v>
      </c>
      <c r="AQ79" s="379"/>
      <c r="AR79" s="164">
        <v>4.5289090999999999</v>
      </c>
      <c r="AS79" s="379"/>
      <c r="AT79" s="164">
        <v>4.7692705000000002</v>
      </c>
      <c r="AU79" s="379"/>
      <c r="AV79" s="164">
        <v>4.6268134999999999</v>
      </c>
      <c r="AW79" s="379"/>
      <c r="AX79" s="164">
        <v>4.4850392000000001</v>
      </c>
      <c r="AY79" s="379"/>
      <c r="AZ79" s="164">
        <v>3.7950409999999999</v>
      </c>
      <c r="BA79" s="379"/>
      <c r="BB79" s="164">
        <v>4.9585233000000004</v>
      </c>
      <c r="BC79" s="379"/>
      <c r="BD79" s="164">
        <v>4.5851682</v>
      </c>
      <c r="BE79" s="379"/>
      <c r="BF79" s="164">
        <v>3.1212803999999998</v>
      </c>
      <c r="BG79" s="379"/>
      <c r="BH79" s="223"/>
      <c r="BI79" s="184"/>
      <c r="CJ79" s="150"/>
      <c r="CK79" s="150"/>
      <c r="CL79" s="150"/>
      <c r="CM79" s="151" t="s">
        <v>1059</v>
      </c>
      <c r="CN79" s="150" t="s">
        <v>1130</v>
      </c>
      <c r="CO79" s="150"/>
      <c r="CP79" s="150"/>
      <c r="CQ79" s="150"/>
      <c r="CR79" s="150"/>
      <c r="CS79" s="150"/>
      <c r="CT79" s="150"/>
    </row>
    <row r="80" spans="1:98" s="11" customFormat="1" ht="12.75" customHeight="1">
      <c r="A80" s="310"/>
      <c r="B80" s="308" t="str">
        <f>Parameters!Q79</f>
        <v>Q86</v>
      </c>
      <c r="C80" s="309"/>
      <c r="D80" s="495" t="str">
        <f>Parameters!S79</f>
        <v>Human health activities</v>
      </c>
      <c r="E80" s="497"/>
      <c r="F80" s="224"/>
      <c r="G80" s="379"/>
      <c r="H80" s="225"/>
      <c r="I80" s="379"/>
      <c r="J80" s="225"/>
      <c r="K80" s="379"/>
      <c r="L80" s="225"/>
      <c r="M80" s="379"/>
      <c r="N80" s="225"/>
      <c r="O80" s="379"/>
      <c r="P80" s="225"/>
      <c r="Q80" s="379"/>
      <c r="R80" s="225"/>
      <c r="S80" s="379"/>
      <c r="T80" s="225"/>
      <c r="U80" s="379"/>
      <c r="V80" s="225"/>
      <c r="W80" s="379"/>
      <c r="X80" s="225"/>
      <c r="Y80" s="379"/>
      <c r="Z80" s="225"/>
      <c r="AA80" s="379"/>
      <c r="AB80" s="225"/>
      <c r="AC80" s="379"/>
      <c r="AD80" s="225"/>
      <c r="AE80" s="379"/>
      <c r="AF80" s="165">
        <v>3.7454977</v>
      </c>
      <c r="AG80" s="379"/>
      <c r="AH80" s="165">
        <v>5.6687659999999997</v>
      </c>
      <c r="AI80" s="379"/>
      <c r="AJ80" s="165">
        <v>10.273716500000001</v>
      </c>
      <c r="AK80" s="379"/>
      <c r="AL80" s="165">
        <v>6.9368185999999996</v>
      </c>
      <c r="AM80" s="379"/>
      <c r="AN80" s="165">
        <v>5.3282333</v>
      </c>
      <c r="AO80" s="379"/>
      <c r="AP80" s="165">
        <v>4.7098380000000004</v>
      </c>
      <c r="AQ80" s="379"/>
      <c r="AR80" s="165">
        <v>3.1163446000000001</v>
      </c>
      <c r="AS80" s="379"/>
      <c r="AT80" s="165">
        <v>3.6229144</v>
      </c>
      <c r="AU80" s="379"/>
      <c r="AV80" s="165">
        <v>4.0054669000000001</v>
      </c>
      <c r="AW80" s="379"/>
      <c r="AX80" s="165">
        <v>3.9807258999999999</v>
      </c>
      <c r="AY80" s="379"/>
      <c r="AZ80" s="165">
        <v>3.5174002999999998</v>
      </c>
      <c r="BA80" s="379"/>
      <c r="BB80" s="165">
        <v>4.7744626999999999</v>
      </c>
      <c r="BC80" s="379"/>
      <c r="BD80" s="165">
        <v>4.5128456999999997</v>
      </c>
      <c r="BE80" s="379"/>
      <c r="BF80" s="165">
        <v>2.5306801000000001</v>
      </c>
      <c r="BG80" s="379"/>
      <c r="BH80" s="225"/>
      <c r="BI80" s="184"/>
      <c r="CJ80" s="150"/>
      <c r="CK80" s="150"/>
      <c r="CL80" s="150"/>
      <c r="CM80" s="151" t="s">
        <v>1063</v>
      </c>
      <c r="CN80" s="150" t="s">
        <v>1130</v>
      </c>
      <c r="CO80" s="150"/>
      <c r="CP80" s="150"/>
      <c r="CQ80" s="150"/>
      <c r="CR80" s="150"/>
      <c r="CS80" s="150"/>
      <c r="CT80" s="150"/>
    </row>
    <row r="81" spans="1:98" s="11" customFormat="1" ht="12.75" customHeight="1">
      <c r="A81" s="310"/>
      <c r="B81" s="308" t="str">
        <f>Parameters!Q80</f>
        <v>Q87_Q88</v>
      </c>
      <c r="C81" s="309"/>
      <c r="D81" s="495" t="str">
        <f>Parameters!S80</f>
        <v>Residential care activities and social work activities without accommodation</v>
      </c>
      <c r="E81" s="497"/>
      <c r="F81" s="224"/>
      <c r="G81" s="379"/>
      <c r="H81" s="225"/>
      <c r="I81" s="379"/>
      <c r="J81" s="225"/>
      <c r="K81" s="379"/>
      <c r="L81" s="225"/>
      <c r="M81" s="379"/>
      <c r="N81" s="225"/>
      <c r="O81" s="379"/>
      <c r="P81" s="225"/>
      <c r="Q81" s="379"/>
      <c r="R81" s="225"/>
      <c r="S81" s="379"/>
      <c r="T81" s="225"/>
      <c r="U81" s="379"/>
      <c r="V81" s="225"/>
      <c r="W81" s="379"/>
      <c r="X81" s="225"/>
      <c r="Y81" s="379"/>
      <c r="Z81" s="225"/>
      <c r="AA81" s="379"/>
      <c r="AB81" s="225"/>
      <c r="AC81" s="379"/>
      <c r="AD81" s="225"/>
      <c r="AE81" s="379"/>
      <c r="AF81" s="165">
        <v>7.3977016999999998</v>
      </c>
      <c r="AG81" s="379"/>
      <c r="AH81" s="165">
        <v>6.4035764999999998</v>
      </c>
      <c r="AI81" s="379"/>
      <c r="AJ81" s="165">
        <v>2.1547350999999999</v>
      </c>
      <c r="AK81" s="379"/>
      <c r="AL81" s="165">
        <v>2.2221815</v>
      </c>
      <c r="AM81" s="379"/>
      <c r="AN81" s="165">
        <v>1.9256549999999999</v>
      </c>
      <c r="AO81" s="379"/>
      <c r="AP81" s="165">
        <v>1.7249158</v>
      </c>
      <c r="AQ81" s="379"/>
      <c r="AR81" s="165">
        <v>1.4125645</v>
      </c>
      <c r="AS81" s="379"/>
      <c r="AT81" s="165">
        <v>1.1463561</v>
      </c>
      <c r="AU81" s="379"/>
      <c r="AV81" s="165">
        <v>0.62134659999999997</v>
      </c>
      <c r="AW81" s="379"/>
      <c r="AX81" s="165">
        <v>0.50431329999999996</v>
      </c>
      <c r="AY81" s="379"/>
      <c r="AZ81" s="165">
        <v>0.27764070000000002</v>
      </c>
      <c r="BA81" s="379"/>
      <c r="BB81" s="165">
        <v>0.18406059999999999</v>
      </c>
      <c r="BC81" s="379"/>
      <c r="BD81" s="165">
        <v>7.2322600000000001E-2</v>
      </c>
      <c r="BE81" s="379"/>
      <c r="BF81" s="165">
        <v>0.59060029999999997</v>
      </c>
      <c r="BG81" s="379"/>
      <c r="BH81" s="225"/>
      <c r="BI81" s="184"/>
      <c r="CJ81" s="157"/>
      <c r="CK81" s="150"/>
      <c r="CL81" s="157"/>
      <c r="CM81" s="151" t="s">
        <v>1144</v>
      </c>
      <c r="CN81" s="150" t="s">
        <v>1130</v>
      </c>
      <c r="CO81" s="157"/>
      <c r="CP81" s="157"/>
      <c r="CQ81" s="157"/>
      <c r="CR81" s="157"/>
      <c r="CS81" s="157"/>
      <c r="CT81" s="157"/>
    </row>
    <row r="82" spans="1:98" s="11" customFormat="1" ht="12.75" customHeight="1">
      <c r="A82" s="25"/>
      <c r="B82" s="87" t="str">
        <f>Parameters!Q81</f>
        <v>R</v>
      </c>
      <c r="C82" s="88"/>
      <c r="D82" s="498" t="str">
        <f>Parameters!S81</f>
        <v>Arts, entertainment and recreation</v>
      </c>
      <c r="E82" s="499"/>
      <c r="F82" s="222"/>
      <c r="G82" s="379"/>
      <c r="H82" s="223"/>
      <c r="I82" s="379"/>
      <c r="J82" s="223"/>
      <c r="K82" s="379"/>
      <c r="L82" s="223"/>
      <c r="M82" s="379"/>
      <c r="N82" s="223"/>
      <c r="O82" s="379"/>
      <c r="P82" s="223"/>
      <c r="Q82" s="379"/>
      <c r="R82" s="223"/>
      <c r="S82" s="379"/>
      <c r="T82" s="223"/>
      <c r="U82" s="379"/>
      <c r="V82" s="223"/>
      <c r="W82" s="379"/>
      <c r="X82" s="223"/>
      <c r="Y82" s="379"/>
      <c r="Z82" s="223"/>
      <c r="AA82" s="379"/>
      <c r="AB82" s="223"/>
      <c r="AC82" s="379"/>
      <c r="AD82" s="223"/>
      <c r="AE82" s="379"/>
      <c r="AF82" s="164">
        <v>0.94734640000000003</v>
      </c>
      <c r="AG82" s="379"/>
      <c r="AH82" s="164">
        <v>1.1497343</v>
      </c>
      <c r="AI82" s="379"/>
      <c r="AJ82" s="164">
        <v>1.9749962000000001</v>
      </c>
      <c r="AK82" s="379"/>
      <c r="AL82" s="164">
        <v>1.55389</v>
      </c>
      <c r="AM82" s="379"/>
      <c r="AN82" s="164">
        <v>1.1970164000000001</v>
      </c>
      <c r="AO82" s="379"/>
      <c r="AP82" s="164">
        <v>1.3666389999999999</v>
      </c>
      <c r="AQ82" s="379"/>
      <c r="AR82" s="164">
        <v>1.1185153999999999</v>
      </c>
      <c r="AS82" s="379"/>
      <c r="AT82" s="164">
        <v>1.0043264000000001</v>
      </c>
      <c r="AU82" s="379"/>
      <c r="AV82" s="164">
        <v>1.06942</v>
      </c>
      <c r="AW82" s="379"/>
      <c r="AX82" s="164">
        <v>1.5366059999999999</v>
      </c>
      <c r="AY82" s="379"/>
      <c r="AZ82" s="164">
        <v>1.4110407</v>
      </c>
      <c r="BA82" s="379"/>
      <c r="BB82" s="164">
        <v>1.1262691</v>
      </c>
      <c r="BC82" s="379"/>
      <c r="BD82" s="164">
        <v>1.034591</v>
      </c>
      <c r="BE82" s="379"/>
      <c r="BF82" s="164">
        <v>1.0466609</v>
      </c>
      <c r="BG82" s="379"/>
      <c r="BH82" s="223"/>
      <c r="BI82" s="184"/>
      <c r="CJ82" s="157"/>
      <c r="CK82" s="150"/>
      <c r="CL82" s="157"/>
      <c r="CM82" s="151" t="s">
        <v>1070</v>
      </c>
      <c r="CN82" s="150" t="s">
        <v>1130</v>
      </c>
      <c r="CO82" s="157"/>
      <c r="CP82" s="157"/>
      <c r="CQ82" s="157"/>
      <c r="CR82" s="157"/>
      <c r="CS82" s="157"/>
      <c r="CT82" s="157"/>
    </row>
    <row r="83" spans="1:98" s="11" customFormat="1" ht="25.5" customHeight="1">
      <c r="A83" s="310"/>
      <c r="B83" s="308" t="str">
        <f>Parameters!Q82</f>
        <v>R90-R92</v>
      </c>
      <c r="C83" s="309"/>
      <c r="D83" s="495" t="str">
        <f>Parameters!S82</f>
        <v>Creative, arts and entertainment activities; libraries, archives, museums and other cultural activities; gambling and betting activities</v>
      </c>
      <c r="E83" s="497"/>
      <c r="F83" s="224"/>
      <c r="G83" s="379"/>
      <c r="H83" s="225"/>
      <c r="I83" s="379"/>
      <c r="J83" s="225"/>
      <c r="K83" s="379"/>
      <c r="L83" s="225"/>
      <c r="M83" s="379"/>
      <c r="N83" s="225"/>
      <c r="O83" s="379"/>
      <c r="P83" s="225"/>
      <c r="Q83" s="379"/>
      <c r="R83" s="225"/>
      <c r="S83" s="379"/>
      <c r="T83" s="225"/>
      <c r="U83" s="379"/>
      <c r="V83" s="225"/>
      <c r="W83" s="379"/>
      <c r="X83" s="225"/>
      <c r="Y83" s="379"/>
      <c r="Z83" s="225"/>
      <c r="AA83" s="379"/>
      <c r="AB83" s="225"/>
      <c r="AC83" s="379"/>
      <c r="AD83" s="225"/>
      <c r="AE83" s="379"/>
      <c r="AF83" s="165">
        <v>0.11263860000000001</v>
      </c>
      <c r="AG83" s="379"/>
      <c r="AH83" s="165">
        <v>0.15536730000000001</v>
      </c>
      <c r="AI83" s="379"/>
      <c r="AJ83" s="165">
        <v>0.54058649999999997</v>
      </c>
      <c r="AK83" s="379"/>
      <c r="AL83" s="165">
        <v>0.51532929999999999</v>
      </c>
      <c r="AM83" s="379"/>
      <c r="AN83" s="165">
        <v>0.30127660000000001</v>
      </c>
      <c r="AO83" s="379"/>
      <c r="AP83" s="165">
        <v>0.2423177</v>
      </c>
      <c r="AQ83" s="379"/>
      <c r="AR83" s="165">
        <v>0.16158919999999999</v>
      </c>
      <c r="AS83" s="379"/>
      <c r="AT83" s="165">
        <v>0.27526410000000001</v>
      </c>
      <c r="AU83" s="379"/>
      <c r="AV83" s="165">
        <v>0.21660940000000001</v>
      </c>
      <c r="AW83" s="379"/>
      <c r="AX83" s="165">
        <v>0.77665499999999998</v>
      </c>
      <c r="AY83" s="379"/>
      <c r="AZ83" s="165">
        <v>0.19609099999999999</v>
      </c>
      <c r="BA83" s="379"/>
      <c r="BB83" s="165">
        <v>0.2128572</v>
      </c>
      <c r="BC83" s="379"/>
      <c r="BD83" s="165">
        <v>0.37781710000000002</v>
      </c>
      <c r="BE83" s="379"/>
      <c r="BF83" s="165">
        <v>0.20808219999999999</v>
      </c>
      <c r="BG83" s="379"/>
      <c r="BH83" s="225"/>
      <c r="BI83" s="184"/>
      <c r="CJ83" s="157"/>
      <c r="CK83" s="150"/>
      <c r="CL83" s="157"/>
      <c r="CM83" s="151" t="s">
        <v>1145</v>
      </c>
      <c r="CN83" s="150" t="s">
        <v>1130</v>
      </c>
      <c r="CO83" s="157"/>
      <c r="CP83" s="157"/>
      <c r="CQ83" s="157"/>
      <c r="CR83" s="157"/>
      <c r="CS83" s="157"/>
      <c r="CT83" s="157"/>
    </row>
    <row r="84" spans="1:98" s="11" customFormat="1" ht="12.75" customHeight="1">
      <c r="A84" s="310"/>
      <c r="B84" s="308" t="str">
        <f>Parameters!Q83</f>
        <v>R93</v>
      </c>
      <c r="C84" s="309"/>
      <c r="D84" s="495" t="str">
        <f>Parameters!S83</f>
        <v>Sports activities and amusement and recreation activities</v>
      </c>
      <c r="E84" s="497"/>
      <c r="F84" s="224"/>
      <c r="G84" s="379"/>
      <c r="H84" s="225"/>
      <c r="I84" s="379"/>
      <c r="J84" s="225"/>
      <c r="K84" s="379"/>
      <c r="L84" s="225"/>
      <c r="M84" s="379"/>
      <c r="N84" s="225"/>
      <c r="O84" s="379"/>
      <c r="P84" s="225"/>
      <c r="Q84" s="379"/>
      <c r="R84" s="225"/>
      <c r="S84" s="379"/>
      <c r="T84" s="225"/>
      <c r="U84" s="379"/>
      <c r="V84" s="225"/>
      <c r="W84" s="379"/>
      <c r="X84" s="225"/>
      <c r="Y84" s="379"/>
      <c r="Z84" s="225"/>
      <c r="AA84" s="379"/>
      <c r="AB84" s="225"/>
      <c r="AC84" s="379"/>
      <c r="AD84" s="225"/>
      <c r="AE84" s="379"/>
      <c r="AF84" s="165">
        <v>0.8347078</v>
      </c>
      <c r="AG84" s="379"/>
      <c r="AH84" s="165">
        <v>0.994367</v>
      </c>
      <c r="AI84" s="379"/>
      <c r="AJ84" s="165">
        <v>1.4344097</v>
      </c>
      <c r="AK84" s="379"/>
      <c r="AL84" s="165">
        <v>1.0385606999999999</v>
      </c>
      <c r="AM84" s="379"/>
      <c r="AN84" s="165">
        <v>0.89573979999999997</v>
      </c>
      <c r="AO84" s="379"/>
      <c r="AP84" s="165">
        <v>1.1243213999999999</v>
      </c>
      <c r="AQ84" s="379"/>
      <c r="AR84" s="165">
        <v>0.95692619999999995</v>
      </c>
      <c r="AS84" s="379"/>
      <c r="AT84" s="165">
        <v>0.72906230000000005</v>
      </c>
      <c r="AU84" s="379"/>
      <c r="AV84" s="165">
        <v>0.85281059999999997</v>
      </c>
      <c r="AW84" s="379"/>
      <c r="AX84" s="165">
        <v>0.75995100000000004</v>
      </c>
      <c r="AY84" s="379"/>
      <c r="AZ84" s="165">
        <v>1.2149497</v>
      </c>
      <c r="BA84" s="379"/>
      <c r="BB84" s="165">
        <v>0.9134118</v>
      </c>
      <c r="BC84" s="379"/>
      <c r="BD84" s="165">
        <v>0.65677390000000002</v>
      </c>
      <c r="BE84" s="379"/>
      <c r="BF84" s="165">
        <v>0.83857870000000001</v>
      </c>
      <c r="BG84" s="379"/>
      <c r="BH84" s="225"/>
      <c r="BI84" s="184"/>
      <c r="CJ84" s="157"/>
      <c r="CK84" s="150"/>
      <c r="CL84" s="157"/>
      <c r="CM84" s="151" t="s">
        <v>1074</v>
      </c>
      <c r="CN84" s="150" t="s">
        <v>1130</v>
      </c>
      <c r="CO84" s="157"/>
      <c r="CP84" s="157"/>
      <c r="CQ84" s="157"/>
      <c r="CR84" s="157"/>
      <c r="CS84" s="157"/>
      <c r="CT84" s="157"/>
    </row>
    <row r="85" spans="1:98" s="11" customFormat="1" ht="12.75" customHeight="1">
      <c r="A85" s="25"/>
      <c r="B85" s="87" t="str">
        <f>Parameters!Q84</f>
        <v>S</v>
      </c>
      <c r="C85" s="88"/>
      <c r="D85" s="498" t="str">
        <f>Parameters!S84</f>
        <v>Other service activities</v>
      </c>
      <c r="E85" s="499"/>
      <c r="F85" s="222"/>
      <c r="G85" s="379"/>
      <c r="H85" s="223"/>
      <c r="I85" s="379"/>
      <c r="J85" s="223"/>
      <c r="K85" s="379"/>
      <c r="L85" s="223"/>
      <c r="M85" s="379"/>
      <c r="N85" s="223"/>
      <c r="O85" s="379"/>
      <c r="P85" s="223"/>
      <c r="Q85" s="379"/>
      <c r="R85" s="223"/>
      <c r="S85" s="379"/>
      <c r="T85" s="223"/>
      <c r="U85" s="379"/>
      <c r="V85" s="223"/>
      <c r="W85" s="379"/>
      <c r="X85" s="223"/>
      <c r="Y85" s="379"/>
      <c r="Z85" s="223"/>
      <c r="AA85" s="379"/>
      <c r="AB85" s="223"/>
      <c r="AC85" s="379"/>
      <c r="AD85" s="223"/>
      <c r="AE85" s="379"/>
      <c r="AF85" s="164">
        <v>2.0573872999999998</v>
      </c>
      <c r="AG85" s="379"/>
      <c r="AH85" s="164">
        <v>2.5088102999999999</v>
      </c>
      <c r="AI85" s="379"/>
      <c r="AJ85" s="164">
        <v>5.9265555000000001</v>
      </c>
      <c r="AK85" s="379"/>
      <c r="AL85" s="164">
        <v>4.3000786</v>
      </c>
      <c r="AM85" s="379"/>
      <c r="AN85" s="164">
        <v>3.5163426000000002</v>
      </c>
      <c r="AO85" s="379"/>
      <c r="AP85" s="164">
        <v>4.169314</v>
      </c>
      <c r="AQ85" s="379"/>
      <c r="AR85" s="164">
        <v>4.3655511000000002</v>
      </c>
      <c r="AS85" s="379"/>
      <c r="AT85" s="164">
        <v>3.1650828999999998</v>
      </c>
      <c r="AU85" s="379"/>
      <c r="AV85" s="164">
        <v>3.6564168000000001</v>
      </c>
      <c r="AW85" s="379"/>
      <c r="AX85" s="164">
        <v>2.7070037999999998</v>
      </c>
      <c r="AY85" s="379"/>
      <c r="AZ85" s="164">
        <v>2.7405898999999998</v>
      </c>
      <c r="BA85" s="379"/>
      <c r="BB85" s="164">
        <v>2.2670458</v>
      </c>
      <c r="BC85" s="379"/>
      <c r="BD85" s="164">
        <v>2.2134417000000002</v>
      </c>
      <c r="BE85" s="379"/>
      <c r="BF85" s="164">
        <v>2.4683248</v>
      </c>
      <c r="BG85" s="379"/>
      <c r="BH85" s="223"/>
      <c r="BI85" s="184"/>
      <c r="CJ85" s="157"/>
      <c r="CK85" s="150"/>
      <c r="CL85" s="157"/>
      <c r="CM85" s="151" t="s">
        <v>1076</v>
      </c>
      <c r="CN85" s="150" t="s">
        <v>1130</v>
      </c>
      <c r="CO85" s="157"/>
      <c r="CP85" s="157"/>
      <c r="CQ85" s="157"/>
      <c r="CR85" s="157"/>
      <c r="CS85" s="157"/>
      <c r="CT85" s="157"/>
    </row>
    <row r="86" spans="1:98" s="10" customFormat="1" ht="12.75" customHeight="1">
      <c r="A86" s="310"/>
      <c r="B86" s="308" t="str">
        <f>Parameters!Q85</f>
        <v>S94</v>
      </c>
      <c r="C86" s="309"/>
      <c r="D86" s="495" t="str">
        <f>Parameters!S85</f>
        <v>Activities of membership organisations</v>
      </c>
      <c r="E86" s="496"/>
      <c r="F86" s="224"/>
      <c r="G86" s="379"/>
      <c r="H86" s="225"/>
      <c r="I86" s="379"/>
      <c r="J86" s="225"/>
      <c r="K86" s="379"/>
      <c r="L86" s="225"/>
      <c r="M86" s="379"/>
      <c r="N86" s="225"/>
      <c r="O86" s="379"/>
      <c r="P86" s="225"/>
      <c r="Q86" s="379"/>
      <c r="R86" s="225"/>
      <c r="S86" s="379"/>
      <c r="T86" s="225"/>
      <c r="U86" s="379"/>
      <c r="V86" s="225"/>
      <c r="W86" s="379"/>
      <c r="X86" s="225"/>
      <c r="Y86" s="379"/>
      <c r="Z86" s="225"/>
      <c r="AA86" s="379"/>
      <c r="AB86" s="225"/>
      <c r="AC86" s="379"/>
      <c r="AD86" s="225"/>
      <c r="AE86" s="379"/>
      <c r="AF86" s="165">
        <v>0.27374660000000001</v>
      </c>
      <c r="AG86" s="379"/>
      <c r="AH86" s="165">
        <v>0.44601960000000002</v>
      </c>
      <c r="AI86" s="379"/>
      <c r="AJ86" s="165">
        <v>0.91434199999999999</v>
      </c>
      <c r="AK86" s="379"/>
      <c r="AL86" s="165">
        <v>0.54173329999999997</v>
      </c>
      <c r="AM86" s="379"/>
      <c r="AN86" s="165">
        <v>0.47303279999999998</v>
      </c>
      <c r="AO86" s="379"/>
      <c r="AP86" s="165">
        <v>0.43962279999999998</v>
      </c>
      <c r="AQ86" s="379"/>
      <c r="AR86" s="165">
        <v>0.28162599999999999</v>
      </c>
      <c r="AS86" s="379"/>
      <c r="AT86" s="165">
        <v>0.22422220000000001</v>
      </c>
      <c r="AU86" s="379"/>
      <c r="AV86" s="165">
        <v>0.24096300000000001</v>
      </c>
      <c r="AW86" s="379"/>
      <c r="AX86" s="165">
        <v>0.21334600000000001</v>
      </c>
      <c r="AY86" s="379"/>
      <c r="AZ86" s="165">
        <v>0.19897010000000001</v>
      </c>
      <c r="BA86" s="379"/>
      <c r="BB86" s="165">
        <v>0.13382910000000001</v>
      </c>
      <c r="BC86" s="379"/>
      <c r="BD86" s="165">
        <v>5.3338299999999998E-2</v>
      </c>
      <c r="BE86" s="379"/>
      <c r="BF86" s="165">
        <v>0.1386694</v>
      </c>
      <c r="BG86" s="379"/>
      <c r="BH86" s="225"/>
      <c r="BI86" s="184"/>
      <c r="CJ86" s="157"/>
      <c r="CK86" s="150"/>
      <c r="CL86" s="157"/>
      <c r="CM86" s="151" t="s">
        <v>1078</v>
      </c>
      <c r="CN86" s="150" t="s">
        <v>1130</v>
      </c>
      <c r="CO86" s="157"/>
      <c r="CP86" s="157"/>
      <c r="CQ86" s="157"/>
      <c r="CR86" s="157"/>
      <c r="CS86" s="157"/>
      <c r="CT86" s="157"/>
    </row>
    <row r="87" spans="1:98" s="10" customFormat="1" ht="12.75" customHeight="1">
      <c r="A87" s="310"/>
      <c r="B87" s="308" t="str">
        <f>Parameters!Q86</f>
        <v>S95</v>
      </c>
      <c r="C87" s="309"/>
      <c r="D87" s="495" t="str">
        <f>Parameters!S86</f>
        <v>Repair of computers and personal and household goods</v>
      </c>
      <c r="E87" s="497"/>
      <c r="F87" s="224"/>
      <c r="G87" s="379"/>
      <c r="H87" s="225"/>
      <c r="I87" s="379"/>
      <c r="J87" s="225"/>
      <c r="K87" s="379"/>
      <c r="L87" s="225"/>
      <c r="M87" s="379"/>
      <c r="N87" s="225"/>
      <c r="O87" s="379"/>
      <c r="P87" s="225"/>
      <c r="Q87" s="379"/>
      <c r="R87" s="225"/>
      <c r="S87" s="379"/>
      <c r="T87" s="225"/>
      <c r="U87" s="379"/>
      <c r="V87" s="225"/>
      <c r="W87" s="379"/>
      <c r="X87" s="225"/>
      <c r="Y87" s="379"/>
      <c r="Z87" s="225"/>
      <c r="AA87" s="379"/>
      <c r="AB87" s="225"/>
      <c r="AC87" s="379"/>
      <c r="AD87" s="225"/>
      <c r="AE87" s="379"/>
      <c r="AF87" s="165">
        <v>8.1123299999999995E-2</v>
      </c>
      <c r="AG87" s="379"/>
      <c r="AH87" s="165">
        <v>6.9000199999999998E-2</v>
      </c>
      <c r="AI87" s="379"/>
      <c r="AJ87" s="165">
        <v>0.1131152</v>
      </c>
      <c r="AK87" s="379"/>
      <c r="AL87" s="165">
        <v>8.6644600000000002E-2</v>
      </c>
      <c r="AM87" s="379"/>
      <c r="AN87" s="165">
        <v>8.3873000000000003E-2</v>
      </c>
      <c r="AO87" s="379"/>
      <c r="AP87" s="165">
        <v>8.7043599999999999E-2</v>
      </c>
      <c r="AQ87" s="379"/>
      <c r="AR87" s="165">
        <v>7.9124899999999998E-2</v>
      </c>
      <c r="AS87" s="379"/>
      <c r="AT87" s="165">
        <v>8.5477499999999998E-2</v>
      </c>
      <c r="AU87" s="379"/>
      <c r="AV87" s="165">
        <v>0.1157866</v>
      </c>
      <c r="AW87" s="379"/>
      <c r="AX87" s="165">
        <v>0.1161697</v>
      </c>
      <c r="AY87" s="379"/>
      <c r="AZ87" s="165">
        <v>0.1181705</v>
      </c>
      <c r="BA87" s="379"/>
      <c r="BB87" s="165">
        <v>0.12503259999999999</v>
      </c>
      <c r="BC87" s="379"/>
      <c r="BD87" s="165">
        <v>0.12615109999999999</v>
      </c>
      <c r="BE87" s="379"/>
      <c r="BF87" s="165">
        <v>8.6317699999999997E-2</v>
      </c>
      <c r="BG87" s="379"/>
      <c r="BH87" s="225"/>
      <c r="BI87" s="184"/>
      <c r="CJ87" s="157"/>
      <c r="CK87" s="150"/>
      <c r="CL87" s="157"/>
      <c r="CM87" s="151" t="s">
        <v>1080</v>
      </c>
      <c r="CN87" s="150" t="s">
        <v>1130</v>
      </c>
      <c r="CO87" s="157"/>
      <c r="CP87" s="157"/>
      <c r="CQ87" s="157"/>
      <c r="CR87" s="157"/>
      <c r="CS87" s="157"/>
      <c r="CT87" s="157"/>
    </row>
    <row r="88" spans="1:98" s="10" customFormat="1" ht="12.75" customHeight="1">
      <c r="A88" s="310"/>
      <c r="B88" s="308" t="str">
        <f>Parameters!Q87</f>
        <v>S96</v>
      </c>
      <c r="C88" s="309"/>
      <c r="D88" s="495" t="str">
        <f>Parameters!S87</f>
        <v>Other personal service activities</v>
      </c>
      <c r="E88" s="497"/>
      <c r="F88" s="224"/>
      <c r="G88" s="379"/>
      <c r="H88" s="225"/>
      <c r="I88" s="379"/>
      <c r="J88" s="225"/>
      <c r="K88" s="379"/>
      <c r="L88" s="225"/>
      <c r="M88" s="379"/>
      <c r="N88" s="225"/>
      <c r="O88" s="379"/>
      <c r="P88" s="225"/>
      <c r="Q88" s="379"/>
      <c r="R88" s="225"/>
      <c r="S88" s="379"/>
      <c r="T88" s="225"/>
      <c r="U88" s="379"/>
      <c r="V88" s="225"/>
      <c r="W88" s="379"/>
      <c r="X88" s="225"/>
      <c r="Y88" s="379"/>
      <c r="Z88" s="225"/>
      <c r="AA88" s="379"/>
      <c r="AB88" s="225"/>
      <c r="AC88" s="379"/>
      <c r="AD88" s="225"/>
      <c r="AE88" s="379"/>
      <c r="AF88" s="165">
        <v>1.7025174000000001</v>
      </c>
      <c r="AG88" s="379"/>
      <c r="AH88" s="165">
        <v>1.9937904</v>
      </c>
      <c r="AI88" s="379"/>
      <c r="AJ88" s="165">
        <v>4.8990983000000003</v>
      </c>
      <c r="AK88" s="379"/>
      <c r="AL88" s="165">
        <v>3.6717008</v>
      </c>
      <c r="AM88" s="379"/>
      <c r="AN88" s="165">
        <v>2.9594368000000002</v>
      </c>
      <c r="AO88" s="379"/>
      <c r="AP88" s="165">
        <v>3.6426474999999998</v>
      </c>
      <c r="AQ88" s="379"/>
      <c r="AR88" s="165">
        <v>4.0048002</v>
      </c>
      <c r="AS88" s="379"/>
      <c r="AT88" s="165">
        <v>2.8553831999999999</v>
      </c>
      <c r="AU88" s="379"/>
      <c r="AV88" s="165">
        <v>3.2996672</v>
      </c>
      <c r="AW88" s="379"/>
      <c r="AX88" s="165">
        <v>2.3774880999999999</v>
      </c>
      <c r="AY88" s="379"/>
      <c r="AZ88" s="165">
        <v>2.4234491999999999</v>
      </c>
      <c r="BA88" s="379"/>
      <c r="BB88" s="165">
        <v>2.0081840999999998</v>
      </c>
      <c r="BC88" s="379"/>
      <c r="BD88" s="165">
        <v>2.0339523000000002</v>
      </c>
      <c r="BE88" s="379"/>
      <c r="BF88" s="165">
        <v>2.2433375999999998</v>
      </c>
      <c r="BG88" s="379"/>
      <c r="BH88" s="225"/>
      <c r="BI88" s="184"/>
      <c r="CJ88" s="157"/>
      <c r="CK88" s="150"/>
      <c r="CL88" s="157"/>
      <c r="CM88" s="151" t="s">
        <v>1082</v>
      </c>
      <c r="CN88" s="150" t="s">
        <v>1130</v>
      </c>
      <c r="CO88" s="157"/>
      <c r="CP88" s="157"/>
      <c r="CQ88" s="157"/>
      <c r="CR88" s="157"/>
      <c r="CS88" s="157"/>
      <c r="CT88" s="157"/>
    </row>
    <row r="89" spans="1:98" s="10" customFormat="1" ht="30.75" customHeight="1">
      <c r="A89" s="25"/>
      <c r="B89" s="87" t="str">
        <f>Parameters!Q88</f>
        <v>T</v>
      </c>
      <c r="C89" s="88"/>
      <c r="D89" s="498" t="str">
        <f>Parameters!S88</f>
        <v>Activities of households as employers; undifferentiated goods- and services-producing activities of households for own use</v>
      </c>
      <c r="E89" s="499"/>
      <c r="F89" s="222"/>
      <c r="G89" s="379"/>
      <c r="H89" s="231"/>
      <c r="I89" s="379"/>
      <c r="J89" s="231"/>
      <c r="K89" s="379"/>
      <c r="L89" s="231"/>
      <c r="M89" s="379"/>
      <c r="N89" s="231"/>
      <c r="O89" s="379"/>
      <c r="P89" s="231"/>
      <c r="Q89" s="379"/>
      <c r="R89" s="231"/>
      <c r="S89" s="379"/>
      <c r="T89" s="231"/>
      <c r="U89" s="379"/>
      <c r="V89" s="231"/>
      <c r="W89" s="379"/>
      <c r="X89" s="231"/>
      <c r="Y89" s="379"/>
      <c r="Z89" s="231"/>
      <c r="AA89" s="379"/>
      <c r="AB89" s="231"/>
      <c r="AC89" s="379"/>
      <c r="AD89" s="231"/>
      <c r="AE89" s="379"/>
      <c r="AF89" s="169">
        <v>9.2040800000000006E-2</v>
      </c>
      <c r="AG89" s="379"/>
      <c r="AH89" s="169">
        <v>0.19463939999999999</v>
      </c>
      <c r="AI89" s="379"/>
      <c r="AJ89" s="169">
        <v>0.47399330000000001</v>
      </c>
      <c r="AK89" s="379"/>
      <c r="AL89" s="169">
        <v>0.20566039999999999</v>
      </c>
      <c r="AM89" s="379"/>
      <c r="AN89" s="169">
        <v>0.1313812</v>
      </c>
      <c r="AO89" s="379"/>
      <c r="AP89" s="169">
        <v>0.12979879999999999</v>
      </c>
      <c r="AQ89" s="379"/>
      <c r="AR89" s="169">
        <v>0.1442531</v>
      </c>
      <c r="AS89" s="379"/>
      <c r="AT89" s="169">
        <v>0.117072</v>
      </c>
      <c r="AU89" s="379"/>
      <c r="AV89" s="164">
        <v>0.10120129999999999</v>
      </c>
      <c r="AW89" s="379"/>
      <c r="AX89" s="164">
        <v>7.1642800000000006E-2</v>
      </c>
      <c r="AY89" s="379"/>
      <c r="AZ89" s="164">
        <v>7.1611400000000006E-2</v>
      </c>
      <c r="BA89" s="379"/>
      <c r="BB89" s="164">
        <v>2.7324000000000001E-2</v>
      </c>
      <c r="BC89" s="379"/>
      <c r="BD89" s="164">
        <v>1.46354E-2</v>
      </c>
      <c r="BE89" s="379"/>
      <c r="BF89" s="164">
        <v>2.81356E-2</v>
      </c>
      <c r="BG89" s="379"/>
      <c r="BH89" s="223"/>
      <c r="BI89" s="184"/>
      <c r="CJ89" s="157"/>
      <c r="CK89" s="150"/>
      <c r="CL89" s="157"/>
      <c r="CM89" s="151" t="s">
        <v>647</v>
      </c>
      <c r="CN89" s="150" t="s">
        <v>1130</v>
      </c>
      <c r="CO89" s="157"/>
      <c r="CP89" s="157"/>
      <c r="CQ89" s="157"/>
      <c r="CR89" s="157"/>
      <c r="CS89" s="157"/>
      <c r="CT89" s="157"/>
    </row>
    <row r="90" spans="1:98" s="10" customFormat="1" ht="17.25" customHeight="1" thickBot="1">
      <c r="A90" s="25"/>
      <c r="B90" s="98" t="str">
        <f>Parameters!Q89</f>
        <v>U</v>
      </c>
      <c r="C90" s="14"/>
      <c r="D90" s="500" t="str">
        <f>Parameters!S89</f>
        <v>Activities of extraterritorial organisations and bodies</v>
      </c>
      <c r="E90" s="501"/>
      <c r="F90" s="222"/>
      <c r="G90" s="379"/>
      <c r="H90" s="223"/>
      <c r="I90" s="379"/>
      <c r="J90" s="223"/>
      <c r="K90" s="379"/>
      <c r="L90" s="223"/>
      <c r="M90" s="379"/>
      <c r="N90" s="223"/>
      <c r="O90" s="379"/>
      <c r="P90" s="223"/>
      <c r="Q90" s="379"/>
      <c r="R90" s="223"/>
      <c r="S90" s="379"/>
      <c r="T90" s="223"/>
      <c r="U90" s="379"/>
      <c r="V90" s="223"/>
      <c r="W90" s="379"/>
      <c r="X90" s="223"/>
      <c r="Y90" s="379"/>
      <c r="Z90" s="223"/>
      <c r="AA90" s="379"/>
      <c r="AB90" s="223"/>
      <c r="AC90" s="379"/>
      <c r="AD90" s="223"/>
      <c r="AE90" s="379"/>
      <c r="AF90" s="164">
        <v>0</v>
      </c>
      <c r="AG90" s="379" t="s">
        <v>422</v>
      </c>
      <c r="AH90" s="164">
        <v>0</v>
      </c>
      <c r="AI90" s="379" t="s">
        <v>422</v>
      </c>
      <c r="AJ90" s="164">
        <v>0</v>
      </c>
      <c r="AK90" s="379" t="s">
        <v>422</v>
      </c>
      <c r="AL90" s="164">
        <v>0</v>
      </c>
      <c r="AM90" s="379" t="s">
        <v>422</v>
      </c>
      <c r="AN90" s="164">
        <v>0</v>
      </c>
      <c r="AO90" s="379" t="s">
        <v>422</v>
      </c>
      <c r="AP90" s="164">
        <v>0</v>
      </c>
      <c r="AQ90" s="379" t="s">
        <v>422</v>
      </c>
      <c r="AR90" s="164">
        <v>0</v>
      </c>
      <c r="AS90" s="379" t="s">
        <v>422</v>
      </c>
      <c r="AT90" s="164">
        <v>0</v>
      </c>
      <c r="AU90" s="379" t="s">
        <v>422</v>
      </c>
      <c r="AV90" s="164">
        <v>0</v>
      </c>
      <c r="AW90" s="379" t="s">
        <v>422</v>
      </c>
      <c r="AX90" s="164">
        <v>0</v>
      </c>
      <c r="AY90" s="379" t="s">
        <v>422</v>
      </c>
      <c r="AZ90" s="164">
        <v>0</v>
      </c>
      <c r="BA90" s="379" t="s">
        <v>422</v>
      </c>
      <c r="BB90" s="164">
        <v>0</v>
      </c>
      <c r="BC90" s="379" t="s">
        <v>422</v>
      </c>
      <c r="BD90" s="164">
        <v>0</v>
      </c>
      <c r="BE90" s="379" t="s">
        <v>422</v>
      </c>
      <c r="BF90" s="164">
        <v>0</v>
      </c>
      <c r="BG90" s="379" t="s">
        <v>422</v>
      </c>
      <c r="BH90" s="223"/>
      <c r="BI90" s="184"/>
      <c r="CJ90" s="157"/>
      <c r="CK90" s="150"/>
      <c r="CL90" s="157"/>
      <c r="CM90" s="151" t="s">
        <v>1085</v>
      </c>
      <c r="CN90" s="150" t="s">
        <v>1130</v>
      </c>
      <c r="CO90" s="157"/>
      <c r="CP90" s="157"/>
      <c r="CQ90" s="157"/>
      <c r="CR90" s="157"/>
      <c r="CS90" s="157"/>
      <c r="CT90" s="157"/>
    </row>
    <row r="91" spans="1:98" ht="45" customHeight="1">
      <c r="A91" s="66"/>
      <c r="B91" s="492" t="s">
        <v>571</v>
      </c>
      <c r="C91" s="502"/>
      <c r="D91" s="502"/>
      <c r="E91" s="503"/>
      <c r="F91" s="232"/>
      <c r="G91" s="181"/>
      <c r="H91" s="233"/>
      <c r="I91" s="181"/>
      <c r="J91" s="233"/>
      <c r="K91" s="181"/>
      <c r="L91" s="233"/>
      <c r="M91" s="181"/>
      <c r="N91" s="233"/>
      <c r="O91" s="181"/>
      <c r="P91" s="233"/>
      <c r="Q91" s="181"/>
      <c r="R91" s="233"/>
      <c r="S91" s="181"/>
      <c r="T91" s="233"/>
      <c r="U91" s="181"/>
      <c r="V91" s="233"/>
      <c r="W91" s="181"/>
      <c r="X91" s="233"/>
      <c r="Y91" s="181"/>
      <c r="Z91" s="233"/>
      <c r="AA91" s="181"/>
      <c r="AB91" s="233"/>
      <c r="AC91" s="181"/>
      <c r="AD91" s="233"/>
      <c r="AE91" s="181"/>
      <c r="AF91" s="170">
        <v>22988.866808300001</v>
      </c>
      <c r="AG91" s="181"/>
      <c r="AH91" s="170">
        <v>22850.584821699998</v>
      </c>
      <c r="AI91" s="181"/>
      <c r="AJ91" s="170">
        <v>24136.900829800001</v>
      </c>
      <c r="AK91" s="181"/>
      <c r="AL91" s="170">
        <v>23693.189901999998</v>
      </c>
      <c r="AM91" s="181"/>
      <c r="AN91" s="170">
        <v>22276.979067799999</v>
      </c>
      <c r="AO91" s="181"/>
      <c r="AP91" s="170">
        <v>19377.256928800001</v>
      </c>
      <c r="AQ91" s="181"/>
      <c r="AR91" s="170">
        <v>17648.086210099998</v>
      </c>
      <c r="AS91" s="181"/>
      <c r="AT91" s="170">
        <v>18313.114010099998</v>
      </c>
      <c r="AU91" s="181"/>
      <c r="AV91" s="171">
        <v>18387.520056099998</v>
      </c>
      <c r="AW91" s="181"/>
      <c r="AX91" s="171">
        <v>17742.851959</v>
      </c>
      <c r="AY91" s="181"/>
      <c r="AZ91" s="171">
        <v>17765.366095000001</v>
      </c>
      <c r="BA91" s="181"/>
      <c r="BB91" s="171">
        <v>16207.855940699999</v>
      </c>
      <c r="BC91" s="181"/>
      <c r="BD91" s="171">
        <v>17299.954005399999</v>
      </c>
      <c r="BE91" s="181"/>
      <c r="BF91" s="171">
        <v>17411.145636699999</v>
      </c>
      <c r="BG91" s="181"/>
      <c r="BH91" s="234"/>
      <c r="BI91" s="183"/>
      <c r="CJ91" s="157"/>
      <c r="CK91" s="150"/>
      <c r="CL91" s="157"/>
      <c r="CM91" s="151" t="s">
        <v>1088</v>
      </c>
      <c r="CN91" s="150" t="s">
        <v>1130</v>
      </c>
      <c r="CO91" s="157"/>
      <c r="CP91" s="157"/>
      <c r="CQ91" s="157"/>
      <c r="CR91" s="157"/>
      <c r="CS91" s="157"/>
      <c r="CT91" s="157"/>
    </row>
    <row r="92" spans="1:98">
      <c r="A92" s="66"/>
      <c r="B92" s="3"/>
      <c r="C92" s="99"/>
      <c r="D92" s="488" t="s">
        <v>572</v>
      </c>
      <c r="E92" s="489"/>
      <c r="F92" s="235"/>
      <c r="G92" s="379"/>
      <c r="H92" s="236"/>
      <c r="I92" s="379"/>
      <c r="J92" s="236"/>
      <c r="K92" s="379"/>
      <c r="L92" s="236"/>
      <c r="M92" s="379"/>
      <c r="N92" s="236"/>
      <c r="O92" s="379"/>
      <c r="P92" s="236"/>
      <c r="Q92" s="379"/>
      <c r="R92" s="236"/>
      <c r="S92" s="379"/>
      <c r="T92" s="236"/>
      <c r="U92" s="379"/>
      <c r="V92" s="236"/>
      <c r="W92" s="379"/>
      <c r="X92" s="236"/>
      <c r="Y92" s="379"/>
      <c r="Z92" s="236"/>
      <c r="AA92" s="379"/>
      <c r="AB92" s="236"/>
      <c r="AC92" s="379"/>
      <c r="AD92" s="236"/>
      <c r="AE92" s="379"/>
      <c r="AF92" s="172">
        <v>915.58909989999995</v>
      </c>
      <c r="AG92" s="379"/>
      <c r="AH92" s="172">
        <v>865.87450579999995</v>
      </c>
      <c r="AI92" s="379"/>
      <c r="AJ92" s="172">
        <v>820.74635590000003</v>
      </c>
      <c r="AK92" s="379"/>
      <c r="AL92" s="172">
        <v>783.00316580000003</v>
      </c>
      <c r="AM92" s="379"/>
      <c r="AN92" s="172">
        <v>752.11749529999997</v>
      </c>
      <c r="AO92" s="379"/>
      <c r="AP92" s="172">
        <v>711.13134009999999</v>
      </c>
      <c r="AQ92" s="379"/>
      <c r="AR92" s="172">
        <v>675.90977999999996</v>
      </c>
      <c r="AS92" s="379"/>
      <c r="AT92" s="172">
        <v>653.40561149999996</v>
      </c>
      <c r="AU92" s="379"/>
      <c r="AV92" s="173">
        <v>639.03168749999998</v>
      </c>
      <c r="AW92" s="379"/>
      <c r="AX92" s="173">
        <v>613.44527970000001</v>
      </c>
      <c r="AY92" s="379"/>
      <c r="AZ92" s="173">
        <v>577.02540969999995</v>
      </c>
      <c r="BA92" s="379"/>
      <c r="BB92" s="173">
        <v>559.94532070000002</v>
      </c>
      <c r="BC92" s="379"/>
      <c r="BD92" s="173">
        <v>529.34213969999996</v>
      </c>
      <c r="BE92" s="379"/>
      <c r="BF92" s="173">
        <v>507.9096624</v>
      </c>
      <c r="BG92" s="379"/>
      <c r="BH92" s="237"/>
      <c r="BI92" s="184"/>
      <c r="CJ92" s="157"/>
      <c r="CK92" s="150"/>
      <c r="CL92" s="157"/>
      <c r="CM92" s="151" t="s">
        <v>1146</v>
      </c>
      <c r="CN92" s="150" t="s">
        <v>1130</v>
      </c>
      <c r="CO92" s="157"/>
      <c r="CP92" s="157"/>
      <c r="CQ92" s="157"/>
      <c r="CR92" s="157"/>
      <c r="CS92" s="157"/>
      <c r="CT92" s="157"/>
    </row>
    <row r="93" spans="1:98">
      <c r="A93" s="314"/>
      <c r="B93" s="3"/>
      <c r="C93" s="99"/>
      <c r="D93" s="488" t="s">
        <v>573</v>
      </c>
      <c r="E93" s="489"/>
      <c r="F93" s="235"/>
      <c r="G93" s="379"/>
      <c r="H93" s="236"/>
      <c r="I93" s="379"/>
      <c r="J93" s="236"/>
      <c r="K93" s="379"/>
      <c r="L93" s="236"/>
      <c r="M93" s="379"/>
      <c r="N93" s="236"/>
      <c r="O93" s="379"/>
      <c r="P93" s="236"/>
      <c r="Q93" s="379"/>
      <c r="R93" s="236"/>
      <c r="S93" s="379"/>
      <c r="T93" s="236"/>
      <c r="U93" s="379"/>
      <c r="V93" s="236"/>
      <c r="W93" s="379"/>
      <c r="X93" s="236"/>
      <c r="Y93" s="379"/>
      <c r="Z93" s="236"/>
      <c r="AA93" s="379"/>
      <c r="AB93" s="236"/>
      <c r="AC93" s="379"/>
      <c r="AD93" s="236"/>
      <c r="AE93" s="379"/>
      <c r="AF93" s="172">
        <v>13406.2600289</v>
      </c>
      <c r="AG93" s="379"/>
      <c r="AH93" s="172">
        <v>13260.564190999999</v>
      </c>
      <c r="AI93" s="379"/>
      <c r="AJ93" s="172">
        <v>14495.606141</v>
      </c>
      <c r="AK93" s="379"/>
      <c r="AL93" s="172">
        <v>12499.4279702</v>
      </c>
      <c r="AM93" s="379"/>
      <c r="AN93" s="172">
        <v>12770.2572931</v>
      </c>
      <c r="AO93" s="379"/>
      <c r="AP93" s="172">
        <v>9741.4926634999993</v>
      </c>
      <c r="AQ93" s="379"/>
      <c r="AR93" s="172">
        <v>8418.8324040000007</v>
      </c>
      <c r="AS93" s="379"/>
      <c r="AT93" s="172">
        <v>8743.4418638000006</v>
      </c>
      <c r="AU93" s="379"/>
      <c r="AV93" s="173">
        <v>8338.5488585000003</v>
      </c>
      <c r="AW93" s="379"/>
      <c r="AX93" s="173">
        <v>8598.8291023000002</v>
      </c>
      <c r="AY93" s="379"/>
      <c r="AZ93" s="173">
        <v>8306.3951541999995</v>
      </c>
      <c r="BA93" s="379"/>
      <c r="BB93" s="173">
        <v>7201.4773697000001</v>
      </c>
      <c r="BC93" s="379"/>
      <c r="BD93" s="173">
        <v>8233.5212114000005</v>
      </c>
      <c r="BE93" s="379"/>
      <c r="BF93" s="173">
        <v>8331.0052333000003</v>
      </c>
      <c r="BG93" s="379"/>
      <c r="BH93" s="237"/>
      <c r="BI93" s="184"/>
      <c r="CJ93" s="157"/>
      <c r="CK93" s="150"/>
      <c r="CL93" s="157"/>
      <c r="CM93" s="151" t="s">
        <v>1094</v>
      </c>
      <c r="CN93" s="150" t="s">
        <v>1130</v>
      </c>
      <c r="CO93" s="157"/>
      <c r="CP93" s="157"/>
      <c r="CQ93" s="157"/>
      <c r="CR93" s="157"/>
      <c r="CS93" s="157"/>
      <c r="CT93" s="157"/>
    </row>
    <row r="94" spans="1:98" ht="15" customHeight="1" thickBot="1">
      <c r="A94" s="314"/>
      <c r="B94" s="4"/>
      <c r="C94" s="2"/>
      <c r="D94" s="490" t="s">
        <v>574</v>
      </c>
      <c r="E94" s="491"/>
      <c r="F94" s="238"/>
      <c r="G94" s="182"/>
      <c r="H94" s="239"/>
      <c r="I94" s="182"/>
      <c r="J94" s="239"/>
      <c r="K94" s="182"/>
      <c r="L94" s="239"/>
      <c r="M94" s="182"/>
      <c r="N94" s="239"/>
      <c r="O94" s="182"/>
      <c r="P94" s="239"/>
      <c r="Q94" s="182"/>
      <c r="R94" s="239"/>
      <c r="S94" s="182"/>
      <c r="T94" s="239"/>
      <c r="U94" s="182"/>
      <c r="V94" s="239"/>
      <c r="W94" s="182"/>
      <c r="X94" s="239"/>
      <c r="Y94" s="182"/>
      <c r="Z94" s="239"/>
      <c r="AA94" s="182"/>
      <c r="AB94" s="239"/>
      <c r="AC94" s="182"/>
      <c r="AD94" s="239"/>
      <c r="AE94" s="182"/>
      <c r="AF94" s="174">
        <v>8667.0176795999996</v>
      </c>
      <c r="AG94" s="182"/>
      <c r="AH94" s="174">
        <v>8724.1461249000004</v>
      </c>
      <c r="AI94" s="182"/>
      <c r="AJ94" s="174">
        <v>8820.5483328999999</v>
      </c>
      <c r="AK94" s="182"/>
      <c r="AL94" s="174">
        <v>10410.758766000001</v>
      </c>
      <c r="AM94" s="182"/>
      <c r="AN94" s="174">
        <v>8754.6042794000005</v>
      </c>
      <c r="AO94" s="182"/>
      <c r="AP94" s="174">
        <v>8924.6329251999996</v>
      </c>
      <c r="AQ94" s="182"/>
      <c r="AR94" s="174">
        <v>8553.3440260999996</v>
      </c>
      <c r="AS94" s="182"/>
      <c r="AT94" s="174">
        <v>8916.2665347999991</v>
      </c>
      <c r="AU94" s="182"/>
      <c r="AV94" s="175">
        <v>9409.9395100999991</v>
      </c>
      <c r="AW94" s="182"/>
      <c r="AX94" s="175">
        <v>8530.577577</v>
      </c>
      <c r="AY94" s="182"/>
      <c r="AZ94" s="175">
        <v>8881.9455311000002</v>
      </c>
      <c r="BA94" s="182"/>
      <c r="BB94" s="175">
        <v>8446.4332503999995</v>
      </c>
      <c r="BC94" s="182"/>
      <c r="BD94" s="175">
        <v>8537.0906543000001</v>
      </c>
      <c r="BE94" s="182"/>
      <c r="BF94" s="175">
        <v>8572.2307409000005</v>
      </c>
      <c r="BG94" s="182"/>
      <c r="BH94" s="240"/>
      <c r="BI94" s="185"/>
      <c r="CJ94" s="157"/>
      <c r="CK94" s="150"/>
      <c r="CL94" s="157"/>
      <c r="CM94" s="151" t="s">
        <v>1097</v>
      </c>
      <c r="CN94" s="150" t="s">
        <v>1130</v>
      </c>
      <c r="CO94" s="157"/>
      <c r="CP94" s="157"/>
      <c r="CQ94" s="157"/>
      <c r="CR94" s="157"/>
      <c r="CS94" s="157"/>
      <c r="CT94" s="157"/>
    </row>
    <row r="95" spans="1:98" ht="55.5" customHeight="1">
      <c r="A95" s="314"/>
      <c r="B95" s="556" t="s">
        <v>1171</v>
      </c>
      <c r="C95" s="557"/>
      <c r="D95" s="557"/>
      <c r="E95" s="558"/>
      <c r="F95" s="235"/>
      <c r="G95" s="379"/>
      <c r="H95" s="236"/>
      <c r="I95" s="379"/>
      <c r="J95" s="236"/>
      <c r="K95" s="379"/>
      <c r="L95" s="236"/>
      <c r="M95" s="379"/>
      <c r="N95" s="236"/>
      <c r="O95" s="379"/>
      <c r="P95" s="236"/>
      <c r="Q95" s="379"/>
      <c r="R95" s="236"/>
      <c r="S95" s="379"/>
      <c r="T95" s="236"/>
      <c r="U95" s="379"/>
      <c r="V95" s="236"/>
      <c r="W95" s="379"/>
      <c r="X95" s="236"/>
      <c r="Y95" s="379"/>
      <c r="Z95" s="236"/>
      <c r="AA95" s="379"/>
      <c r="AB95" s="236"/>
      <c r="AC95" s="379"/>
      <c r="AD95" s="236"/>
      <c r="AE95" s="379"/>
      <c r="AF95" s="172">
        <v>221910.09491340001</v>
      </c>
      <c r="AG95" s="379"/>
      <c r="AH95" s="172">
        <v>223391.23782529999</v>
      </c>
      <c r="AI95" s="379"/>
      <c r="AJ95" s="172">
        <v>223737.64115119999</v>
      </c>
      <c r="AK95" s="379"/>
      <c r="AL95" s="172">
        <v>219182.77390180001</v>
      </c>
      <c r="AM95" s="379"/>
      <c r="AN95" s="172">
        <v>215412.30602809999</v>
      </c>
      <c r="AO95" s="379"/>
      <c r="AP95" s="172">
        <v>212144.9240694</v>
      </c>
      <c r="AQ95" s="379"/>
      <c r="AR95" s="172">
        <v>209839.57326989999</v>
      </c>
      <c r="AS95" s="379"/>
      <c r="AT95" s="172">
        <v>211488.72684769999</v>
      </c>
      <c r="AU95" s="379"/>
      <c r="AV95" s="173">
        <v>207967.7136355</v>
      </c>
      <c r="AW95" s="379"/>
      <c r="AX95" s="173">
        <v>202342.6206311</v>
      </c>
      <c r="AY95" s="379"/>
      <c r="AZ95" s="173">
        <v>199635.83947169999</v>
      </c>
      <c r="BA95" s="379"/>
      <c r="BB95" s="173">
        <v>192473.81710849999</v>
      </c>
      <c r="BC95" s="379"/>
      <c r="BD95" s="173">
        <v>192174.40311429999</v>
      </c>
      <c r="BE95" s="379"/>
      <c r="BF95" s="173">
        <v>191029.580674</v>
      </c>
      <c r="BG95" s="379"/>
      <c r="BH95" s="237"/>
      <c r="BI95" s="184"/>
      <c r="CJ95" s="157"/>
      <c r="CK95" s="150"/>
      <c r="CL95" s="157"/>
      <c r="CM95" s="151" t="s">
        <v>1148</v>
      </c>
      <c r="CN95" s="150" t="s">
        <v>1130</v>
      </c>
      <c r="CO95" s="157"/>
      <c r="CP95" s="157"/>
      <c r="CQ95" s="157"/>
      <c r="CR95" s="157"/>
      <c r="CS95" s="157"/>
      <c r="CT95" s="157"/>
    </row>
    <row r="96" spans="1:98" ht="17.25" customHeight="1">
      <c r="A96" s="317"/>
      <c r="B96" s="200">
        <v>2</v>
      </c>
      <c r="C96" s="101"/>
      <c r="D96" s="482" t="s">
        <v>576</v>
      </c>
      <c r="E96" s="483"/>
      <c r="F96" s="235"/>
      <c r="G96" s="379"/>
      <c r="H96" s="236"/>
      <c r="I96" s="379"/>
      <c r="J96" s="236"/>
      <c r="K96" s="379"/>
      <c r="L96" s="236"/>
      <c r="M96" s="379"/>
      <c r="N96" s="236"/>
      <c r="O96" s="379"/>
      <c r="P96" s="236"/>
      <c r="Q96" s="379"/>
      <c r="R96" s="236"/>
      <c r="S96" s="379"/>
      <c r="T96" s="236"/>
      <c r="U96" s="379"/>
      <c r="V96" s="236"/>
      <c r="W96" s="379"/>
      <c r="X96" s="236"/>
      <c r="Y96" s="379"/>
      <c r="Z96" s="236"/>
      <c r="AA96" s="379"/>
      <c r="AB96" s="236"/>
      <c r="AC96" s="379"/>
      <c r="AD96" s="236"/>
      <c r="AE96" s="379"/>
      <c r="AF96" s="172">
        <v>645.11338520000004</v>
      </c>
      <c r="AG96" s="379"/>
      <c r="AH96" s="172">
        <v>542.69541579999998</v>
      </c>
      <c r="AI96" s="379"/>
      <c r="AJ96" s="172">
        <v>591.66271240000003</v>
      </c>
      <c r="AK96" s="379"/>
      <c r="AL96" s="172">
        <v>968.69010960000003</v>
      </c>
      <c r="AM96" s="379"/>
      <c r="AN96" s="172">
        <v>955.97374430000002</v>
      </c>
      <c r="AO96" s="379"/>
      <c r="AP96" s="172">
        <v>921.95837689999996</v>
      </c>
      <c r="AQ96" s="379"/>
      <c r="AR96" s="172">
        <v>838.43210209999995</v>
      </c>
      <c r="AS96" s="379"/>
      <c r="AT96" s="172">
        <v>2603.0557767999999</v>
      </c>
      <c r="AU96" s="379"/>
      <c r="AV96" s="173">
        <v>2554.2197682999999</v>
      </c>
      <c r="AW96" s="379"/>
      <c r="AX96" s="173">
        <v>2577.8117361</v>
      </c>
      <c r="AY96" s="379"/>
      <c r="AZ96" s="173">
        <v>3032.3881022</v>
      </c>
      <c r="BA96" s="379"/>
      <c r="BB96" s="173">
        <v>3183.5976040999999</v>
      </c>
      <c r="BC96" s="379"/>
      <c r="BD96" s="173">
        <v>3295.0666878000002</v>
      </c>
      <c r="BE96" s="379"/>
      <c r="BF96" s="173">
        <v>3288.5747416999998</v>
      </c>
      <c r="BG96" s="379"/>
      <c r="BH96" s="237"/>
      <c r="BI96" s="184"/>
      <c r="CJ96" s="157"/>
      <c r="CK96" s="150"/>
      <c r="CL96" s="157"/>
      <c r="CM96" s="151" t="s">
        <v>1148</v>
      </c>
      <c r="CN96" s="157" t="s">
        <v>1149</v>
      </c>
      <c r="CO96" s="157"/>
      <c r="CP96" s="157"/>
      <c r="CQ96" s="157"/>
      <c r="CR96" s="157"/>
      <c r="CS96" s="157"/>
      <c r="CT96" s="157"/>
    </row>
    <row r="97" spans="1:98" ht="12.75" customHeight="1">
      <c r="A97" s="317"/>
      <c r="B97" s="201">
        <v>2.1</v>
      </c>
      <c r="C97" s="102"/>
      <c r="D97" s="480" t="s">
        <v>577</v>
      </c>
      <c r="E97" s="481"/>
      <c r="F97" s="224"/>
      <c r="G97" s="379"/>
      <c r="H97" s="228"/>
      <c r="I97" s="379"/>
      <c r="J97" s="228"/>
      <c r="K97" s="379"/>
      <c r="L97" s="228"/>
      <c r="M97" s="379"/>
      <c r="N97" s="228"/>
      <c r="O97" s="379"/>
      <c r="P97" s="228"/>
      <c r="Q97" s="379"/>
      <c r="R97" s="228"/>
      <c r="S97" s="379"/>
      <c r="T97" s="228"/>
      <c r="U97" s="379"/>
      <c r="V97" s="228"/>
      <c r="W97" s="379"/>
      <c r="X97" s="228"/>
      <c r="Y97" s="379"/>
      <c r="Z97" s="228"/>
      <c r="AA97" s="379"/>
      <c r="AB97" s="228"/>
      <c r="AC97" s="379"/>
      <c r="AD97" s="228"/>
      <c r="AE97" s="379"/>
      <c r="AF97" s="167">
        <v>0</v>
      </c>
      <c r="AG97" s="379"/>
      <c r="AH97" s="167">
        <v>0</v>
      </c>
      <c r="AI97" s="379"/>
      <c r="AJ97" s="167">
        <v>0</v>
      </c>
      <c r="AK97" s="379"/>
      <c r="AL97" s="167">
        <v>0</v>
      </c>
      <c r="AM97" s="379"/>
      <c r="AN97" s="167">
        <v>0</v>
      </c>
      <c r="AO97" s="379"/>
      <c r="AP97" s="167">
        <v>0</v>
      </c>
      <c r="AQ97" s="379"/>
      <c r="AR97" s="167">
        <v>0</v>
      </c>
      <c r="AS97" s="379"/>
      <c r="AT97" s="167">
        <v>0</v>
      </c>
      <c r="AU97" s="379"/>
      <c r="AV97" s="165">
        <v>0</v>
      </c>
      <c r="AW97" s="379"/>
      <c r="AX97" s="165">
        <v>0</v>
      </c>
      <c r="AY97" s="379"/>
      <c r="AZ97" s="165">
        <v>0</v>
      </c>
      <c r="BA97" s="379"/>
      <c r="BB97" s="165">
        <v>0</v>
      </c>
      <c r="BC97" s="379"/>
      <c r="BD97" s="165">
        <v>0</v>
      </c>
      <c r="BE97" s="379"/>
      <c r="BF97" s="165">
        <v>0</v>
      </c>
      <c r="BG97" s="379"/>
      <c r="BH97" s="225"/>
      <c r="BI97" s="184"/>
      <c r="CJ97" s="157"/>
      <c r="CK97" s="150"/>
      <c r="CL97" s="157"/>
      <c r="CM97" s="151" t="s">
        <v>1148</v>
      </c>
      <c r="CN97" s="157" t="s">
        <v>1150</v>
      </c>
      <c r="CO97" s="157"/>
      <c r="CP97" s="157"/>
      <c r="CQ97" s="157"/>
      <c r="CR97" s="157"/>
      <c r="CS97" s="157"/>
      <c r="CT97" s="157"/>
    </row>
    <row r="98" spans="1:98" ht="12.75" customHeight="1">
      <c r="A98" s="317"/>
      <c r="B98" s="201">
        <v>2.2000000000000002</v>
      </c>
      <c r="C98" s="102"/>
      <c r="D98" s="480" t="s">
        <v>578</v>
      </c>
      <c r="E98" s="481"/>
      <c r="F98" s="224"/>
      <c r="G98" s="379"/>
      <c r="H98" s="228"/>
      <c r="I98" s="379"/>
      <c r="J98" s="228"/>
      <c r="K98" s="379"/>
      <c r="L98" s="228"/>
      <c r="M98" s="379"/>
      <c r="N98" s="228"/>
      <c r="O98" s="379"/>
      <c r="P98" s="228"/>
      <c r="Q98" s="379"/>
      <c r="R98" s="228"/>
      <c r="S98" s="379"/>
      <c r="T98" s="228"/>
      <c r="U98" s="379"/>
      <c r="V98" s="228"/>
      <c r="W98" s="379"/>
      <c r="X98" s="228"/>
      <c r="Y98" s="379"/>
      <c r="Z98" s="228"/>
      <c r="AA98" s="379"/>
      <c r="AB98" s="228"/>
      <c r="AC98" s="379"/>
      <c r="AD98" s="228"/>
      <c r="AE98" s="379"/>
      <c r="AF98" s="167">
        <v>0</v>
      </c>
      <c r="AG98" s="379"/>
      <c r="AH98" s="167">
        <v>0</v>
      </c>
      <c r="AI98" s="379"/>
      <c r="AJ98" s="167">
        <v>0</v>
      </c>
      <c r="AK98" s="379"/>
      <c r="AL98" s="167">
        <v>0</v>
      </c>
      <c r="AM98" s="379"/>
      <c r="AN98" s="167">
        <v>0</v>
      </c>
      <c r="AO98" s="379"/>
      <c r="AP98" s="167">
        <v>0</v>
      </c>
      <c r="AQ98" s="379"/>
      <c r="AR98" s="167">
        <v>0</v>
      </c>
      <c r="AS98" s="379"/>
      <c r="AT98" s="167">
        <v>0</v>
      </c>
      <c r="AU98" s="379"/>
      <c r="AV98" s="165">
        <v>0</v>
      </c>
      <c r="AW98" s="379"/>
      <c r="AX98" s="165">
        <v>0</v>
      </c>
      <c r="AY98" s="379"/>
      <c r="AZ98" s="165">
        <v>0</v>
      </c>
      <c r="BA98" s="379"/>
      <c r="BB98" s="165">
        <v>0</v>
      </c>
      <c r="BC98" s="379"/>
      <c r="BD98" s="165">
        <v>0</v>
      </c>
      <c r="BE98" s="379"/>
      <c r="BF98" s="165">
        <v>0</v>
      </c>
      <c r="BG98" s="379"/>
      <c r="BH98" s="225"/>
      <c r="BI98" s="184"/>
      <c r="CJ98" s="157"/>
      <c r="CK98" s="150"/>
      <c r="CL98" s="157"/>
      <c r="CM98" s="151" t="s">
        <v>1148</v>
      </c>
      <c r="CN98" s="157" t="s">
        <v>1151</v>
      </c>
      <c r="CO98" s="157"/>
      <c r="CP98" s="157"/>
      <c r="CQ98" s="157"/>
      <c r="CR98" s="157"/>
      <c r="CS98" s="157"/>
      <c r="CT98" s="157"/>
    </row>
    <row r="99" spans="1:98" ht="12.75" customHeight="1">
      <c r="A99" s="317"/>
      <c r="B99" s="201">
        <v>2.2999999999999998</v>
      </c>
      <c r="C99" s="102"/>
      <c r="D99" s="480" t="s">
        <v>579</v>
      </c>
      <c r="E99" s="481"/>
      <c r="F99" s="224"/>
      <c r="G99" s="379"/>
      <c r="H99" s="228"/>
      <c r="I99" s="379"/>
      <c r="J99" s="228"/>
      <c r="K99" s="379"/>
      <c r="L99" s="228"/>
      <c r="M99" s="379"/>
      <c r="N99" s="228"/>
      <c r="O99" s="379"/>
      <c r="P99" s="228"/>
      <c r="Q99" s="379"/>
      <c r="R99" s="228"/>
      <c r="S99" s="379"/>
      <c r="T99" s="228"/>
      <c r="U99" s="379"/>
      <c r="V99" s="228"/>
      <c r="W99" s="379"/>
      <c r="X99" s="228"/>
      <c r="Y99" s="379"/>
      <c r="Z99" s="228"/>
      <c r="AA99" s="379"/>
      <c r="AB99" s="228"/>
      <c r="AC99" s="379"/>
      <c r="AD99" s="228"/>
      <c r="AE99" s="379"/>
      <c r="AF99" s="167">
        <v>639.61793650000004</v>
      </c>
      <c r="AG99" s="379"/>
      <c r="AH99" s="167">
        <v>536.43251929999997</v>
      </c>
      <c r="AI99" s="379"/>
      <c r="AJ99" s="167">
        <v>583.54945499999997</v>
      </c>
      <c r="AK99" s="379"/>
      <c r="AL99" s="250">
        <v>958.92959480000002</v>
      </c>
      <c r="AM99" s="379" t="s">
        <v>440</v>
      </c>
      <c r="AN99" s="167">
        <v>944.4164624</v>
      </c>
      <c r="AO99" s="379"/>
      <c r="AP99" s="167">
        <v>908.48966870000004</v>
      </c>
      <c r="AQ99" s="379"/>
      <c r="AR99" s="167">
        <v>823.99102519999997</v>
      </c>
      <c r="AS99" s="379"/>
      <c r="AT99" s="250">
        <v>2586.613214</v>
      </c>
      <c r="AU99" s="379" t="s">
        <v>452</v>
      </c>
      <c r="AV99" s="165">
        <v>2541.2462648999999</v>
      </c>
      <c r="AW99" s="379"/>
      <c r="AX99" s="165">
        <v>2565.047838</v>
      </c>
      <c r="AY99" s="379"/>
      <c r="AZ99" s="165">
        <v>3018.7432884</v>
      </c>
      <c r="BA99" s="379"/>
      <c r="BB99" s="165">
        <v>3165.7663311000001</v>
      </c>
      <c r="BC99" s="379"/>
      <c r="BD99" s="165">
        <v>3290.816472</v>
      </c>
      <c r="BE99" s="379"/>
      <c r="BF99" s="165">
        <v>3285.6677242000001</v>
      </c>
      <c r="BG99" s="379"/>
      <c r="BH99" s="225"/>
      <c r="BI99" s="184"/>
      <c r="CJ99" s="157"/>
      <c r="CK99" s="150"/>
      <c r="CL99" s="157"/>
      <c r="CM99" s="151" t="s">
        <v>1148</v>
      </c>
      <c r="CN99" s="157" t="s">
        <v>1152</v>
      </c>
      <c r="CO99" s="157"/>
      <c r="CP99" s="157"/>
      <c r="CQ99" s="157"/>
      <c r="CR99" s="157"/>
      <c r="CS99" s="157"/>
      <c r="CT99" s="157"/>
    </row>
    <row r="100" spans="1:98" ht="12.75" customHeight="1">
      <c r="A100" s="317"/>
      <c r="B100" s="201">
        <v>2.4</v>
      </c>
      <c r="C100" s="102"/>
      <c r="D100" s="480" t="s">
        <v>580</v>
      </c>
      <c r="E100" s="481"/>
      <c r="F100" s="224"/>
      <c r="G100" s="379"/>
      <c r="H100" s="228"/>
      <c r="I100" s="379"/>
      <c r="J100" s="228"/>
      <c r="K100" s="379"/>
      <c r="L100" s="228"/>
      <c r="M100" s="379"/>
      <c r="N100" s="228"/>
      <c r="O100" s="379"/>
      <c r="P100" s="228"/>
      <c r="Q100" s="379"/>
      <c r="R100" s="228"/>
      <c r="S100" s="379"/>
      <c r="T100" s="228"/>
      <c r="U100" s="379"/>
      <c r="V100" s="228"/>
      <c r="W100" s="379"/>
      <c r="X100" s="228"/>
      <c r="Y100" s="379"/>
      <c r="Z100" s="228"/>
      <c r="AA100" s="379"/>
      <c r="AB100" s="228"/>
      <c r="AC100" s="379"/>
      <c r="AD100" s="228"/>
      <c r="AE100" s="379"/>
      <c r="AF100" s="167">
        <v>5.4954486999999999</v>
      </c>
      <c r="AG100" s="379"/>
      <c r="AH100" s="167">
        <v>6.2628965000000001</v>
      </c>
      <c r="AI100" s="379"/>
      <c r="AJ100" s="167">
        <v>8.1132574000000002</v>
      </c>
      <c r="AK100" s="379"/>
      <c r="AL100" s="167">
        <v>9.7605147999999993</v>
      </c>
      <c r="AM100" s="379"/>
      <c r="AN100" s="167">
        <v>11.5572819</v>
      </c>
      <c r="AO100" s="379"/>
      <c r="AP100" s="167">
        <v>13.4687082</v>
      </c>
      <c r="AQ100" s="379"/>
      <c r="AR100" s="167">
        <v>14.441076900000001</v>
      </c>
      <c r="AS100" s="379"/>
      <c r="AT100" s="167">
        <v>16.442562800000001</v>
      </c>
      <c r="AU100" s="379"/>
      <c r="AV100" s="165">
        <v>12.9735034</v>
      </c>
      <c r="AW100" s="379"/>
      <c r="AX100" s="165">
        <v>12.7638981</v>
      </c>
      <c r="AY100" s="379"/>
      <c r="AZ100" s="165">
        <v>13.6448138</v>
      </c>
      <c r="BA100" s="379"/>
      <c r="BB100" s="165">
        <v>17.831273100000001</v>
      </c>
      <c r="BC100" s="379"/>
      <c r="BD100" s="165">
        <v>4.2502158000000003</v>
      </c>
      <c r="BE100" s="379"/>
      <c r="BF100" s="165">
        <v>2.9070174999999998</v>
      </c>
      <c r="BG100" s="379"/>
      <c r="BH100" s="225"/>
      <c r="BI100" s="184"/>
      <c r="CJ100" s="157"/>
      <c r="CK100" s="150"/>
      <c r="CL100" s="157"/>
      <c r="CM100" s="151" t="s">
        <v>1148</v>
      </c>
      <c r="CN100" s="157" t="s">
        <v>1153</v>
      </c>
      <c r="CO100" s="157"/>
      <c r="CP100" s="157"/>
      <c r="CQ100" s="157"/>
      <c r="CR100" s="157"/>
      <c r="CS100" s="157"/>
      <c r="CT100" s="157"/>
    </row>
    <row r="101" spans="1:98" ht="19.5" customHeight="1">
      <c r="A101" s="317"/>
      <c r="B101" s="200">
        <v>3</v>
      </c>
      <c r="C101" s="101"/>
      <c r="D101" s="482" t="s">
        <v>581</v>
      </c>
      <c r="E101" s="483"/>
      <c r="F101" s="235"/>
      <c r="G101" s="379"/>
      <c r="H101" s="236"/>
      <c r="I101" s="379"/>
      <c r="J101" s="236"/>
      <c r="K101" s="379"/>
      <c r="L101" s="236"/>
      <c r="M101" s="379"/>
      <c r="N101" s="236"/>
      <c r="O101" s="379"/>
      <c r="P101" s="236"/>
      <c r="Q101" s="379"/>
      <c r="R101" s="236"/>
      <c r="S101" s="379"/>
      <c r="T101" s="236"/>
      <c r="U101" s="379"/>
      <c r="V101" s="236"/>
      <c r="W101" s="379"/>
      <c r="X101" s="236"/>
      <c r="Y101" s="379"/>
      <c r="Z101" s="236"/>
      <c r="AA101" s="379"/>
      <c r="AB101" s="236"/>
      <c r="AC101" s="379"/>
      <c r="AD101" s="236"/>
      <c r="AE101" s="379"/>
      <c r="AF101" s="172">
        <v>0</v>
      </c>
      <c r="AG101" s="379"/>
      <c r="AH101" s="172">
        <v>0</v>
      </c>
      <c r="AI101" s="379"/>
      <c r="AJ101" s="172">
        <v>1.093521</v>
      </c>
      <c r="AK101" s="379"/>
      <c r="AL101" s="172">
        <v>1.5889200000000001</v>
      </c>
      <c r="AM101" s="379"/>
      <c r="AN101" s="172">
        <v>2.070271</v>
      </c>
      <c r="AO101" s="379"/>
      <c r="AP101" s="172">
        <v>0.54758439999999997</v>
      </c>
      <c r="AQ101" s="379"/>
      <c r="AR101" s="172">
        <v>0.84618990000000005</v>
      </c>
      <c r="AS101" s="379"/>
      <c r="AT101" s="172">
        <v>0.80822490000000002</v>
      </c>
      <c r="AU101" s="379"/>
      <c r="AV101" s="173">
        <v>0.97304109999999999</v>
      </c>
      <c r="AW101" s="379"/>
      <c r="AX101" s="173">
        <v>1.1191500000000001</v>
      </c>
      <c r="AY101" s="379"/>
      <c r="AZ101" s="173">
        <v>0.24156939999999999</v>
      </c>
      <c r="BA101" s="379"/>
      <c r="BB101" s="173">
        <v>0.31790800000000002</v>
      </c>
      <c r="BC101" s="379"/>
      <c r="BD101" s="173">
        <v>0.57818579999999997</v>
      </c>
      <c r="BE101" s="379"/>
      <c r="BF101" s="173">
        <v>0.69137780000000004</v>
      </c>
      <c r="BG101" s="379"/>
      <c r="BH101" s="237"/>
      <c r="BI101" s="184"/>
      <c r="CJ101" s="157"/>
      <c r="CK101" s="150"/>
      <c r="CL101" s="157"/>
      <c r="CM101" s="151" t="s">
        <v>1148</v>
      </c>
      <c r="CN101" s="157" t="s">
        <v>1154</v>
      </c>
      <c r="CO101" s="157"/>
      <c r="CP101" s="157"/>
      <c r="CQ101" s="157"/>
      <c r="CR101" s="157"/>
      <c r="CS101" s="157"/>
      <c r="CT101" s="157"/>
    </row>
    <row r="102" spans="1:98" ht="12.75" customHeight="1">
      <c r="A102" s="317"/>
      <c r="B102" s="201">
        <v>3.1</v>
      </c>
      <c r="C102" s="102"/>
      <c r="D102" s="480" t="s">
        <v>582</v>
      </c>
      <c r="E102" s="481"/>
      <c r="F102" s="224"/>
      <c r="G102" s="379"/>
      <c r="H102" s="228"/>
      <c r="I102" s="379"/>
      <c r="J102" s="228"/>
      <c r="K102" s="379"/>
      <c r="L102" s="228"/>
      <c r="M102" s="379"/>
      <c r="N102" s="228"/>
      <c r="O102" s="379"/>
      <c r="P102" s="228"/>
      <c r="Q102" s="379"/>
      <c r="R102" s="228"/>
      <c r="S102" s="379"/>
      <c r="T102" s="228"/>
      <c r="U102" s="379"/>
      <c r="V102" s="228"/>
      <c r="W102" s="379"/>
      <c r="X102" s="228"/>
      <c r="Y102" s="379"/>
      <c r="Z102" s="228"/>
      <c r="AA102" s="379"/>
      <c r="AB102" s="228"/>
      <c r="AC102" s="379"/>
      <c r="AD102" s="228"/>
      <c r="AE102" s="379"/>
      <c r="AF102" s="167">
        <v>0</v>
      </c>
      <c r="AG102" s="379"/>
      <c r="AH102" s="167">
        <v>0</v>
      </c>
      <c r="AI102" s="379"/>
      <c r="AJ102" s="167">
        <v>0</v>
      </c>
      <c r="AK102" s="379"/>
      <c r="AL102" s="167">
        <v>0</v>
      </c>
      <c r="AM102" s="379"/>
      <c r="AN102" s="167">
        <v>0</v>
      </c>
      <c r="AO102" s="379"/>
      <c r="AP102" s="167">
        <v>0</v>
      </c>
      <c r="AQ102" s="379"/>
      <c r="AR102" s="167">
        <v>0</v>
      </c>
      <c r="AS102" s="379"/>
      <c r="AT102" s="167">
        <v>0</v>
      </c>
      <c r="AU102" s="379"/>
      <c r="AV102" s="165">
        <v>0</v>
      </c>
      <c r="AW102" s="379"/>
      <c r="AX102" s="165">
        <v>0</v>
      </c>
      <c r="AY102" s="379"/>
      <c r="AZ102" s="165">
        <v>0</v>
      </c>
      <c r="BA102" s="379"/>
      <c r="BB102" s="165">
        <v>0</v>
      </c>
      <c r="BC102" s="379"/>
      <c r="BD102" s="165">
        <v>0</v>
      </c>
      <c r="BE102" s="379"/>
      <c r="BF102" s="165">
        <v>0</v>
      </c>
      <c r="BG102" s="379"/>
      <c r="BH102" s="225"/>
      <c r="BI102" s="184"/>
      <c r="CJ102" s="157"/>
      <c r="CK102" s="150"/>
      <c r="CL102" s="157"/>
      <c r="CM102" s="151" t="s">
        <v>1148</v>
      </c>
      <c r="CN102" s="157" t="s">
        <v>1155</v>
      </c>
      <c r="CO102" s="157"/>
      <c r="CP102" s="157"/>
      <c r="CQ102" s="157"/>
      <c r="CR102" s="157"/>
      <c r="CS102" s="157"/>
      <c r="CT102" s="157"/>
    </row>
    <row r="103" spans="1:98" ht="12.75" customHeight="1">
      <c r="A103" s="317"/>
      <c r="B103" s="201">
        <v>3.2</v>
      </c>
      <c r="C103" s="102"/>
      <c r="D103" s="480" t="s">
        <v>583</v>
      </c>
      <c r="E103" s="481"/>
      <c r="F103" s="224"/>
      <c r="G103" s="379"/>
      <c r="H103" s="228"/>
      <c r="I103" s="379"/>
      <c r="J103" s="228"/>
      <c r="K103" s="379"/>
      <c r="L103" s="228"/>
      <c r="M103" s="379"/>
      <c r="N103" s="228"/>
      <c r="O103" s="379"/>
      <c r="P103" s="228"/>
      <c r="Q103" s="379"/>
      <c r="R103" s="228"/>
      <c r="S103" s="379"/>
      <c r="T103" s="228"/>
      <c r="U103" s="379"/>
      <c r="V103" s="228"/>
      <c r="W103" s="379"/>
      <c r="X103" s="228"/>
      <c r="Y103" s="379"/>
      <c r="Z103" s="228"/>
      <c r="AA103" s="379"/>
      <c r="AB103" s="228"/>
      <c r="AC103" s="379"/>
      <c r="AD103" s="228"/>
      <c r="AE103" s="379"/>
      <c r="AF103" s="167">
        <v>0</v>
      </c>
      <c r="AG103" s="379"/>
      <c r="AH103" s="167">
        <v>0</v>
      </c>
      <c r="AI103" s="379"/>
      <c r="AJ103" s="167">
        <v>0.52550419999999998</v>
      </c>
      <c r="AK103" s="379"/>
      <c r="AL103" s="250">
        <v>1.0795485</v>
      </c>
      <c r="AM103" s="379" t="s">
        <v>480</v>
      </c>
      <c r="AN103" s="167">
        <v>1.5481195000000001</v>
      </c>
      <c r="AO103" s="379"/>
      <c r="AP103" s="167">
        <v>9.8872299999999996E-2</v>
      </c>
      <c r="AQ103" s="379"/>
      <c r="AR103" s="167">
        <v>0.38899020000000001</v>
      </c>
      <c r="AS103" s="379"/>
      <c r="AT103" s="167">
        <v>0.38746779999999997</v>
      </c>
      <c r="AU103" s="379"/>
      <c r="AV103" s="251">
        <v>0.63204470000000001</v>
      </c>
      <c r="AW103" s="379" t="s">
        <v>460</v>
      </c>
      <c r="AX103" s="165">
        <v>0.8773938</v>
      </c>
      <c r="AY103" s="379"/>
      <c r="AZ103" s="165">
        <v>0</v>
      </c>
      <c r="BA103" s="379"/>
      <c r="BB103" s="165">
        <v>0</v>
      </c>
      <c r="BC103" s="379"/>
      <c r="BD103" s="165">
        <v>0</v>
      </c>
      <c r="BE103" s="379"/>
      <c r="BF103" s="165">
        <v>1.22381E-2</v>
      </c>
      <c r="BG103" s="379"/>
      <c r="BH103" s="225"/>
      <c r="BI103" s="184"/>
      <c r="CJ103" s="157"/>
      <c r="CK103" s="150"/>
      <c r="CL103" s="157"/>
      <c r="CM103" s="151" t="s">
        <v>1148</v>
      </c>
      <c r="CN103" s="157" t="s">
        <v>1156</v>
      </c>
      <c r="CO103" s="157"/>
      <c r="CP103" s="157"/>
      <c r="CQ103" s="157"/>
      <c r="CR103" s="157"/>
      <c r="CS103" s="157"/>
      <c r="CT103" s="157"/>
    </row>
    <row r="104" spans="1:98" ht="12.75" customHeight="1">
      <c r="A104" s="317"/>
      <c r="B104" s="201">
        <v>3.3</v>
      </c>
      <c r="C104" s="102"/>
      <c r="D104" s="480" t="s">
        <v>584</v>
      </c>
      <c r="E104" s="481"/>
      <c r="F104" s="224"/>
      <c r="G104" s="379"/>
      <c r="H104" s="228"/>
      <c r="I104" s="379"/>
      <c r="J104" s="228"/>
      <c r="K104" s="379"/>
      <c r="L104" s="228"/>
      <c r="M104" s="379"/>
      <c r="N104" s="228"/>
      <c r="O104" s="379"/>
      <c r="P104" s="228"/>
      <c r="Q104" s="379"/>
      <c r="R104" s="228"/>
      <c r="S104" s="379"/>
      <c r="T104" s="228"/>
      <c r="U104" s="379"/>
      <c r="V104" s="228"/>
      <c r="W104" s="379"/>
      <c r="X104" s="228"/>
      <c r="Y104" s="379"/>
      <c r="Z104" s="228"/>
      <c r="AA104" s="379"/>
      <c r="AB104" s="228"/>
      <c r="AC104" s="379"/>
      <c r="AD104" s="228"/>
      <c r="AE104" s="379"/>
      <c r="AF104" s="167">
        <v>0</v>
      </c>
      <c r="AG104" s="379"/>
      <c r="AH104" s="167">
        <v>0</v>
      </c>
      <c r="AI104" s="379"/>
      <c r="AJ104" s="250">
        <v>0.56801679999999999</v>
      </c>
      <c r="AK104" s="379" t="s">
        <v>474</v>
      </c>
      <c r="AL104" s="167">
        <v>0.50937149999999998</v>
      </c>
      <c r="AM104" s="379"/>
      <c r="AN104" s="167">
        <v>0.52215160000000005</v>
      </c>
      <c r="AO104" s="379"/>
      <c r="AP104" s="167">
        <v>0.4487121</v>
      </c>
      <c r="AQ104" s="379"/>
      <c r="AR104" s="167">
        <v>0.45719959999999998</v>
      </c>
      <c r="AS104" s="379"/>
      <c r="AT104" s="167">
        <v>0.42075709999999999</v>
      </c>
      <c r="AU104" s="379"/>
      <c r="AV104" s="165">
        <v>0.34099639999999998</v>
      </c>
      <c r="AW104" s="379"/>
      <c r="AX104" s="165">
        <v>0.2417562</v>
      </c>
      <c r="AY104" s="379"/>
      <c r="AZ104" s="165">
        <v>0.24156939999999999</v>
      </c>
      <c r="BA104" s="379"/>
      <c r="BB104" s="165">
        <v>0.31790800000000002</v>
      </c>
      <c r="BC104" s="379"/>
      <c r="BD104" s="251">
        <v>0.57818579999999997</v>
      </c>
      <c r="BE104" s="379" t="s">
        <v>482</v>
      </c>
      <c r="BF104" s="165">
        <v>0.67913979999999996</v>
      </c>
      <c r="BG104" s="379"/>
      <c r="BH104" s="225"/>
      <c r="BI104" s="184"/>
      <c r="CJ104" s="157"/>
      <c r="CK104" s="150"/>
      <c r="CL104" s="157"/>
      <c r="CM104" s="151" t="s">
        <v>1148</v>
      </c>
      <c r="CN104" s="157" t="s">
        <v>1157</v>
      </c>
      <c r="CO104" s="157"/>
      <c r="CP104" s="157"/>
      <c r="CQ104" s="157"/>
      <c r="CR104" s="157"/>
      <c r="CS104" s="157"/>
      <c r="CT104" s="157"/>
    </row>
    <row r="105" spans="1:98" ht="17.25" customHeight="1">
      <c r="A105" s="317"/>
      <c r="B105" s="200">
        <v>4</v>
      </c>
      <c r="C105" s="101"/>
      <c r="D105" s="482" t="s">
        <v>585</v>
      </c>
      <c r="E105" s="483"/>
      <c r="F105" s="235"/>
      <c r="G105" s="379"/>
      <c r="H105" s="236"/>
      <c r="I105" s="379"/>
      <c r="J105" s="236"/>
      <c r="K105" s="379"/>
      <c r="L105" s="236"/>
      <c r="M105" s="379"/>
      <c r="N105" s="236"/>
      <c r="O105" s="379"/>
      <c r="P105" s="236"/>
      <c r="Q105" s="379"/>
      <c r="R105" s="236"/>
      <c r="S105" s="379"/>
      <c r="T105" s="236"/>
      <c r="U105" s="379"/>
      <c r="V105" s="236"/>
      <c r="W105" s="379"/>
      <c r="X105" s="236"/>
      <c r="Y105" s="379"/>
      <c r="Z105" s="236"/>
      <c r="AA105" s="379"/>
      <c r="AB105" s="236"/>
      <c r="AC105" s="379"/>
      <c r="AD105" s="236"/>
      <c r="AE105" s="379"/>
      <c r="AF105" s="172">
        <v>-15.476741356751745</v>
      </c>
      <c r="AG105" s="379"/>
      <c r="AH105" s="172">
        <v>-13.479117994866897</v>
      </c>
      <c r="AI105" s="379"/>
      <c r="AJ105" s="172">
        <v>-20.4666375594005</v>
      </c>
      <c r="AK105" s="379"/>
      <c r="AL105" s="172">
        <v>-20.350910000341145</v>
      </c>
      <c r="AM105" s="379"/>
      <c r="AN105" s="172">
        <v>-21.085911414805032</v>
      </c>
      <c r="AO105" s="379"/>
      <c r="AP105" s="172">
        <v>-18.660269819737433</v>
      </c>
      <c r="AQ105" s="379"/>
      <c r="AR105" s="172">
        <v>-13.409454233489884</v>
      </c>
      <c r="AS105" s="379"/>
      <c r="AT105" s="172">
        <v>-13.813028582590137</v>
      </c>
      <c r="AU105" s="379"/>
      <c r="AV105" s="173">
        <v>-12.14489895596439</v>
      </c>
      <c r="AW105" s="379"/>
      <c r="AX105" s="173">
        <v>-12.751071354656242</v>
      </c>
      <c r="AY105" s="379"/>
      <c r="AZ105" s="173">
        <v>-11.34307899656903</v>
      </c>
      <c r="BA105" s="379"/>
      <c r="BB105" s="173">
        <v>-9.8565371620484363</v>
      </c>
      <c r="BC105" s="379"/>
      <c r="BD105" s="173">
        <v>-5.8463075704566734</v>
      </c>
      <c r="BE105" s="379"/>
      <c r="BF105" s="173">
        <v>-5.7209273032573851</v>
      </c>
      <c r="BG105" s="379"/>
      <c r="BH105" s="237"/>
      <c r="BI105" s="184"/>
      <c r="CJ105" s="157"/>
      <c r="CK105" s="150"/>
      <c r="CL105" s="157"/>
      <c r="CM105" s="151" t="s">
        <v>1148</v>
      </c>
      <c r="CN105" s="157" t="s">
        <v>1158</v>
      </c>
      <c r="CO105" s="157"/>
      <c r="CP105" s="157"/>
      <c r="CQ105" s="157"/>
      <c r="CR105" s="157"/>
      <c r="CS105" s="157"/>
      <c r="CT105" s="157"/>
    </row>
    <row r="106" spans="1:98" ht="32.25" customHeight="1">
      <c r="A106" s="317"/>
      <c r="B106" s="200">
        <v>5</v>
      </c>
      <c r="C106" s="101"/>
      <c r="D106" s="484" t="s">
        <v>1177</v>
      </c>
      <c r="E106" s="485"/>
      <c r="F106" s="222"/>
      <c r="G106" s="379"/>
      <c r="H106" s="231"/>
      <c r="I106" s="379"/>
      <c r="J106" s="231"/>
      <c r="K106" s="379"/>
      <c r="L106" s="231"/>
      <c r="M106" s="379"/>
      <c r="N106" s="231"/>
      <c r="O106" s="379"/>
      <c r="P106" s="231"/>
      <c r="Q106" s="379"/>
      <c r="R106" s="231"/>
      <c r="S106" s="379"/>
      <c r="T106" s="231"/>
      <c r="U106" s="379"/>
      <c r="V106" s="231"/>
      <c r="W106" s="379"/>
      <c r="X106" s="231"/>
      <c r="Y106" s="379"/>
      <c r="Z106" s="231"/>
      <c r="AA106" s="379"/>
      <c r="AB106" s="231"/>
      <c r="AC106" s="379"/>
      <c r="AD106" s="231"/>
      <c r="AE106" s="379"/>
      <c r="AF106" s="169">
        <v>221249.50478684326</v>
      </c>
      <c r="AG106" s="379"/>
      <c r="AH106" s="169">
        <v>222835.06329150512</v>
      </c>
      <c r="AI106" s="379"/>
      <c r="AJ106" s="169">
        <v>223126.60532224059</v>
      </c>
      <c r="AK106" s="379"/>
      <c r="AL106" s="169">
        <v>218195.32180219967</v>
      </c>
      <c r="AM106" s="379"/>
      <c r="AN106" s="169">
        <v>214437.31664338519</v>
      </c>
      <c r="AO106" s="379"/>
      <c r="AP106" s="169">
        <v>211204.85300708027</v>
      </c>
      <c r="AQ106" s="379"/>
      <c r="AR106" s="169">
        <v>208988.5779034665</v>
      </c>
      <c r="AS106" s="379"/>
      <c r="AT106" s="169">
        <v>208872.6662672174</v>
      </c>
      <c r="AU106" s="379"/>
      <c r="AV106" s="164">
        <v>205402.32200934403</v>
      </c>
      <c r="AW106" s="379"/>
      <c r="AX106" s="164">
        <v>199753.17697364534</v>
      </c>
      <c r="AY106" s="379"/>
      <c r="AZ106" s="164">
        <v>196592.34985990342</v>
      </c>
      <c r="BA106" s="379"/>
      <c r="BB106" s="164">
        <v>189280.68087523794</v>
      </c>
      <c r="BC106" s="379"/>
      <c r="BD106" s="164">
        <v>188874.06830472953</v>
      </c>
      <c r="BE106" s="379"/>
      <c r="BF106" s="164">
        <v>187735.97638279674</v>
      </c>
      <c r="BG106" s="379"/>
      <c r="BH106" s="223"/>
      <c r="BI106" s="184"/>
      <c r="CJ106" s="157"/>
      <c r="CK106" s="150"/>
      <c r="CL106" s="157"/>
      <c r="CM106" s="151" t="s">
        <v>1148</v>
      </c>
      <c r="CN106" s="157" t="s">
        <v>1160</v>
      </c>
      <c r="CO106" s="157"/>
      <c r="CP106" s="157"/>
      <c r="CQ106" s="157"/>
      <c r="CR106" s="157"/>
      <c r="CS106" s="157"/>
      <c r="CT106" s="157"/>
    </row>
    <row r="107" spans="1:98" ht="13.9" customHeight="1" thickBot="1">
      <c r="B107" s="64"/>
      <c r="C107" s="65"/>
      <c r="D107" s="486" t="s">
        <v>587</v>
      </c>
      <c r="E107" s="487"/>
      <c r="F107" s="241"/>
      <c r="G107" s="194"/>
      <c r="H107" s="242"/>
      <c r="I107" s="194"/>
      <c r="J107" s="242"/>
      <c r="K107" s="194"/>
      <c r="L107" s="242"/>
      <c r="M107" s="194"/>
      <c r="N107" s="242"/>
      <c r="O107" s="194"/>
      <c r="P107" s="242"/>
      <c r="Q107" s="194"/>
      <c r="R107" s="242"/>
      <c r="S107" s="194"/>
      <c r="T107" s="242"/>
      <c r="U107" s="194"/>
      <c r="V107" s="242"/>
      <c r="W107" s="194"/>
      <c r="X107" s="242"/>
      <c r="Y107" s="194"/>
      <c r="Z107" s="242"/>
      <c r="AA107" s="194"/>
      <c r="AB107" s="242"/>
      <c r="AC107" s="194"/>
      <c r="AD107" s="242"/>
      <c r="AE107" s="194"/>
      <c r="AF107" s="104">
        <v>2023</v>
      </c>
      <c r="AG107" s="194"/>
      <c r="AH107" s="104">
        <v>2023</v>
      </c>
      <c r="AI107" s="194"/>
      <c r="AJ107" s="104">
        <v>2023</v>
      </c>
      <c r="AK107" s="194"/>
      <c r="AL107" s="104">
        <v>2023</v>
      </c>
      <c r="AM107" s="194"/>
      <c r="AN107" s="104">
        <v>2023</v>
      </c>
      <c r="AO107" s="194"/>
      <c r="AP107" s="104">
        <v>2023</v>
      </c>
      <c r="AQ107" s="194"/>
      <c r="AR107" s="104">
        <v>2023</v>
      </c>
      <c r="AS107" s="194"/>
      <c r="AT107" s="104">
        <v>2023</v>
      </c>
      <c r="AU107" s="194"/>
      <c r="AV107" s="104">
        <v>2023</v>
      </c>
      <c r="AW107" s="194"/>
      <c r="AX107" s="105">
        <v>2023</v>
      </c>
      <c r="AY107" s="194"/>
      <c r="AZ107" s="105">
        <v>2023</v>
      </c>
      <c r="BA107" s="194"/>
      <c r="BB107" s="105">
        <v>2023</v>
      </c>
      <c r="BC107" s="194"/>
      <c r="BD107" s="105">
        <v>2023</v>
      </c>
      <c r="BE107" s="194"/>
      <c r="BF107" s="105">
        <v>2023</v>
      </c>
      <c r="BG107" s="194"/>
      <c r="BH107" s="243"/>
      <c r="BI107" s="195"/>
      <c r="CJ107" s="160"/>
      <c r="CK107" s="155"/>
      <c r="CL107" s="160"/>
      <c r="CM107" s="161"/>
      <c r="CN107" s="160"/>
      <c r="CO107" s="160"/>
      <c r="CP107" s="160"/>
      <c r="CQ107" s="160"/>
      <c r="CR107" s="160"/>
      <c r="CS107" s="160"/>
      <c r="CT107" s="160"/>
    </row>
    <row r="108" spans="1:98">
      <c r="CJ108" s="160"/>
      <c r="CK108" s="155"/>
      <c r="CL108" s="160"/>
      <c r="CM108" s="161"/>
      <c r="CN108" s="160"/>
      <c r="CO108" s="160"/>
      <c r="CP108" s="160"/>
      <c r="CQ108" s="160"/>
      <c r="CR108" s="160"/>
      <c r="CS108" s="160"/>
      <c r="CT108" s="160"/>
    </row>
    <row r="109" spans="1:98">
      <c r="B109" s="202" t="s">
        <v>1161</v>
      </c>
      <c r="CJ109" s="160"/>
      <c r="CK109" s="155"/>
      <c r="CL109" s="160"/>
      <c r="CM109" s="161"/>
      <c r="CN109" s="160"/>
      <c r="CO109" s="160"/>
      <c r="CP109" s="160"/>
      <c r="CQ109" s="160"/>
      <c r="CR109" s="160"/>
      <c r="CS109" s="160"/>
      <c r="CT109" s="160"/>
    </row>
    <row r="110" spans="1:98">
      <c r="B110" s="203">
        <v>1</v>
      </c>
      <c r="C110" t="s">
        <v>1162</v>
      </c>
      <c r="CJ110" s="160"/>
      <c r="CK110" s="155"/>
      <c r="CL110" s="160"/>
      <c r="CM110" s="161"/>
      <c r="CN110" s="160"/>
      <c r="CO110" s="160"/>
      <c r="CP110" s="160"/>
      <c r="CQ110" s="160"/>
      <c r="CR110" s="160"/>
      <c r="CS110" s="160"/>
      <c r="CT110" s="160"/>
    </row>
    <row r="111" spans="1:98">
      <c r="B111" s="203"/>
      <c r="CJ111" s="160"/>
      <c r="CK111" s="155"/>
      <c r="CL111" s="160"/>
      <c r="CM111" s="161"/>
      <c r="CN111" s="160"/>
      <c r="CO111" s="160"/>
      <c r="CP111" s="160"/>
      <c r="CQ111" s="160"/>
      <c r="CR111" s="160"/>
      <c r="CS111" s="160"/>
      <c r="CT111" s="160"/>
    </row>
    <row r="112" spans="1:98">
      <c r="B112">
        <v>2.1</v>
      </c>
      <c r="C112" s="36" t="s">
        <v>1163</v>
      </c>
      <c r="CJ112" s="160"/>
      <c r="CK112" s="155"/>
      <c r="CL112" s="160"/>
      <c r="CM112" s="161"/>
      <c r="CN112" s="160"/>
      <c r="CO112" s="160"/>
      <c r="CP112" s="160"/>
      <c r="CQ112" s="160"/>
      <c r="CR112" s="160"/>
      <c r="CS112" s="160"/>
      <c r="CT112" s="160"/>
    </row>
    <row r="113" spans="2:98">
      <c r="B113">
        <v>2.2000000000000002</v>
      </c>
      <c r="C113" s="36" t="s">
        <v>1164</v>
      </c>
      <c r="CJ113" s="160"/>
      <c r="CK113" s="155"/>
      <c r="CL113" s="160"/>
      <c r="CM113" s="161"/>
      <c r="CN113" s="160"/>
      <c r="CO113" s="160"/>
      <c r="CP113" s="160"/>
      <c r="CQ113" s="160"/>
      <c r="CR113" s="160"/>
      <c r="CS113" s="160"/>
      <c r="CT113" s="160"/>
    </row>
    <row r="114" spans="2:98">
      <c r="B114">
        <v>2.2999999999999998</v>
      </c>
      <c r="C114" s="36" t="s">
        <v>1165</v>
      </c>
      <c r="CJ114" s="160"/>
      <c r="CK114" s="155"/>
      <c r="CL114" s="160"/>
      <c r="CM114" s="161"/>
      <c r="CN114" s="160"/>
      <c r="CO114" s="160"/>
      <c r="CP114" s="160"/>
      <c r="CQ114" s="160"/>
      <c r="CR114" s="160"/>
      <c r="CS114" s="160"/>
      <c r="CT114" s="160"/>
    </row>
    <row r="115" spans="2:98">
      <c r="B115">
        <v>2.4</v>
      </c>
      <c r="C115" s="36" t="s">
        <v>1166</v>
      </c>
      <c r="CJ115" s="160"/>
      <c r="CK115" s="155"/>
      <c r="CL115" s="160"/>
      <c r="CM115" s="161"/>
      <c r="CN115" s="160"/>
      <c r="CO115" s="160"/>
      <c r="CP115" s="160"/>
      <c r="CQ115" s="160"/>
      <c r="CR115" s="160"/>
      <c r="CS115" s="160"/>
      <c r="CT115" s="160"/>
    </row>
    <row r="116" spans="2:98">
      <c r="CJ116" s="160"/>
      <c r="CK116" s="155"/>
      <c r="CL116" s="160"/>
      <c r="CM116" s="161"/>
      <c r="CN116" s="160"/>
      <c r="CO116" s="160"/>
      <c r="CP116" s="160"/>
      <c r="CQ116" s="160"/>
      <c r="CR116" s="160"/>
      <c r="CS116" s="160"/>
      <c r="CT116" s="160"/>
    </row>
    <row r="117" spans="2:98">
      <c r="B117">
        <v>3.1</v>
      </c>
      <c r="C117" s="36" t="s">
        <v>1167</v>
      </c>
      <c r="CJ117" s="160"/>
      <c r="CK117" s="155"/>
      <c r="CL117" s="160"/>
      <c r="CM117" s="161"/>
      <c r="CN117" s="160"/>
      <c r="CO117" s="160"/>
      <c r="CP117" s="160"/>
      <c r="CQ117" s="160"/>
      <c r="CR117" s="160"/>
      <c r="CS117" s="160"/>
      <c r="CT117" s="160"/>
    </row>
    <row r="118" spans="2:98">
      <c r="B118">
        <v>3.2</v>
      </c>
      <c r="C118" s="36" t="s">
        <v>1168</v>
      </c>
      <c r="CJ118" s="160"/>
      <c r="CK118" s="155"/>
      <c r="CL118" s="160"/>
      <c r="CM118" s="161"/>
      <c r="CN118" s="160"/>
      <c r="CO118" s="160"/>
      <c r="CP118" s="160"/>
      <c r="CQ118" s="160"/>
      <c r="CR118" s="160"/>
      <c r="CS118" s="160"/>
      <c r="CT118" s="160"/>
    </row>
    <row r="119" spans="2:98">
      <c r="B119">
        <v>3.3</v>
      </c>
      <c r="C119" s="36" t="s">
        <v>1169</v>
      </c>
      <c r="CJ119" s="160"/>
      <c r="CK119" s="155"/>
      <c r="CL119" s="160"/>
      <c r="CM119" s="161"/>
      <c r="CN119" s="160"/>
      <c r="CO119" s="160"/>
      <c r="CP119" s="160"/>
      <c r="CQ119" s="160"/>
      <c r="CR119" s="160"/>
      <c r="CS119" s="160"/>
      <c r="CT119" s="160"/>
    </row>
    <row r="120" spans="2:98">
      <c r="CJ120" s="160"/>
      <c r="CK120" s="155"/>
      <c r="CL120" s="160"/>
      <c r="CM120" s="161"/>
      <c r="CN120" s="160"/>
      <c r="CO120" s="160"/>
      <c r="CP120" s="160"/>
      <c r="CQ120" s="160"/>
      <c r="CR120" s="160"/>
      <c r="CS120" s="160"/>
      <c r="CT120" s="160"/>
    </row>
    <row r="121" spans="2:98">
      <c r="B121" s="203">
        <v>5</v>
      </c>
      <c r="C121" s="36" t="s">
        <v>1170</v>
      </c>
      <c r="CJ121" s="160"/>
      <c r="CK121" s="155"/>
      <c r="CL121" s="160"/>
      <c r="CM121" s="161"/>
      <c r="CN121" s="160"/>
      <c r="CO121" s="160"/>
      <c r="CP121" s="160"/>
      <c r="CQ121" s="160"/>
      <c r="CR121" s="160"/>
      <c r="CS121" s="160"/>
      <c r="CT121" s="160"/>
    </row>
    <row r="122" spans="2:98">
      <c r="CJ122" s="160"/>
      <c r="CK122" s="155"/>
      <c r="CL122" s="160"/>
      <c r="CM122" s="161"/>
      <c r="CN122" s="160"/>
      <c r="CO122" s="160"/>
      <c r="CP122" s="160"/>
      <c r="CQ122" s="160"/>
      <c r="CR122" s="160"/>
      <c r="CS122" s="160"/>
      <c r="CT122" s="160"/>
    </row>
    <row r="123" spans="2:98">
      <c r="CJ123" s="160"/>
      <c r="CK123" s="155"/>
      <c r="CL123" s="160"/>
      <c r="CM123" s="161"/>
      <c r="CN123" s="160"/>
      <c r="CO123" s="160"/>
      <c r="CP123" s="160"/>
      <c r="CQ123" s="160"/>
      <c r="CR123" s="160"/>
      <c r="CS123" s="160"/>
      <c r="CT123" s="160"/>
    </row>
    <row r="124" spans="2:98">
      <c r="CJ124" s="160"/>
      <c r="CK124" s="155"/>
      <c r="CL124" s="160"/>
      <c r="CM124" s="161"/>
      <c r="CN124" s="160"/>
      <c r="CO124" s="160"/>
      <c r="CP124" s="160"/>
      <c r="CQ124" s="160"/>
      <c r="CR124" s="160"/>
      <c r="CS124" s="160"/>
      <c r="CT124" s="160"/>
    </row>
    <row r="125" spans="2:98">
      <c r="CJ125" s="160"/>
      <c r="CK125" s="155"/>
      <c r="CL125" s="160"/>
      <c r="CM125" s="161"/>
      <c r="CN125" s="160"/>
      <c r="CO125" s="160"/>
      <c r="CP125" s="160"/>
      <c r="CQ125" s="160"/>
      <c r="CR125" s="160"/>
      <c r="CS125" s="160"/>
      <c r="CT125" s="160"/>
    </row>
    <row r="126" spans="2:98">
      <c r="CJ126" s="160"/>
      <c r="CK126" s="155"/>
      <c r="CL126" s="160"/>
      <c r="CM126" s="161"/>
      <c r="CN126" s="160"/>
      <c r="CO126" s="160"/>
      <c r="CP126" s="160"/>
      <c r="CQ126" s="160"/>
      <c r="CR126" s="160"/>
      <c r="CS126" s="160"/>
      <c r="CT126" s="160"/>
    </row>
    <row r="127" spans="2:98">
      <c r="CJ127" s="160"/>
      <c r="CK127" s="155"/>
      <c r="CL127" s="160"/>
      <c r="CM127" s="161"/>
      <c r="CN127" s="160"/>
      <c r="CO127" s="160"/>
      <c r="CP127" s="160"/>
      <c r="CQ127" s="160"/>
      <c r="CR127" s="160"/>
      <c r="CS127" s="160"/>
      <c r="CT127" s="160"/>
    </row>
    <row r="128" spans="2:98">
      <c r="CJ128" s="160"/>
      <c r="CK128" s="155"/>
      <c r="CL128" s="160"/>
      <c r="CM128" s="161"/>
      <c r="CN128" s="160"/>
      <c r="CO128" s="160"/>
      <c r="CP128" s="160"/>
      <c r="CQ128" s="160"/>
      <c r="CR128" s="160"/>
      <c r="CS128" s="160"/>
      <c r="CT128" s="160"/>
    </row>
    <row r="129" spans="88:98">
      <c r="CJ129" s="160"/>
      <c r="CK129" s="155"/>
      <c r="CL129" s="160"/>
      <c r="CM129" s="161"/>
      <c r="CN129" s="160"/>
      <c r="CO129" s="160"/>
      <c r="CP129" s="160"/>
      <c r="CQ129" s="160"/>
      <c r="CR129" s="160"/>
      <c r="CS129" s="160"/>
      <c r="CT129" s="160"/>
    </row>
    <row r="130" spans="88:98">
      <c r="CJ130" s="160"/>
      <c r="CK130" s="155"/>
      <c r="CL130" s="160"/>
      <c r="CM130" s="161"/>
      <c r="CN130" s="160"/>
      <c r="CO130" s="160"/>
      <c r="CP130" s="160"/>
      <c r="CQ130" s="160"/>
      <c r="CR130" s="160"/>
      <c r="CS130" s="160"/>
      <c r="CT130" s="160"/>
    </row>
    <row r="131" spans="88:98">
      <c r="CJ131" s="160"/>
      <c r="CK131" s="155"/>
      <c r="CL131" s="160"/>
      <c r="CM131" s="161"/>
      <c r="CN131" s="160"/>
      <c r="CO131" s="160"/>
      <c r="CP131" s="160"/>
      <c r="CQ131" s="160"/>
      <c r="CR131" s="160"/>
      <c r="CS131" s="160"/>
      <c r="CT131" s="160"/>
    </row>
    <row r="132" spans="88:98">
      <c r="CJ132" s="160"/>
      <c r="CK132" s="155"/>
      <c r="CL132" s="160"/>
      <c r="CM132" s="161"/>
      <c r="CN132" s="160"/>
      <c r="CO132" s="160"/>
      <c r="CP132" s="160"/>
      <c r="CQ132" s="160"/>
      <c r="CR132" s="160"/>
      <c r="CS132" s="160"/>
      <c r="CT132" s="160"/>
    </row>
    <row r="133" spans="88:98">
      <c r="CJ133" s="160"/>
      <c r="CK133" s="155"/>
      <c r="CL133" s="160"/>
      <c r="CM133" s="161"/>
      <c r="CN133" s="160"/>
      <c r="CO133" s="160"/>
      <c r="CP133" s="160"/>
      <c r="CQ133" s="160"/>
      <c r="CR133" s="160"/>
      <c r="CS133" s="160"/>
      <c r="CT133" s="160"/>
    </row>
    <row r="134" spans="88:98">
      <c r="CJ134" s="160"/>
      <c r="CK134" s="155"/>
      <c r="CL134" s="160"/>
      <c r="CM134" s="161"/>
      <c r="CN134" s="160"/>
      <c r="CO134" s="160"/>
      <c r="CP134" s="160"/>
      <c r="CQ134" s="160"/>
      <c r="CR134" s="160"/>
      <c r="CS134" s="160"/>
      <c r="CT134" s="160"/>
    </row>
    <row r="135" spans="88:98">
      <c r="CJ135" s="160"/>
      <c r="CK135" s="155"/>
      <c r="CL135" s="160"/>
      <c r="CM135" s="161"/>
      <c r="CN135" s="160"/>
      <c r="CO135" s="160"/>
      <c r="CP135" s="160"/>
      <c r="CQ135" s="160"/>
      <c r="CR135" s="160"/>
      <c r="CS135" s="160"/>
      <c r="CT135" s="160"/>
    </row>
    <row r="136" spans="88:98">
      <c r="CJ136" s="160"/>
      <c r="CK136" s="155"/>
      <c r="CL136" s="160"/>
      <c r="CM136" s="161"/>
      <c r="CN136" s="160"/>
      <c r="CO136" s="160"/>
      <c r="CP136" s="160"/>
      <c r="CQ136" s="160"/>
      <c r="CR136" s="160"/>
      <c r="CS136" s="160"/>
      <c r="CT136" s="160"/>
    </row>
    <row r="137" spans="88:98">
      <c r="CJ137" s="161"/>
      <c r="CK137" s="156"/>
      <c r="CL137" s="161"/>
      <c r="CM137" s="161"/>
      <c r="CN137" s="161"/>
      <c r="CO137" s="161"/>
      <c r="CP137" s="161"/>
      <c r="CQ137" s="161"/>
      <c r="CR137" s="161"/>
      <c r="CS137" s="161"/>
      <c r="CT137" s="161"/>
    </row>
    <row r="138" spans="88:98">
      <c r="CJ138" s="161"/>
      <c r="CK138" s="156"/>
      <c r="CL138" s="161"/>
      <c r="CM138" s="161"/>
      <c r="CN138" s="161"/>
      <c r="CO138" s="161"/>
      <c r="CP138" s="161"/>
      <c r="CQ138" s="161"/>
      <c r="CR138" s="161"/>
      <c r="CS138" s="161"/>
      <c r="CT138" s="161"/>
    </row>
    <row r="139" spans="88:98">
      <c r="CJ139" s="161"/>
      <c r="CK139" s="156"/>
      <c r="CL139" s="161"/>
      <c r="CM139" s="161"/>
      <c r="CN139" s="161"/>
      <c r="CO139" s="161"/>
      <c r="CP139" s="161"/>
      <c r="CQ139" s="161"/>
      <c r="CR139" s="161"/>
      <c r="CS139" s="161"/>
      <c r="CT139" s="161"/>
    </row>
  </sheetData>
  <sheetProtection sheet="1" objects="1" scenarios="1"/>
  <dataConsolidate/>
  <mergeCells count="137">
    <mergeCell ref="CS1:CS3"/>
    <mergeCell ref="CT1:CT3"/>
    <mergeCell ref="CM1:CM3"/>
    <mergeCell ref="CN1:CN3"/>
    <mergeCell ref="CO1:CO3"/>
    <mergeCell ref="CP1:CP3"/>
    <mergeCell ref="CQ1:CQ3"/>
    <mergeCell ref="CR1:CR3"/>
    <mergeCell ref="D104:E104"/>
    <mergeCell ref="D81:E81"/>
    <mergeCell ref="D82:E82"/>
    <mergeCell ref="D83:E83"/>
    <mergeCell ref="D84:E84"/>
    <mergeCell ref="D85:E85"/>
    <mergeCell ref="D74:E74"/>
    <mergeCell ref="D75:E75"/>
    <mergeCell ref="D76:E76"/>
    <mergeCell ref="D77:E77"/>
    <mergeCell ref="D78:E78"/>
    <mergeCell ref="D79:E79"/>
    <mergeCell ref="D68:E68"/>
    <mergeCell ref="D69:E69"/>
    <mergeCell ref="D70:E70"/>
    <mergeCell ref="D71:E71"/>
    <mergeCell ref="D105:E105"/>
    <mergeCell ref="D106:E106"/>
    <mergeCell ref="CJ1:CJ3"/>
    <mergeCell ref="CL1:CL3"/>
    <mergeCell ref="D98:E98"/>
    <mergeCell ref="D99:E99"/>
    <mergeCell ref="D100:E100"/>
    <mergeCell ref="D101:E101"/>
    <mergeCell ref="D102:E102"/>
    <mergeCell ref="D103:E103"/>
    <mergeCell ref="D92:E92"/>
    <mergeCell ref="D93:E93"/>
    <mergeCell ref="D94:E94"/>
    <mergeCell ref="B95:E95"/>
    <mergeCell ref="D96:E96"/>
    <mergeCell ref="D97:E97"/>
    <mergeCell ref="D86:E86"/>
    <mergeCell ref="D87:E87"/>
    <mergeCell ref="D88:E88"/>
    <mergeCell ref="D89:E89"/>
    <mergeCell ref="D90:E90"/>
    <mergeCell ref="B91:E91"/>
    <mergeCell ref="D80:E80"/>
    <mergeCell ref="D72:E72"/>
    <mergeCell ref="D73:E73"/>
    <mergeCell ref="D62:E62"/>
    <mergeCell ref="D63:E63"/>
    <mergeCell ref="D64:E64"/>
    <mergeCell ref="D65:E65"/>
    <mergeCell ref="D66:E66"/>
    <mergeCell ref="D67:E67"/>
    <mergeCell ref="D56:E56"/>
    <mergeCell ref="D57:E57"/>
    <mergeCell ref="D58:E58"/>
    <mergeCell ref="D59:E59"/>
    <mergeCell ref="D60:E60"/>
    <mergeCell ref="D61:E61"/>
    <mergeCell ref="D50:E50"/>
    <mergeCell ref="D51:E51"/>
    <mergeCell ref="D52:E52"/>
    <mergeCell ref="D53:E53"/>
    <mergeCell ref="D54:E54"/>
    <mergeCell ref="D55:E55"/>
    <mergeCell ref="D44:E44"/>
    <mergeCell ref="D45:E45"/>
    <mergeCell ref="D46:E46"/>
    <mergeCell ref="D47:E47"/>
    <mergeCell ref="D48:E48"/>
    <mergeCell ref="D49:E49"/>
    <mergeCell ref="D38:E38"/>
    <mergeCell ref="D39:E39"/>
    <mergeCell ref="D40:E40"/>
    <mergeCell ref="D41:E41"/>
    <mergeCell ref="D42:E42"/>
    <mergeCell ref="D43:E43"/>
    <mergeCell ref="D32:E32"/>
    <mergeCell ref="D33:E33"/>
    <mergeCell ref="D34:E34"/>
    <mergeCell ref="D35:E35"/>
    <mergeCell ref="D36:E36"/>
    <mergeCell ref="D37:E37"/>
    <mergeCell ref="D28:E28"/>
    <mergeCell ref="D29:E29"/>
    <mergeCell ref="D30:E30"/>
    <mergeCell ref="D31:E31"/>
    <mergeCell ref="D20:E20"/>
    <mergeCell ref="D21:E21"/>
    <mergeCell ref="D22:E22"/>
    <mergeCell ref="D23:E23"/>
    <mergeCell ref="D24:E24"/>
    <mergeCell ref="D25:E25"/>
    <mergeCell ref="D19:E19"/>
    <mergeCell ref="D8:E8"/>
    <mergeCell ref="D9:E9"/>
    <mergeCell ref="D10:E10"/>
    <mergeCell ref="D11:E11"/>
    <mergeCell ref="D12:E12"/>
    <mergeCell ref="D13:E13"/>
    <mergeCell ref="D26:E26"/>
    <mergeCell ref="D27:E27"/>
    <mergeCell ref="B1:C1"/>
    <mergeCell ref="F1:G3"/>
    <mergeCell ref="H1:I3"/>
    <mergeCell ref="J1:K3"/>
    <mergeCell ref="D14:E14"/>
    <mergeCell ref="D15:E15"/>
    <mergeCell ref="D16:E16"/>
    <mergeCell ref="D17:E17"/>
    <mergeCell ref="D18:E18"/>
    <mergeCell ref="D107:E107"/>
    <mergeCell ref="CK1:CK3"/>
    <mergeCell ref="L1:M3"/>
    <mergeCell ref="N1:O3"/>
    <mergeCell ref="AV3:AW3"/>
    <mergeCell ref="B4:E4"/>
    <mergeCell ref="B5:C5"/>
    <mergeCell ref="D5:E5"/>
    <mergeCell ref="D6:E6"/>
    <mergeCell ref="D7:E7"/>
    <mergeCell ref="AB1:AC3"/>
    <mergeCell ref="AD1:AE3"/>
    <mergeCell ref="AF1:AG3"/>
    <mergeCell ref="AH1:AI3"/>
    <mergeCell ref="AJ1:AK3"/>
    <mergeCell ref="B2:C2"/>
    <mergeCell ref="B3:C3"/>
    <mergeCell ref="D3:E3"/>
    <mergeCell ref="P1:Q3"/>
    <mergeCell ref="R1:S3"/>
    <mergeCell ref="T1:U3"/>
    <mergeCell ref="V1:W3"/>
    <mergeCell ref="X1:Y3"/>
    <mergeCell ref="Z1:AA3"/>
  </mergeCells>
  <dataValidations count="4">
    <dataValidation allowBlank="1" showErrorMessage="1" sqref="E1" xr:uid="{00000000-0002-0000-0F00-000000000000}"/>
    <dataValidation type="textLength" allowBlank="1" showInputMessage="1" showErrorMessage="1" prompt="Please select your country in worksheet &quot;Intro&quot; (for all pollutant sheets)" sqref="D1" xr:uid="{00000000-0002-0000-0F00-000001000000}">
      <formula1>2</formula1>
      <formula2>2</formula2>
    </dataValidation>
    <dataValidation type="custom" allowBlank="1" showInputMessage="1" showErrorMessage="1" errorTitle="Wrong data input" error="Data entry is limited to positive values or zero._x000d__x000a_: symbol can be used for not available data." sqref="F5:F95 F101:F104 F106:F107 BH5:BH95 BH101:BH104 BH106:BH107 BF5:BF95 BF101:BF104 BF106:BF107 BD5:BD95 BD101:BD104 BD106:BD107 BB5:BB95 BB101:BB104 BB106:BB107 AZ5:AZ95 AZ101:AZ104 AZ106:AZ107 AX5:AX95 AX101:AX104 AX106:AX107 AV5:AV95 AV101:AV104 AV106:AV107 AT5:AT95 AT101:AT104 AT106:AT107 AR5:AR95 AR101:AR104 AR106:AR107 AP5:AP95 AP101:AP104 AP106:AP107 AN5:AN95 AN101:AN104 AN106:AN107 AL5:AL95 AL101:AL104 AL106:AL107 AJ5:AJ95 AJ101:AJ104 AJ106:AJ107 AH5:AH95 AH101:AH104 AH106:AH107 AF5:AF95 AF101:AF104 AF106:AF107 AD5:AD95 AD101:AD104 AD106:AD107 AB5:AB95 AB101:AB104 AB106:AB107 Z5:Z95 Z101:Z104 Z106:Z107 X5:X95 X101:X104 X106:X107 V5:V95 V101:V104 V106:V107 T5:T95 T101:T104 T106:T107 R5:R95 R101:R104 R106:R107 P5:P95 P101:P104 P106:P107 N5:N95 N101:N104 N106:N107 L5:L95 L101:L104 L106:L107 J5:J95 J101:J104 J106:J107 H5:H95 H101:H104 H106:H107" xr:uid="{3C68FF39-A321-48DB-8196-1301B3FA0F13}">
      <formula1>OR(AND(ISNUMBER(F5),F5&gt;=0),F5=":")</formula1>
    </dataValidation>
    <dataValidation type="custom" allowBlank="1" showInputMessage="1" showErrorMessage="1" errorTitle="Wrong data input" error="Data entry is limited to numbers._x000d__x000a_: symbol can be used for not available data." sqref="BH105 BH96:BH100 BF105 BF96:BF100 BD105 BD96:BD100 BB105 BB96:BB100 AZ105 AZ96:AZ100 AX105 AX96:AX100 AV105 AV96:AV100 AT105 AT96:AT100 AR105 AR96:AR100 AP105 AP96:AP100 AN105 AN96:AN100 AL105 AL96:AL100 AJ105 AJ96:AJ100 AH105 AH96:AH100 AF105 AF96:AF100 AD105 AD96:AD100 AB105 AB96:AB100 Z105 Z96:Z100 X105 X96:X100 V105 V96:V100 T105 T96:T100 R105 R96:R100 P105 P96:P100 N105 N96:N100 L105 L96:L100 J105 J96:J100 H105 H96:H100 F105 F96:F100" xr:uid="{86A2F9E9-30DB-49CB-8E45-A371AB125421}">
      <formula1>OR(ISNUMBER(F96),F96=":")</formula1>
    </dataValidation>
  </dataValidations>
  <printOptions headings="1" gridLines="1"/>
  <pageMargins left="0.2" right="0.39370078740157499" top="0.17" bottom="0.47" header="0" footer="0"/>
  <pageSetup paperSize="9" scale="60" fitToHeight="3" pageOrder="overThenDown" orientation="portrait" r:id="rId1"/>
  <headerFooter alignWithMargins="0">
    <oddFooter>&amp;L&amp;A&amp;C&amp;P&amp;R&amp;F</oddFooter>
  </headerFooter>
  <rowBreaks count="1" manualBreakCount="1">
    <brk id="94" min="1" max="22" man="1"/>
  </rowBreaks>
  <drawing r:id="rId2"/>
  <legacyDrawing r:id="rId3"/>
  <mc:AlternateContent xmlns:mc="http://schemas.openxmlformats.org/markup-compatibility/2006">
    <mc:Choice Requires="x14">
      <controls>
        <mc:AlternateContent xmlns:mc="http://schemas.openxmlformats.org/markup-compatibility/2006">
          <mc:Choice Requires="x14">
            <control shapeId="820225" r:id="rId4" name="Button 1">
              <controlPr defaultSize="0" print="0" autoFill="0" autoPict="0" macro="[0]!CheckThisSheet">
                <anchor moveWithCells="1" sizeWithCells="1">
                  <from>
                    <xdr:col>4</xdr:col>
                    <xdr:colOff>3105150</xdr:colOff>
                    <xdr:row>1</xdr:row>
                    <xdr:rowOff>76200</xdr:rowOff>
                  </from>
                  <to>
                    <xdr:col>4</xdr:col>
                    <xdr:colOff>3810000</xdr:colOff>
                    <xdr:row>2</xdr:row>
                    <xdr:rowOff>304800</xdr:rowOff>
                  </to>
                </anchor>
              </controlPr>
            </control>
          </mc:Choice>
        </mc:AlternateContent>
        <mc:AlternateContent xmlns:mc="http://schemas.openxmlformats.org/markup-compatibility/2006">
          <mc:Choice Requires="x14">
            <control shapeId="820226" r:id="rId5" name="Button 2">
              <controlPr defaultSize="0" print="0" autoFill="0" autoPict="0" macro="[0]!Interface.SetPinkColor">
                <anchor moveWithCells="1" sizeWithCells="1">
                  <from>
                    <xdr:col>4</xdr:col>
                    <xdr:colOff>2914650</xdr:colOff>
                    <xdr:row>3</xdr:row>
                    <xdr:rowOff>76200</xdr:rowOff>
                  </from>
                  <to>
                    <xdr:col>4</xdr:col>
                    <xdr:colOff>3162300</xdr:colOff>
                    <xdr:row>3</xdr:row>
                    <xdr:rowOff>323850</xdr:rowOff>
                  </to>
                </anchor>
              </controlPr>
            </control>
          </mc:Choice>
        </mc:AlternateContent>
        <mc:AlternateContent xmlns:mc="http://schemas.openxmlformats.org/markup-compatibility/2006">
          <mc:Choice Requires="x14">
            <control shapeId="820227" r:id="rId6" name="Button 3">
              <controlPr defaultSize="0" print="0" autoFill="0" autoPict="0" macro="[0]!Interface.SetGreyColor">
                <anchor moveWithCells="1" sizeWithCells="1">
                  <from>
                    <xdr:col>4</xdr:col>
                    <xdr:colOff>3257550</xdr:colOff>
                    <xdr:row>3</xdr:row>
                    <xdr:rowOff>76200</xdr:rowOff>
                  </from>
                  <to>
                    <xdr:col>4</xdr:col>
                    <xdr:colOff>3505200</xdr:colOff>
                    <xdr:row>3</xdr:row>
                    <xdr:rowOff>323850</xdr:rowOff>
                  </to>
                </anchor>
              </controlPr>
            </control>
          </mc:Choice>
        </mc:AlternateContent>
        <mc:AlternateContent xmlns:mc="http://schemas.openxmlformats.org/markup-compatibility/2006">
          <mc:Choice Requires="x14">
            <control shapeId="820228" r:id="rId7" name="Button 4">
              <controlPr defaultSize="0" print="0" autoFill="0" autoPict="0" macro="[0]!Interface.SetBlankColor">
                <anchor moveWithCells="1" sizeWithCells="1">
                  <from>
                    <xdr:col>4</xdr:col>
                    <xdr:colOff>3600450</xdr:colOff>
                    <xdr:row>3</xdr:row>
                    <xdr:rowOff>66675</xdr:rowOff>
                  </from>
                  <to>
                    <xdr:col>4</xdr:col>
                    <xdr:colOff>3838575</xdr:colOff>
                    <xdr:row>3</xdr:row>
                    <xdr:rowOff>323850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ODEL5">
    <tabColor indexed="42"/>
  </sheetPr>
  <dimension ref="A1:CT144"/>
  <sheetViews>
    <sheetView showGridLines="0" showOutlineSymbols="0" zoomScale="80" zoomScaleNormal="80" zoomScaleSheetLayoutView="100" workbookViewId="0">
      <pane xSplit="5" ySplit="4" topLeftCell="AE5" activePane="bottomRight" state="frozen"/>
      <selection pane="topRight" activeCell="AN63" sqref="AN63"/>
      <selection pane="bottomLeft" activeCell="AN63" sqref="AN63"/>
      <selection pane="bottomRight" activeCell="BC13" sqref="BC13"/>
    </sheetView>
  </sheetViews>
  <sheetFormatPr defaultColWidth="9.28515625" defaultRowHeight="12.75" outlineLevelCol="1"/>
  <cols>
    <col min="1" max="1" width="11.7109375" hidden="1" customWidth="1" outlineLevel="1" collapsed="1"/>
    <col min="2" max="2" width="10.28515625" customWidth="1" collapsed="1"/>
    <col min="3" max="3" width="2.7109375" customWidth="1"/>
    <col min="4" max="4" width="10" customWidth="1"/>
    <col min="5" max="5" width="56.7109375" customWidth="1"/>
    <col min="6" max="6" width="15.28515625" customWidth="1"/>
    <col min="7" max="7" width="2.28515625" customWidth="1"/>
    <col min="8" max="8" width="14.7109375" customWidth="1"/>
    <col min="9" max="9" width="2.28515625" customWidth="1"/>
    <col min="10" max="10" width="14.7109375" customWidth="1"/>
    <col min="11" max="11" width="2.28515625" customWidth="1"/>
    <col min="12" max="12" width="14.7109375" customWidth="1"/>
    <col min="13" max="13" width="2.28515625" customWidth="1"/>
    <col min="14" max="14" width="14.7109375" customWidth="1"/>
    <col min="15" max="15" width="2.28515625" customWidth="1"/>
    <col min="16" max="16" width="14.7109375" customWidth="1"/>
    <col min="17" max="17" width="2.28515625" customWidth="1"/>
    <col min="18" max="18" width="14.7109375" customWidth="1"/>
    <col min="19" max="19" width="2.28515625" customWidth="1"/>
    <col min="20" max="20" width="14.7109375" customWidth="1"/>
    <col min="21" max="21" width="2.28515625" customWidth="1"/>
    <col min="22" max="22" width="14.7109375" customWidth="1"/>
    <col min="23" max="23" width="2.28515625" customWidth="1"/>
    <col min="24" max="24" width="14.7109375" customWidth="1"/>
    <col min="25" max="25" width="2.28515625" customWidth="1"/>
    <col min="26" max="26" width="14.7109375" customWidth="1"/>
    <col min="27" max="27" width="2.28515625" customWidth="1"/>
    <col min="28" max="28" width="14.7109375" customWidth="1"/>
    <col min="29" max="29" width="2.28515625" customWidth="1"/>
    <col min="30" max="30" width="14.7109375" customWidth="1"/>
    <col min="31" max="31" width="2.28515625" customWidth="1"/>
    <col min="32" max="32" width="14.7109375" customWidth="1"/>
    <col min="33" max="33" width="2.28515625" customWidth="1"/>
    <col min="34" max="34" width="14.7109375" customWidth="1"/>
    <col min="35" max="35" width="2.28515625" customWidth="1"/>
    <col min="36" max="36" width="14.7109375" customWidth="1"/>
    <col min="37" max="37" width="2.28515625" customWidth="1"/>
    <col min="38" max="38" width="14.7109375" customWidth="1"/>
    <col min="39" max="39" width="2.28515625" customWidth="1"/>
    <col min="40" max="40" width="14.7109375" customWidth="1"/>
    <col min="41" max="41" width="2.28515625" customWidth="1"/>
    <col min="42" max="42" width="14.7109375" customWidth="1"/>
    <col min="43" max="43" width="2.28515625" customWidth="1"/>
    <col min="44" max="44" width="14.7109375" customWidth="1"/>
    <col min="45" max="45" width="2.28515625" customWidth="1"/>
    <col min="46" max="46" width="14.7109375" customWidth="1"/>
    <col min="47" max="47" width="2.28515625" customWidth="1"/>
    <col min="48" max="48" width="14.7109375" customWidth="1"/>
    <col min="49" max="49" width="2.28515625" customWidth="1"/>
    <col min="50" max="50" width="14.7109375" customWidth="1"/>
    <col min="51" max="51" width="2.28515625" customWidth="1"/>
    <col min="52" max="52" width="14.7109375" customWidth="1"/>
    <col min="53" max="53" width="2.28515625" customWidth="1"/>
    <col min="54" max="54" width="14.7109375" customWidth="1"/>
    <col min="55" max="55" width="2.28515625" customWidth="1"/>
    <col min="56" max="56" width="14.7109375" customWidth="1"/>
    <col min="57" max="57" width="2.28515625" customWidth="1"/>
    <col min="58" max="58" width="14.7109375" customWidth="1"/>
    <col min="59" max="59" width="2.28515625" customWidth="1"/>
    <col min="60" max="60" width="14.7109375" customWidth="1"/>
    <col min="61" max="61" width="2.28515625" customWidth="1"/>
    <col min="89" max="89" width="4.7109375" customWidth="1"/>
    <col min="92" max="92" width="13.140625" bestFit="1" customWidth="1"/>
  </cols>
  <sheetData>
    <row r="1" spans="1:98" ht="30" customHeight="1" thickBot="1">
      <c r="A1" t="s">
        <v>562</v>
      </c>
      <c r="B1" s="528" t="s">
        <v>563</v>
      </c>
      <c r="C1" s="529"/>
      <c r="D1" s="204" t="str">
        <f>intro!F7</f>
        <v>NO</v>
      </c>
      <c r="E1" s="15"/>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1"/>
      <c r="AI1" s="521"/>
      <c r="AJ1" s="521"/>
      <c r="AK1" s="521"/>
      <c r="CJ1" s="554" t="s">
        <v>214</v>
      </c>
      <c r="CK1" s="554" t="s">
        <v>218</v>
      </c>
      <c r="CL1" s="554" t="s">
        <v>222</v>
      </c>
      <c r="CM1" s="554" t="s">
        <v>225</v>
      </c>
      <c r="CN1" s="554" t="s">
        <v>1126</v>
      </c>
      <c r="CO1" s="554" t="s">
        <v>234</v>
      </c>
      <c r="CP1" s="554" t="s">
        <v>236</v>
      </c>
      <c r="CQ1" s="554" t="s">
        <v>238</v>
      </c>
      <c r="CR1" s="554" t="s">
        <v>259</v>
      </c>
      <c r="CS1" s="554" t="s">
        <v>240</v>
      </c>
      <c r="CT1" s="554" t="s">
        <v>242</v>
      </c>
    </row>
    <row r="2" spans="1:98" ht="30" customHeight="1" thickBot="1">
      <c r="B2" s="522" t="s">
        <v>564</v>
      </c>
      <c r="C2" s="523"/>
      <c r="D2" s="7" t="s">
        <v>60</v>
      </c>
      <c r="E2" s="297" t="s">
        <v>663</v>
      </c>
      <c r="F2" s="521"/>
      <c r="G2" s="521"/>
      <c r="H2" s="521"/>
      <c r="I2" s="521"/>
      <c r="J2" s="521"/>
      <c r="K2" s="521"/>
      <c r="L2" s="521"/>
      <c r="M2" s="521"/>
      <c r="N2" s="521"/>
      <c r="O2" s="521"/>
      <c r="P2" s="521"/>
      <c r="Q2" s="521"/>
      <c r="R2" s="521"/>
      <c r="S2" s="521"/>
      <c r="T2" s="521"/>
      <c r="U2" s="521"/>
      <c r="V2" s="521"/>
      <c r="W2" s="521"/>
      <c r="X2" s="521"/>
      <c r="Y2" s="521"/>
      <c r="Z2" s="521"/>
      <c r="AA2" s="521"/>
      <c r="AB2" s="521"/>
      <c r="AC2" s="521"/>
      <c r="AD2" s="521"/>
      <c r="AE2" s="521"/>
      <c r="AF2" s="521"/>
      <c r="AG2" s="521"/>
      <c r="AH2" s="521"/>
      <c r="AI2" s="521"/>
      <c r="AJ2" s="521"/>
      <c r="AK2" s="521"/>
      <c r="CJ2" s="554"/>
      <c r="CK2" s="554"/>
      <c r="CL2" s="554"/>
      <c r="CM2" s="554"/>
      <c r="CN2" s="554"/>
      <c r="CO2" s="554"/>
      <c r="CP2" s="554"/>
      <c r="CQ2" s="554"/>
      <c r="CR2" s="554"/>
      <c r="CS2" s="554"/>
      <c r="CT2" s="554"/>
    </row>
    <row r="3" spans="1:98" ht="30" customHeight="1" thickBot="1">
      <c r="A3" s="21" t="s">
        <v>662</v>
      </c>
      <c r="B3" s="524" t="s">
        <v>567</v>
      </c>
      <c r="C3" s="525" t="s">
        <v>568</v>
      </c>
      <c r="D3" s="526" t="s">
        <v>1175</v>
      </c>
      <c r="E3" s="527"/>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1"/>
      <c r="AI3" s="521"/>
      <c r="AJ3" s="521"/>
      <c r="AK3" s="521"/>
      <c r="AV3" s="511"/>
      <c r="AW3" s="511"/>
      <c r="CJ3" s="554"/>
      <c r="CK3" s="554"/>
      <c r="CL3" s="554"/>
      <c r="CM3" s="554"/>
      <c r="CN3" s="554"/>
      <c r="CO3" s="554"/>
      <c r="CP3" s="554"/>
      <c r="CQ3" s="554"/>
      <c r="CR3" s="554"/>
      <c r="CS3" s="554"/>
      <c r="CT3" s="554"/>
    </row>
    <row r="4" spans="1:98" ht="30" customHeight="1" thickBot="1">
      <c r="A4" s="22"/>
      <c r="B4" s="512" t="s">
        <v>570</v>
      </c>
      <c r="C4" s="513"/>
      <c r="D4" s="513"/>
      <c r="E4" s="514"/>
      <c r="F4" s="68">
        <v>1995</v>
      </c>
      <c r="G4" s="298"/>
      <c r="H4" s="1">
        <v>1996</v>
      </c>
      <c r="I4" s="298"/>
      <c r="J4" s="1">
        <v>1997</v>
      </c>
      <c r="K4" s="298"/>
      <c r="L4" s="1">
        <v>1998</v>
      </c>
      <c r="M4" s="298"/>
      <c r="N4" s="1">
        <v>1999</v>
      </c>
      <c r="O4" s="298"/>
      <c r="P4" s="1">
        <v>2000</v>
      </c>
      <c r="Q4" s="298"/>
      <c r="R4" s="1">
        <v>2001</v>
      </c>
      <c r="S4" s="298"/>
      <c r="T4" s="1">
        <v>2002</v>
      </c>
      <c r="U4" s="298"/>
      <c r="V4" s="1">
        <v>2003</v>
      </c>
      <c r="W4" s="298"/>
      <c r="X4" s="1">
        <v>2004</v>
      </c>
      <c r="Y4" s="298"/>
      <c r="Z4" s="1">
        <v>2005</v>
      </c>
      <c r="AA4" s="298"/>
      <c r="AB4" s="1">
        <v>2006</v>
      </c>
      <c r="AC4" s="298"/>
      <c r="AD4" s="1">
        <v>2007</v>
      </c>
      <c r="AE4" s="298"/>
      <c r="AF4" s="1">
        <v>2008</v>
      </c>
      <c r="AG4" s="298"/>
      <c r="AH4" s="1">
        <v>2009</v>
      </c>
      <c r="AI4" s="298"/>
      <c r="AJ4" s="1">
        <v>2010</v>
      </c>
      <c r="AK4" s="298"/>
      <c r="AL4" s="1">
        <v>2011</v>
      </c>
      <c r="AM4" s="298"/>
      <c r="AN4" s="1">
        <v>2012</v>
      </c>
      <c r="AO4" s="298"/>
      <c r="AP4" s="1">
        <v>2013</v>
      </c>
      <c r="AQ4" s="298"/>
      <c r="AR4" s="1">
        <v>2014</v>
      </c>
      <c r="AS4" s="298"/>
      <c r="AT4" s="1">
        <v>2015</v>
      </c>
      <c r="AU4" s="298"/>
      <c r="AV4" s="1">
        <v>2016</v>
      </c>
      <c r="AW4" s="299"/>
      <c r="AX4" s="1">
        <v>2017</v>
      </c>
      <c r="AY4" s="299"/>
      <c r="AZ4" s="1">
        <v>2018</v>
      </c>
      <c r="BA4" s="299"/>
      <c r="BB4" s="148">
        <v>2019</v>
      </c>
      <c r="BC4" s="300"/>
      <c r="BD4" s="180">
        <v>2020</v>
      </c>
      <c r="BE4" s="300"/>
      <c r="BF4" s="180">
        <v>2021</v>
      </c>
      <c r="BG4" s="299"/>
      <c r="BH4" s="67">
        <v>2022</v>
      </c>
      <c r="BI4" s="301"/>
      <c r="CJ4" s="149"/>
      <c r="CK4" s="149"/>
      <c r="CL4" s="149"/>
      <c r="CM4" s="149"/>
      <c r="CN4" s="149"/>
      <c r="CO4" s="149"/>
      <c r="CP4" s="149"/>
      <c r="CQ4" s="149"/>
      <c r="CR4" s="149"/>
      <c r="CS4" s="149"/>
      <c r="CT4" s="149"/>
    </row>
    <row r="5" spans="1:98" s="9" customFormat="1" ht="20.100000000000001" customHeight="1">
      <c r="A5" s="23"/>
      <c r="B5" s="515" t="str">
        <f>Parameters!Q4</f>
        <v>A_U   01-99</v>
      </c>
      <c r="C5" s="516"/>
      <c r="D5" s="517" t="str">
        <f>Parameters!S4</f>
        <v>Total industries</v>
      </c>
      <c r="E5" s="518"/>
      <c r="F5" s="220"/>
      <c r="G5" s="181"/>
      <c r="H5" s="221"/>
      <c r="I5" s="181"/>
      <c r="J5" s="221"/>
      <c r="K5" s="181"/>
      <c r="L5" s="221"/>
      <c r="M5" s="181"/>
      <c r="N5" s="221"/>
      <c r="O5" s="181"/>
      <c r="P5" s="221"/>
      <c r="Q5" s="181"/>
      <c r="R5" s="221"/>
      <c r="S5" s="181"/>
      <c r="T5" s="221"/>
      <c r="U5" s="181"/>
      <c r="V5" s="221"/>
      <c r="W5" s="181"/>
      <c r="X5" s="221"/>
      <c r="Y5" s="181"/>
      <c r="Z5" s="221"/>
      <c r="AA5" s="181"/>
      <c r="AB5" s="221"/>
      <c r="AC5" s="181"/>
      <c r="AD5" s="221"/>
      <c r="AE5" s="181"/>
      <c r="AF5" s="163">
        <v>542798.58257039997</v>
      </c>
      <c r="AG5" s="181"/>
      <c r="AH5" s="163">
        <v>608223.7795681</v>
      </c>
      <c r="AI5" s="181"/>
      <c r="AJ5" s="163">
        <v>662711.03873849998</v>
      </c>
      <c r="AK5" s="181"/>
      <c r="AL5" s="163">
        <v>705668.44753470004</v>
      </c>
      <c r="AM5" s="181"/>
      <c r="AN5" s="163">
        <v>745387.25892279996</v>
      </c>
      <c r="AO5" s="181"/>
      <c r="AP5" s="163">
        <v>826687.05818020005</v>
      </c>
      <c r="AQ5" s="181"/>
      <c r="AR5" s="163">
        <v>779290.17007180001</v>
      </c>
      <c r="AS5" s="181"/>
      <c r="AT5" s="163">
        <v>657228.43793280004</v>
      </c>
      <c r="AU5" s="181"/>
      <c r="AV5" s="163">
        <v>697474.61288310005</v>
      </c>
      <c r="AW5" s="181"/>
      <c r="AX5" s="163">
        <v>728532.80631719995</v>
      </c>
      <c r="AY5" s="181"/>
      <c r="AZ5" s="163">
        <v>706310.90230840002</v>
      </c>
      <c r="BA5" s="181"/>
      <c r="BB5" s="163">
        <v>648431.90490980004</v>
      </c>
      <c r="BC5" s="181"/>
      <c r="BD5" s="163">
        <v>541314.47116650001</v>
      </c>
      <c r="BE5" s="181"/>
      <c r="BF5" s="163">
        <v>455574.84081889997</v>
      </c>
      <c r="BG5" s="181"/>
      <c r="BH5" s="221"/>
      <c r="BI5" s="183"/>
      <c r="CJ5" s="150" t="s">
        <v>271</v>
      </c>
      <c r="CK5" s="150" t="s">
        <v>219</v>
      </c>
      <c r="CL5" s="150" t="s">
        <v>1128</v>
      </c>
      <c r="CM5" s="150" t="s">
        <v>1129</v>
      </c>
      <c r="CN5" s="150" t="s">
        <v>1130</v>
      </c>
      <c r="CO5" s="150" t="s">
        <v>60</v>
      </c>
      <c r="CP5" s="150" t="s">
        <v>1131</v>
      </c>
      <c r="CQ5" s="162" t="s">
        <v>662</v>
      </c>
      <c r="CR5" s="162">
        <v>0</v>
      </c>
      <c r="CS5" s="150" t="s">
        <v>1133</v>
      </c>
      <c r="CT5" s="150" t="s">
        <v>1134</v>
      </c>
    </row>
    <row r="6" spans="1:98" s="9" customFormat="1" ht="20.100000000000001" customHeight="1">
      <c r="A6" s="24"/>
      <c r="B6" s="83" t="str">
        <f>Parameters!Q5</f>
        <v>A</v>
      </c>
      <c r="C6" s="305"/>
      <c r="D6" s="519" t="str">
        <f>Parameters!S5</f>
        <v>Agriculture, forestry and fishing</v>
      </c>
      <c r="E6" s="520"/>
      <c r="F6" s="222"/>
      <c r="G6" s="379"/>
      <c r="H6" s="223"/>
      <c r="I6" s="379"/>
      <c r="J6" s="223"/>
      <c r="K6" s="379"/>
      <c r="L6" s="223"/>
      <c r="M6" s="379"/>
      <c r="N6" s="223"/>
      <c r="O6" s="379"/>
      <c r="P6" s="223"/>
      <c r="Q6" s="379"/>
      <c r="R6" s="223"/>
      <c r="S6" s="379"/>
      <c r="T6" s="223"/>
      <c r="U6" s="379"/>
      <c r="V6" s="223"/>
      <c r="W6" s="379"/>
      <c r="X6" s="223"/>
      <c r="Y6" s="379"/>
      <c r="Z6" s="223"/>
      <c r="AA6" s="379"/>
      <c r="AB6" s="223"/>
      <c r="AC6" s="379"/>
      <c r="AD6" s="223"/>
      <c r="AE6" s="379"/>
      <c r="AF6" s="164">
        <v>33380.2132012</v>
      </c>
      <c r="AG6" s="379"/>
      <c r="AH6" s="164">
        <v>33779.2413782</v>
      </c>
      <c r="AI6" s="379"/>
      <c r="AJ6" s="164">
        <v>35390.892162999997</v>
      </c>
      <c r="AK6" s="379"/>
      <c r="AL6" s="164">
        <v>35806.4408912</v>
      </c>
      <c r="AM6" s="379"/>
      <c r="AN6" s="164">
        <v>34830.466779800001</v>
      </c>
      <c r="AO6" s="379"/>
      <c r="AP6" s="164">
        <v>34480.273876799998</v>
      </c>
      <c r="AQ6" s="379"/>
      <c r="AR6" s="164">
        <v>31526.089019200001</v>
      </c>
      <c r="AS6" s="379"/>
      <c r="AT6" s="164">
        <v>27268.258052199999</v>
      </c>
      <c r="AU6" s="379"/>
      <c r="AV6" s="164">
        <v>22342.7230776</v>
      </c>
      <c r="AW6" s="379"/>
      <c r="AX6" s="164">
        <v>17362.280709999999</v>
      </c>
      <c r="AY6" s="379"/>
      <c r="AZ6" s="164">
        <v>11827.774090000001</v>
      </c>
      <c r="BA6" s="379"/>
      <c r="BB6" s="164">
        <v>8956.5849732000006</v>
      </c>
      <c r="BC6" s="379"/>
      <c r="BD6" s="164">
        <v>8060.7277188999997</v>
      </c>
      <c r="BE6" s="379"/>
      <c r="BF6" s="164">
        <v>6651.5414879</v>
      </c>
      <c r="BG6" s="379"/>
      <c r="BH6" s="223"/>
      <c r="BI6" s="184"/>
      <c r="CJ6" s="150"/>
      <c r="CK6" s="150"/>
      <c r="CL6" s="150"/>
      <c r="CM6" s="151" t="s">
        <v>206</v>
      </c>
      <c r="CN6" s="150" t="s">
        <v>1130</v>
      </c>
      <c r="CO6" s="150"/>
      <c r="CP6" s="150"/>
      <c r="CQ6" s="150"/>
      <c r="CR6" s="150"/>
      <c r="CS6" s="150"/>
      <c r="CT6" s="150"/>
    </row>
    <row r="7" spans="1:98" s="10" customFormat="1" ht="12.75" customHeight="1">
      <c r="A7" s="307"/>
      <c r="B7" s="308" t="str">
        <f>Parameters!Q6</f>
        <v>A01</v>
      </c>
      <c r="C7" s="309"/>
      <c r="D7" s="495" t="str">
        <f>Parameters!S6</f>
        <v>Crop and animal production, hunting and related service activities</v>
      </c>
      <c r="E7" s="510"/>
      <c r="F7" s="224"/>
      <c r="G7" s="379"/>
      <c r="H7" s="225"/>
      <c r="I7" s="379"/>
      <c r="J7" s="225"/>
      <c r="K7" s="379"/>
      <c r="L7" s="225"/>
      <c r="M7" s="379"/>
      <c r="N7" s="225"/>
      <c r="O7" s="379"/>
      <c r="P7" s="225"/>
      <c r="Q7" s="379"/>
      <c r="R7" s="225"/>
      <c r="S7" s="379"/>
      <c r="T7" s="225"/>
      <c r="U7" s="379"/>
      <c r="V7" s="225"/>
      <c r="W7" s="379"/>
      <c r="X7" s="225"/>
      <c r="Y7" s="379"/>
      <c r="Z7" s="225"/>
      <c r="AA7" s="379"/>
      <c r="AB7" s="225"/>
      <c r="AC7" s="379"/>
      <c r="AD7" s="225"/>
      <c r="AE7" s="379"/>
      <c r="AF7" s="165">
        <v>3436.2827928000002</v>
      </c>
      <c r="AG7" s="379"/>
      <c r="AH7" s="165">
        <v>3602.9866321</v>
      </c>
      <c r="AI7" s="379"/>
      <c r="AJ7" s="165">
        <v>3888.5253557999999</v>
      </c>
      <c r="AK7" s="379"/>
      <c r="AL7" s="165">
        <v>4136.4317327999997</v>
      </c>
      <c r="AM7" s="379"/>
      <c r="AN7" s="165">
        <v>4375.8075650000001</v>
      </c>
      <c r="AO7" s="379"/>
      <c r="AP7" s="165">
        <v>4602.6043992000004</v>
      </c>
      <c r="AQ7" s="379"/>
      <c r="AR7" s="165">
        <v>4731.5999972999998</v>
      </c>
      <c r="AS7" s="379"/>
      <c r="AT7" s="165">
        <v>4791.6753605000004</v>
      </c>
      <c r="AU7" s="379"/>
      <c r="AV7" s="165">
        <v>4795.6923769000005</v>
      </c>
      <c r="AW7" s="379"/>
      <c r="AX7" s="165">
        <v>4604.57881</v>
      </c>
      <c r="AY7" s="379"/>
      <c r="AZ7" s="165">
        <v>4381.4139800000003</v>
      </c>
      <c r="BA7" s="379"/>
      <c r="BB7" s="165">
        <v>4246.2796023000001</v>
      </c>
      <c r="BC7" s="379"/>
      <c r="BD7" s="165">
        <v>3836.6907762999999</v>
      </c>
      <c r="BE7" s="379"/>
      <c r="BF7" s="165">
        <v>3184.7737311999999</v>
      </c>
      <c r="BG7" s="379"/>
      <c r="BH7" s="225"/>
      <c r="BI7" s="184"/>
      <c r="CJ7" s="150"/>
      <c r="CK7" s="150"/>
      <c r="CL7" s="150"/>
      <c r="CM7" s="151" t="s">
        <v>650</v>
      </c>
      <c r="CN7" s="150" t="s">
        <v>1130</v>
      </c>
      <c r="CO7" s="150"/>
      <c r="CP7" s="150"/>
      <c r="CQ7" s="150"/>
      <c r="CR7" s="150"/>
      <c r="CS7" s="150"/>
      <c r="CT7" s="150"/>
    </row>
    <row r="8" spans="1:98" s="11" customFormat="1" ht="12.75" customHeight="1">
      <c r="A8" s="307"/>
      <c r="B8" s="308" t="str">
        <f>Parameters!Q7</f>
        <v>A02</v>
      </c>
      <c r="C8" s="309"/>
      <c r="D8" s="495" t="str">
        <f>Parameters!S7</f>
        <v>Forestry and logging</v>
      </c>
      <c r="E8" s="530"/>
      <c r="F8" s="224"/>
      <c r="G8" s="379"/>
      <c r="H8" s="225"/>
      <c r="I8" s="379"/>
      <c r="J8" s="225"/>
      <c r="K8" s="379"/>
      <c r="L8" s="225"/>
      <c r="M8" s="379"/>
      <c r="N8" s="225"/>
      <c r="O8" s="379"/>
      <c r="P8" s="225"/>
      <c r="Q8" s="379"/>
      <c r="R8" s="225"/>
      <c r="S8" s="379"/>
      <c r="T8" s="225"/>
      <c r="U8" s="379"/>
      <c r="V8" s="225"/>
      <c r="W8" s="379"/>
      <c r="X8" s="225"/>
      <c r="Y8" s="379"/>
      <c r="Z8" s="225"/>
      <c r="AA8" s="379"/>
      <c r="AB8" s="225"/>
      <c r="AC8" s="379"/>
      <c r="AD8" s="225"/>
      <c r="AE8" s="379"/>
      <c r="AF8" s="165">
        <v>3436.2827928000002</v>
      </c>
      <c r="AG8" s="379"/>
      <c r="AH8" s="165">
        <v>3602.9866321</v>
      </c>
      <c r="AI8" s="379"/>
      <c r="AJ8" s="165">
        <v>3888.5253557999999</v>
      </c>
      <c r="AK8" s="379"/>
      <c r="AL8" s="165">
        <v>4136.4317327999997</v>
      </c>
      <c r="AM8" s="379"/>
      <c r="AN8" s="165">
        <v>4375.8075650000001</v>
      </c>
      <c r="AO8" s="379"/>
      <c r="AP8" s="165">
        <v>4602.6043992000004</v>
      </c>
      <c r="AQ8" s="379"/>
      <c r="AR8" s="165">
        <v>4731.5999972999998</v>
      </c>
      <c r="AS8" s="379"/>
      <c r="AT8" s="165">
        <v>4791.6753605000004</v>
      </c>
      <c r="AU8" s="379"/>
      <c r="AV8" s="165">
        <v>4795.6923769000005</v>
      </c>
      <c r="AW8" s="379"/>
      <c r="AX8" s="165">
        <v>4604.57881</v>
      </c>
      <c r="AY8" s="379"/>
      <c r="AZ8" s="165">
        <v>4381.4139800000003</v>
      </c>
      <c r="BA8" s="379"/>
      <c r="BB8" s="165">
        <v>4246.2796023000001</v>
      </c>
      <c r="BC8" s="379"/>
      <c r="BD8" s="165">
        <v>3836.6907762999999</v>
      </c>
      <c r="BE8" s="379"/>
      <c r="BF8" s="165">
        <v>3184.7737311999999</v>
      </c>
      <c r="BG8" s="379"/>
      <c r="BH8" s="225"/>
      <c r="BI8" s="184"/>
      <c r="CJ8" s="150"/>
      <c r="CK8" s="150"/>
      <c r="CL8" s="150"/>
      <c r="CM8" s="151" t="s">
        <v>657</v>
      </c>
      <c r="CN8" s="150" t="s">
        <v>1130</v>
      </c>
      <c r="CO8" s="150"/>
      <c r="CP8" s="150"/>
      <c r="CQ8" s="150"/>
      <c r="CR8" s="150"/>
      <c r="CS8" s="150"/>
      <c r="CT8" s="150"/>
    </row>
    <row r="9" spans="1:98" s="11" customFormat="1" ht="12.75" customHeight="1">
      <c r="A9" s="310"/>
      <c r="B9" s="308" t="str">
        <f>Parameters!Q8</f>
        <v>A03</v>
      </c>
      <c r="C9" s="309"/>
      <c r="D9" s="495" t="str">
        <f>Parameters!S8</f>
        <v>Fishing and aquaculture</v>
      </c>
      <c r="E9" s="497"/>
      <c r="F9" s="224"/>
      <c r="G9" s="379"/>
      <c r="H9" s="225"/>
      <c r="I9" s="379"/>
      <c r="J9" s="225"/>
      <c r="K9" s="379"/>
      <c r="L9" s="225"/>
      <c r="M9" s="379"/>
      <c r="N9" s="225"/>
      <c r="O9" s="379"/>
      <c r="P9" s="225"/>
      <c r="Q9" s="379"/>
      <c r="R9" s="225"/>
      <c r="S9" s="379"/>
      <c r="T9" s="225"/>
      <c r="U9" s="379"/>
      <c r="V9" s="225"/>
      <c r="W9" s="379"/>
      <c r="X9" s="225"/>
      <c r="Y9" s="379"/>
      <c r="Z9" s="225"/>
      <c r="AA9" s="379"/>
      <c r="AB9" s="225"/>
      <c r="AC9" s="379"/>
      <c r="AD9" s="225"/>
      <c r="AE9" s="379"/>
      <c r="AF9" s="165">
        <v>26507.647615599999</v>
      </c>
      <c r="AG9" s="379"/>
      <c r="AH9" s="165">
        <v>26573.268114099999</v>
      </c>
      <c r="AI9" s="379"/>
      <c r="AJ9" s="165">
        <v>27613.8414515</v>
      </c>
      <c r="AK9" s="379"/>
      <c r="AL9" s="165">
        <v>27533.5774256</v>
      </c>
      <c r="AM9" s="379"/>
      <c r="AN9" s="165">
        <v>26078.8516499</v>
      </c>
      <c r="AO9" s="379"/>
      <c r="AP9" s="165">
        <v>25275.065078399999</v>
      </c>
      <c r="AQ9" s="379"/>
      <c r="AR9" s="165">
        <v>22062.889024600001</v>
      </c>
      <c r="AS9" s="379"/>
      <c r="AT9" s="165">
        <v>17684.907331099999</v>
      </c>
      <c r="AU9" s="379"/>
      <c r="AV9" s="165">
        <v>12751.338323800001</v>
      </c>
      <c r="AW9" s="379"/>
      <c r="AX9" s="165">
        <v>8153.12309</v>
      </c>
      <c r="AY9" s="379"/>
      <c r="AZ9" s="165">
        <v>3064.9461299999998</v>
      </c>
      <c r="BA9" s="379"/>
      <c r="BB9" s="165">
        <v>464.02576859999999</v>
      </c>
      <c r="BC9" s="379"/>
      <c r="BD9" s="165">
        <v>387.34616629999999</v>
      </c>
      <c r="BE9" s="379"/>
      <c r="BF9" s="165">
        <v>281.9940254</v>
      </c>
      <c r="BG9" s="379"/>
      <c r="BH9" s="225"/>
      <c r="BI9" s="184"/>
      <c r="CJ9" s="150"/>
      <c r="CK9" s="150"/>
      <c r="CL9" s="150"/>
      <c r="CM9" s="151" t="s">
        <v>665</v>
      </c>
      <c r="CN9" s="150" t="s">
        <v>1130</v>
      </c>
      <c r="CO9" s="150"/>
      <c r="CP9" s="150"/>
      <c r="CQ9" s="150"/>
      <c r="CR9" s="150"/>
      <c r="CS9" s="150"/>
      <c r="CT9" s="150"/>
    </row>
    <row r="10" spans="1:98" s="10" customFormat="1" ht="12.75" customHeight="1">
      <c r="A10" s="25"/>
      <c r="B10" s="87" t="str">
        <f>Parameters!Q9</f>
        <v>B</v>
      </c>
      <c r="C10" s="88"/>
      <c r="D10" s="498" t="str">
        <f>Parameters!S9</f>
        <v>Mining and quarrying</v>
      </c>
      <c r="E10" s="507"/>
      <c r="F10" s="222"/>
      <c r="G10" s="379"/>
      <c r="H10" s="223"/>
      <c r="I10" s="379"/>
      <c r="J10" s="223"/>
      <c r="K10" s="379"/>
      <c r="L10" s="223"/>
      <c r="M10" s="379"/>
      <c r="N10" s="223"/>
      <c r="O10" s="379"/>
      <c r="P10" s="223"/>
      <c r="Q10" s="379"/>
      <c r="R10" s="223"/>
      <c r="S10" s="379"/>
      <c r="T10" s="223"/>
      <c r="U10" s="379"/>
      <c r="V10" s="223"/>
      <c r="W10" s="379"/>
      <c r="X10" s="223"/>
      <c r="Y10" s="379"/>
      <c r="Z10" s="223"/>
      <c r="AA10" s="379"/>
      <c r="AB10" s="223"/>
      <c r="AC10" s="379"/>
      <c r="AD10" s="223"/>
      <c r="AE10" s="379"/>
      <c r="AF10" s="164">
        <v>13238.6545984</v>
      </c>
      <c r="AG10" s="379"/>
      <c r="AH10" s="164">
        <v>13272.5283779</v>
      </c>
      <c r="AI10" s="379"/>
      <c r="AJ10" s="164">
        <v>13793.494339499999</v>
      </c>
      <c r="AK10" s="379"/>
      <c r="AL10" s="164">
        <v>13754.685588300001</v>
      </c>
      <c r="AM10" s="379"/>
      <c r="AN10" s="164">
        <v>13028.586545599999</v>
      </c>
      <c r="AO10" s="379"/>
      <c r="AP10" s="164">
        <v>12628.7746102</v>
      </c>
      <c r="AQ10" s="379"/>
      <c r="AR10" s="164">
        <v>11024.6959231</v>
      </c>
      <c r="AS10" s="379"/>
      <c r="AT10" s="164">
        <v>8836.1601370000008</v>
      </c>
      <c r="AU10" s="379"/>
      <c r="AV10" s="164">
        <v>6370.7806981000003</v>
      </c>
      <c r="AW10" s="379"/>
      <c r="AX10" s="164">
        <v>4075.0017400000002</v>
      </c>
      <c r="AY10" s="379"/>
      <c r="AZ10" s="164">
        <v>1530.9768859999999</v>
      </c>
      <c r="BA10" s="379"/>
      <c r="BB10" s="164">
        <v>230.55537050000001</v>
      </c>
      <c r="BC10" s="379"/>
      <c r="BD10" s="164">
        <v>193.64674049999999</v>
      </c>
      <c r="BE10" s="379"/>
      <c r="BF10" s="164">
        <v>140.96482080000001</v>
      </c>
      <c r="BG10" s="379"/>
      <c r="BH10" s="223"/>
      <c r="BI10" s="184"/>
      <c r="CJ10" s="150"/>
      <c r="CK10" s="150"/>
      <c r="CL10" s="150"/>
      <c r="CM10" s="151" t="s">
        <v>267</v>
      </c>
      <c r="CN10" s="150" t="s">
        <v>1130</v>
      </c>
      <c r="CO10" s="150"/>
      <c r="CP10" s="150"/>
      <c r="CQ10" s="150"/>
      <c r="CR10" s="150"/>
      <c r="CS10" s="150"/>
      <c r="CT10" s="150"/>
    </row>
    <row r="11" spans="1:98" s="10" customFormat="1" ht="12.75" customHeight="1">
      <c r="A11" s="25"/>
      <c r="B11" s="87" t="str">
        <f>Parameters!Q10</f>
        <v>C</v>
      </c>
      <c r="C11" s="88"/>
      <c r="D11" s="498" t="str">
        <f>Parameters!S10</f>
        <v>Manufacturing</v>
      </c>
      <c r="E11" s="499"/>
      <c r="F11" s="222"/>
      <c r="G11" s="379"/>
      <c r="H11" s="223"/>
      <c r="I11" s="379"/>
      <c r="J11" s="223"/>
      <c r="K11" s="379"/>
      <c r="L11" s="223"/>
      <c r="M11" s="379"/>
      <c r="N11" s="223"/>
      <c r="O11" s="379"/>
      <c r="P11" s="223"/>
      <c r="Q11" s="379"/>
      <c r="R11" s="223"/>
      <c r="S11" s="379"/>
      <c r="T11" s="223"/>
      <c r="U11" s="379"/>
      <c r="V11" s="223"/>
      <c r="W11" s="379"/>
      <c r="X11" s="223"/>
      <c r="Y11" s="379"/>
      <c r="Z11" s="223"/>
      <c r="AA11" s="379"/>
      <c r="AB11" s="223"/>
      <c r="AC11" s="379"/>
      <c r="AD11" s="223"/>
      <c r="AE11" s="379"/>
      <c r="AF11" s="164">
        <v>93920.340260900004</v>
      </c>
      <c r="AG11" s="379"/>
      <c r="AH11" s="164">
        <v>93375.934925399997</v>
      </c>
      <c r="AI11" s="379"/>
      <c r="AJ11" s="164">
        <v>98284.228997700004</v>
      </c>
      <c r="AK11" s="379"/>
      <c r="AL11" s="164">
        <v>97649.752104700005</v>
      </c>
      <c r="AM11" s="379"/>
      <c r="AN11" s="164">
        <v>93058.345635100006</v>
      </c>
      <c r="AO11" s="379"/>
      <c r="AP11" s="164">
        <v>91315.642781600007</v>
      </c>
      <c r="AQ11" s="379"/>
      <c r="AR11" s="164">
        <v>79767.730311399995</v>
      </c>
      <c r="AS11" s="379"/>
      <c r="AT11" s="164">
        <v>66734.751767599999</v>
      </c>
      <c r="AU11" s="379"/>
      <c r="AV11" s="164">
        <v>51011.8842343</v>
      </c>
      <c r="AW11" s="379"/>
      <c r="AX11" s="164">
        <v>35720.283250799999</v>
      </c>
      <c r="AY11" s="379"/>
      <c r="AZ11" s="164">
        <v>18286.620274000001</v>
      </c>
      <c r="BA11" s="379"/>
      <c r="BB11" s="164">
        <v>10195.6909086</v>
      </c>
      <c r="BC11" s="379"/>
      <c r="BD11" s="164">
        <v>9604.0969151999998</v>
      </c>
      <c r="BE11" s="379"/>
      <c r="BF11" s="164">
        <v>7899.0137557999997</v>
      </c>
      <c r="BG11" s="379"/>
      <c r="BH11" s="223"/>
      <c r="BI11" s="184"/>
      <c r="CJ11" s="150"/>
      <c r="CK11" s="150"/>
      <c r="CL11" s="150"/>
      <c r="CM11" s="151" t="s">
        <v>273</v>
      </c>
      <c r="CN11" s="150" t="s">
        <v>1130</v>
      </c>
      <c r="CO11" s="150"/>
      <c r="CP11" s="150"/>
      <c r="CQ11" s="150"/>
      <c r="CR11" s="150"/>
      <c r="CS11" s="150"/>
      <c r="CT11" s="150"/>
    </row>
    <row r="12" spans="1:98" s="10" customFormat="1" ht="12.75" customHeight="1">
      <c r="A12" s="26"/>
      <c r="B12" s="89" t="str">
        <f>Parameters!Q11</f>
        <v>C10-C12</v>
      </c>
      <c r="C12" s="90"/>
      <c r="D12" s="504" t="str">
        <f>Parameters!S11</f>
        <v>Manufacture of food products, beverages and tobacco
products</v>
      </c>
      <c r="E12" s="505"/>
      <c r="F12" s="226"/>
      <c r="G12" s="379"/>
      <c r="H12" s="227"/>
      <c r="I12" s="379"/>
      <c r="J12" s="227"/>
      <c r="K12" s="379"/>
      <c r="L12" s="227"/>
      <c r="M12" s="379"/>
      <c r="N12" s="227"/>
      <c r="O12" s="379"/>
      <c r="P12" s="227"/>
      <c r="Q12" s="379"/>
      <c r="R12" s="227"/>
      <c r="S12" s="379"/>
      <c r="T12" s="227"/>
      <c r="U12" s="379"/>
      <c r="V12" s="227"/>
      <c r="W12" s="379"/>
      <c r="X12" s="227"/>
      <c r="Y12" s="379"/>
      <c r="Z12" s="227"/>
      <c r="AA12" s="379"/>
      <c r="AB12" s="227"/>
      <c r="AC12" s="379"/>
      <c r="AD12" s="227"/>
      <c r="AE12" s="379"/>
      <c r="AF12" s="166">
        <v>84932.609931900006</v>
      </c>
      <c r="AG12" s="379"/>
      <c r="AH12" s="166">
        <v>85156.367769599994</v>
      </c>
      <c r="AI12" s="379"/>
      <c r="AJ12" s="166">
        <v>88459.010221699995</v>
      </c>
      <c r="AK12" s="379"/>
      <c r="AL12" s="166">
        <v>88219.393338499998</v>
      </c>
      <c r="AM12" s="379"/>
      <c r="AN12" s="166">
        <v>83629.065272499996</v>
      </c>
      <c r="AO12" s="379"/>
      <c r="AP12" s="166">
        <v>81100.296893399995</v>
      </c>
      <c r="AQ12" s="379"/>
      <c r="AR12" s="166">
        <v>70944.684953200005</v>
      </c>
      <c r="AS12" s="379"/>
      <c r="AT12" s="166">
        <v>56989.6426804</v>
      </c>
      <c r="AU12" s="379"/>
      <c r="AV12" s="166">
        <v>41341.328562199997</v>
      </c>
      <c r="AW12" s="379"/>
      <c r="AX12" s="166">
        <v>26628.816584299999</v>
      </c>
      <c r="AY12" s="379"/>
      <c r="AZ12" s="166">
        <v>10359.953442</v>
      </c>
      <c r="BA12" s="379"/>
      <c r="BB12" s="244">
        <v>1997.0908810000001</v>
      </c>
      <c r="BC12" s="379" t="s">
        <v>508</v>
      </c>
      <c r="BD12" s="166">
        <v>1653.7499250999999</v>
      </c>
      <c r="BE12" s="379"/>
      <c r="BF12" s="166">
        <v>1231.3260700000001</v>
      </c>
      <c r="BG12" s="379"/>
      <c r="BH12" s="227"/>
      <c r="BI12" s="184"/>
      <c r="CJ12" s="150"/>
      <c r="CK12" s="150"/>
      <c r="CL12" s="150"/>
      <c r="CM12" s="152" t="s">
        <v>1135</v>
      </c>
      <c r="CN12" s="150" t="s">
        <v>1130</v>
      </c>
      <c r="CO12" s="150"/>
      <c r="CP12" s="150"/>
      <c r="CQ12" s="150"/>
      <c r="CR12" s="150"/>
      <c r="CS12" s="150"/>
      <c r="CT12" s="150"/>
    </row>
    <row r="13" spans="1:98" s="10" customFormat="1" ht="12.75" customHeight="1">
      <c r="A13" s="26"/>
      <c r="B13" s="89" t="str">
        <f>Parameters!Q12</f>
        <v>C13-C15</v>
      </c>
      <c r="C13" s="90"/>
      <c r="D13" s="504" t="str">
        <f>Parameters!S12</f>
        <v>Manufacture of textiles, wearing apparel and leather products</v>
      </c>
      <c r="E13" s="506"/>
      <c r="F13" s="226"/>
      <c r="G13" s="379"/>
      <c r="H13" s="227"/>
      <c r="I13" s="379"/>
      <c r="J13" s="227"/>
      <c r="K13" s="379"/>
      <c r="L13" s="227"/>
      <c r="M13" s="379"/>
      <c r="N13" s="227"/>
      <c r="O13" s="379"/>
      <c r="P13" s="227"/>
      <c r="Q13" s="379"/>
      <c r="R13" s="227"/>
      <c r="S13" s="379"/>
      <c r="T13" s="227"/>
      <c r="U13" s="379"/>
      <c r="V13" s="227"/>
      <c r="W13" s="379"/>
      <c r="X13" s="227"/>
      <c r="Y13" s="379"/>
      <c r="Z13" s="227"/>
      <c r="AA13" s="379"/>
      <c r="AB13" s="227"/>
      <c r="AC13" s="379"/>
      <c r="AD13" s="227"/>
      <c r="AE13" s="379"/>
      <c r="AF13" s="166">
        <v>22.759001699999999</v>
      </c>
      <c r="AG13" s="379"/>
      <c r="AH13" s="166">
        <v>21.162731300000001</v>
      </c>
      <c r="AI13" s="379"/>
      <c r="AJ13" s="166">
        <v>20.145129399999998</v>
      </c>
      <c r="AK13" s="379"/>
      <c r="AL13" s="166">
        <v>18.1527417</v>
      </c>
      <c r="AM13" s="379"/>
      <c r="AN13" s="166">
        <v>16.262709000000001</v>
      </c>
      <c r="AO13" s="379"/>
      <c r="AP13" s="166">
        <v>13.134953599999999</v>
      </c>
      <c r="AQ13" s="379"/>
      <c r="AR13" s="166">
        <v>10.1214864</v>
      </c>
      <c r="AS13" s="379"/>
      <c r="AT13" s="166">
        <v>9.4400502999999993</v>
      </c>
      <c r="AU13" s="379"/>
      <c r="AV13" s="166">
        <v>7.3386781000000001</v>
      </c>
      <c r="AW13" s="379"/>
      <c r="AX13" s="166">
        <v>2.3394599999999999</v>
      </c>
      <c r="AY13" s="379"/>
      <c r="AZ13" s="166">
        <v>2.237136</v>
      </c>
      <c r="BA13" s="379"/>
      <c r="BB13" s="166">
        <v>2.1862756000000001</v>
      </c>
      <c r="BC13" s="379"/>
      <c r="BD13" s="166">
        <v>3.9513399999999997E-2</v>
      </c>
      <c r="BE13" s="379"/>
      <c r="BF13" s="166">
        <v>4.8142499999999998E-2</v>
      </c>
      <c r="BG13" s="379"/>
      <c r="BH13" s="227"/>
      <c r="BI13" s="184"/>
      <c r="CJ13" s="150"/>
      <c r="CK13" s="150"/>
      <c r="CL13" s="150"/>
      <c r="CM13" s="151" t="s">
        <v>1136</v>
      </c>
      <c r="CN13" s="150" t="s">
        <v>1130</v>
      </c>
      <c r="CO13" s="150"/>
      <c r="CP13" s="150"/>
      <c r="CQ13" s="150"/>
      <c r="CR13" s="150"/>
      <c r="CS13" s="150"/>
      <c r="CT13" s="150"/>
    </row>
    <row r="14" spans="1:98" s="10" customFormat="1">
      <c r="A14" s="26"/>
      <c r="B14" s="89" t="str">
        <f>Parameters!Q13</f>
        <v>C16-C18</v>
      </c>
      <c r="C14" s="90"/>
      <c r="D14" s="504" t="str">
        <f>Parameters!S13</f>
        <v>Manufacture of wood, paper, printing and reproduction</v>
      </c>
      <c r="E14" s="506"/>
      <c r="F14" s="252"/>
      <c r="G14" s="380"/>
      <c r="H14" s="253"/>
      <c r="I14" s="380"/>
      <c r="J14" s="253"/>
      <c r="K14" s="380"/>
      <c r="L14" s="253"/>
      <c r="M14" s="380"/>
      <c r="N14" s="253"/>
      <c r="O14" s="380"/>
      <c r="P14" s="253"/>
      <c r="Q14" s="380"/>
      <c r="R14" s="253"/>
      <c r="S14" s="380"/>
      <c r="T14" s="253"/>
      <c r="U14" s="380"/>
      <c r="V14" s="253"/>
      <c r="W14" s="380"/>
      <c r="X14" s="253"/>
      <c r="Y14" s="380"/>
      <c r="Z14" s="253"/>
      <c r="AA14" s="380"/>
      <c r="AB14" s="253"/>
      <c r="AC14" s="380"/>
      <c r="AD14" s="253"/>
      <c r="AE14" s="380"/>
      <c r="AF14" s="253">
        <v>189.653434</v>
      </c>
      <c r="AG14" s="380"/>
      <c r="AH14" s="253">
        <v>176.3276936</v>
      </c>
      <c r="AI14" s="380"/>
      <c r="AJ14" s="253">
        <v>167.88079870000001</v>
      </c>
      <c r="AK14" s="380"/>
      <c r="AL14" s="253">
        <v>151.27614070000001</v>
      </c>
      <c r="AM14" s="380"/>
      <c r="AN14" s="253">
        <v>135.49602809999999</v>
      </c>
      <c r="AO14" s="380"/>
      <c r="AP14" s="253">
        <v>109.47406599999999</v>
      </c>
      <c r="AQ14" s="380"/>
      <c r="AR14" s="253">
        <v>84.345689800000002</v>
      </c>
      <c r="AS14" s="380"/>
      <c r="AT14" s="253">
        <v>78.667052799999993</v>
      </c>
      <c r="AU14" s="380"/>
      <c r="AV14" s="253">
        <v>61.152464500000001</v>
      </c>
      <c r="AW14" s="380"/>
      <c r="AX14" s="253">
        <v>19.479649999999999</v>
      </c>
      <c r="AY14" s="380"/>
      <c r="AZ14" s="253">
        <v>18.677669999999999</v>
      </c>
      <c r="BA14" s="380"/>
      <c r="BB14" s="253">
        <v>18.218932899999999</v>
      </c>
      <c r="BC14" s="380"/>
      <c r="BD14" s="253">
        <v>0.32927780000000001</v>
      </c>
      <c r="BE14" s="380"/>
      <c r="BF14" s="253">
        <v>0.40088079999999998</v>
      </c>
      <c r="BG14" s="380"/>
      <c r="BH14" s="253"/>
      <c r="BI14" s="254"/>
      <c r="CJ14" s="150"/>
      <c r="CK14" s="150"/>
      <c r="CL14" s="150"/>
      <c r="CM14" s="151"/>
      <c r="CN14" s="150"/>
      <c r="CO14" s="150"/>
      <c r="CP14" s="150"/>
      <c r="CQ14" s="150"/>
      <c r="CR14" s="150"/>
      <c r="CS14" s="150"/>
      <c r="CT14" s="150"/>
    </row>
    <row r="15" spans="1:98" s="12" customFormat="1" ht="22.5" customHeight="1">
      <c r="A15" s="310"/>
      <c r="B15" s="308" t="str">
        <f>Parameters!Q14</f>
        <v>C16</v>
      </c>
      <c r="C15" s="94"/>
      <c r="D15" s="495" t="str">
        <f>Parameters!S14</f>
        <v>Manufacture of wood and of products of wood and cork, except furniture; manufacture of articles of straw and plaiting materials</v>
      </c>
      <c r="E15" s="496"/>
      <c r="F15" s="224"/>
      <c r="G15" s="379"/>
      <c r="H15" s="225"/>
      <c r="I15" s="379"/>
      <c r="J15" s="225"/>
      <c r="K15" s="379"/>
      <c r="L15" s="225"/>
      <c r="M15" s="379"/>
      <c r="N15" s="225"/>
      <c r="O15" s="379"/>
      <c r="P15" s="225"/>
      <c r="Q15" s="379"/>
      <c r="R15" s="225"/>
      <c r="S15" s="379"/>
      <c r="T15" s="225"/>
      <c r="U15" s="379"/>
      <c r="V15" s="225"/>
      <c r="W15" s="379"/>
      <c r="X15" s="225"/>
      <c r="Y15" s="379"/>
      <c r="Z15" s="225"/>
      <c r="AA15" s="379"/>
      <c r="AB15" s="225"/>
      <c r="AC15" s="379"/>
      <c r="AD15" s="225"/>
      <c r="AE15" s="379"/>
      <c r="AF15" s="165">
        <v>37.929792800000001</v>
      </c>
      <c r="AG15" s="379"/>
      <c r="AH15" s="165">
        <v>35.266172099999999</v>
      </c>
      <c r="AI15" s="379"/>
      <c r="AJ15" s="165">
        <v>33.575785799999998</v>
      </c>
      <c r="AK15" s="379"/>
      <c r="AL15" s="165">
        <v>30.255862799999999</v>
      </c>
      <c r="AM15" s="379"/>
      <c r="AN15" s="165">
        <v>27.099464900000001</v>
      </c>
      <c r="AO15" s="379"/>
      <c r="AP15" s="165">
        <v>21.8941792</v>
      </c>
      <c r="AQ15" s="379"/>
      <c r="AR15" s="165">
        <v>16.869137299999998</v>
      </c>
      <c r="AS15" s="379"/>
      <c r="AT15" s="165">
        <v>15.733410599999999</v>
      </c>
      <c r="AU15" s="379"/>
      <c r="AV15" s="165">
        <v>12.2311269</v>
      </c>
      <c r="AW15" s="379"/>
      <c r="AX15" s="165">
        <v>3.8959299999999999</v>
      </c>
      <c r="AY15" s="379"/>
      <c r="AZ15" s="165">
        <v>3.7349000000000001</v>
      </c>
      <c r="BA15" s="379"/>
      <c r="BB15" s="165">
        <v>3.6437862999999999</v>
      </c>
      <c r="BC15" s="379"/>
      <c r="BD15" s="165">
        <v>6.58556E-2</v>
      </c>
      <c r="BE15" s="379"/>
      <c r="BF15" s="165">
        <v>8.0176200000000003E-2</v>
      </c>
      <c r="BG15" s="379"/>
      <c r="BH15" s="225"/>
      <c r="BI15" s="184"/>
      <c r="CJ15" s="150"/>
      <c r="CK15" s="150"/>
      <c r="CL15" s="150"/>
      <c r="CM15" s="151" t="s">
        <v>703</v>
      </c>
      <c r="CN15" s="150" t="s">
        <v>1130</v>
      </c>
      <c r="CO15" s="150"/>
      <c r="CP15" s="150"/>
      <c r="CQ15" s="150"/>
      <c r="CR15" s="150"/>
      <c r="CS15" s="150"/>
      <c r="CT15" s="150"/>
    </row>
    <row r="16" spans="1:98" s="11" customFormat="1" ht="12.75" customHeight="1">
      <c r="A16" s="310"/>
      <c r="B16" s="308" t="str">
        <f>Parameters!Q15</f>
        <v>C17</v>
      </c>
      <c r="C16" s="309"/>
      <c r="D16" s="495" t="str">
        <f>Parameters!S15</f>
        <v>Manufacture of paper and paper products</v>
      </c>
      <c r="E16" s="510"/>
      <c r="F16" s="224"/>
      <c r="G16" s="379"/>
      <c r="H16" s="225"/>
      <c r="I16" s="379"/>
      <c r="J16" s="225"/>
      <c r="K16" s="379"/>
      <c r="L16" s="225"/>
      <c r="M16" s="379"/>
      <c r="N16" s="225"/>
      <c r="O16" s="379"/>
      <c r="P16" s="225"/>
      <c r="Q16" s="379"/>
      <c r="R16" s="225"/>
      <c r="S16" s="379"/>
      <c r="T16" s="225"/>
      <c r="U16" s="379"/>
      <c r="V16" s="225"/>
      <c r="W16" s="379"/>
      <c r="X16" s="225"/>
      <c r="Y16" s="379"/>
      <c r="Z16" s="225"/>
      <c r="AA16" s="379"/>
      <c r="AB16" s="225"/>
      <c r="AC16" s="379"/>
      <c r="AD16" s="225"/>
      <c r="AE16" s="379"/>
      <c r="AF16" s="165">
        <v>37.929792800000001</v>
      </c>
      <c r="AG16" s="379"/>
      <c r="AH16" s="165">
        <v>35.266172099999999</v>
      </c>
      <c r="AI16" s="379"/>
      <c r="AJ16" s="165">
        <v>33.575785799999998</v>
      </c>
      <c r="AK16" s="379"/>
      <c r="AL16" s="165">
        <v>30.255862799999999</v>
      </c>
      <c r="AM16" s="379"/>
      <c r="AN16" s="165">
        <v>27.099464900000001</v>
      </c>
      <c r="AO16" s="379"/>
      <c r="AP16" s="165">
        <v>21.8941792</v>
      </c>
      <c r="AQ16" s="379"/>
      <c r="AR16" s="165">
        <v>16.869137299999998</v>
      </c>
      <c r="AS16" s="379"/>
      <c r="AT16" s="165">
        <v>15.733410599999999</v>
      </c>
      <c r="AU16" s="379"/>
      <c r="AV16" s="165">
        <v>12.2311269</v>
      </c>
      <c r="AW16" s="379"/>
      <c r="AX16" s="165">
        <v>3.8959299999999999</v>
      </c>
      <c r="AY16" s="379"/>
      <c r="AZ16" s="165">
        <v>3.7349000000000001</v>
      </c>
      <c r="BA16" s="379"/>
      <c r="BB16" s="165">
        <v>3.6437862999999999</v>
      </c>
      <c r="BC16" s="379"/>
      <c r="BD16" s="165">
        <v>6.58556E-2</v>
      </c>
      <c r="BE16" s="379"/>
      <c r="BF16" s="165">
        <v>8.0176200000000003E-2</v>
      </c>
      <c r="BG16" s="379"/>
      <c r="BH16" s="225"/>
      <c r="BI16" s="184"/>
      <c r="CJ16" s="150"/>
      <c r="CK16" s="150"/>
      <c r="CL16" s="150"/>
      <c r="CM16" s="151" t="s">
        <v>707</v>
      </c>
      <c r="CN16" s="150" t="s">
        <v>1130</v>
      </c>
      <c r="CO16" s="150"/>
      <c r="CP16" s="150"/>
      <c r="CQ16" s="150"/>
      <c r="CR16" s="150"/>
      <c r="CS16" s="150"/>
      <c r="CT16" s="150"/>
    </row>
    <row r="17" spans="1:98" s="11" customFormat="1" ht="12.75" customHeight="1">
      <c r="A17" s="310"/>
      <c r="B17" s="308" t="str">
        <f>Parameters!Q16</f>
        <v>C18</v>
      </c>
      <c r="C17" s="309"/>
      <c r="D17" s="495" t="str">
        <f>Parameters!S16</f>
        <v>Printing and reproduction of recorded media</v>
      </c>
      <c r="E17" s="510"/>
      <c r="F17" s="224"/>
      <c r="G17" s="379"/>
      <c r="H17" s="225"/>
      <c r="I17" s="379"/>
      <c r="J17" s="225"/>
      <c r="K17" s="379"/>
      <c r="L17" s="225"/>
      <c r="M17" s="379"/>
      <c r="N17" s="225"/>
      <c r="O17" s="379"/>
      <c r="P17" s="225"/>
      <c r="Q17" s="379"/>
      <c r="R17" s="225"/>
      <c r="S17" s="379"/>
      <c r="T17" s="225"/>
      <c r="U17" s="379"/>
      <c r="V17" s="225"/>
      <c r="W17" s="379"/>
      <c r="X17" s="225"/>
      <c r="Y17" s="379"/>
      <c r="Z17" s="225"/>
      <c r="AA17" s="379"/>
      <c r="AB17" s="225"/>
      <c r="AC17" s="379"/>
      <c r="AD17" s="225"/>
      <c r="AE17" s="379"/>
      <c r="AF17" s="165">
        <v>113.7938484</v>
      </c>
      <c r="AG17" s="379"/>
      <c r="AH17" s="165">
        <v>105.7953495</v>
      </c>
      <c r="AI17" s="379"/>
      <c r="AJ17" s="165">
        <v>100.7292272</v>
      </c>
      <c r="AK17" s="379"/>
      <c r="AL17" s="165">
        <v>90.764415099999994</v>
      </c>
      <c r="AM17" s="379"/>
      <c r="AN17" s="165">
        <v>81.297098199999994</v>
      </c>
      <c r="AO17" s="379"/>
      <c r="AP17" s="165">
        <v>65.685707600000001</v>
      </c>
      <c r="AQ17" s="379"/>
      <c r="AR17" s="165">
        <v>50.6074153</v>
      </c>
      <c r="AS17" s="379"/>
      <c r="AT17" s="165">
        <v>47.200231600000002</v>
      </c>
      <c r="AU17" s="379"/>
      <c r="AV17" s="165">
        <v>36.690210700000002</v>
      </c>
      <c r="AW17" s="379"/>
      <c r="AX17" s="165">
        <v>11.68779</v>
      </c>
      <c r="AY17" s="379"/>
      <c r="AZ17" s="165">
        <v>11.20787</v>
      </c>
      <c r="BA17" s="379"/>
      <c r="BB17" s="165">
        <v>10.931360400000001</v>
      </c>
      <c r="BC17" s="379"/>
      <c r="BD17" s="165">
        <v>0.19756650000000001</v>
      </c>
      <c r="BE17" s="379"/>
      <c r="BF17" s="165">
        <v>0.2405283</v>
      </c>
      <c r="BG17" s="379"/>
      <c r="BH17" s="225"/>
      <c r="BI17" s="184"/>
      <c r="CJ17" s="150"/>
      <c r="CK17" s="150"/>
      <c r="CL17" s="150"/>
      <c r="CM17" s="151" t="s">
        <v>711</v>
      </c>
      <c r="CN17" s="150" t="s">
        <v>1130</v>
      </c>
      <c r="CO17" s="150"/>
      <c r="CP17" s="150"/>
      <c r="CQ17" s="150"/>
      <c r="CR17" s="150"/>
      <c r="CS17" s="150"/>
      <c r="CT17" s="150"/>
    </row>
    <row r="18" spans="1:98" s="12" customFormat="1" ht="12.75" customHeight="1">
      <c r="A18" s="26"/>
      <c r="B18" s="89" t="str">
        <f>Parameters!Q17</f>
        <v>C19</v>
      </c>
      <c r="C18" s="90"/>
      <c r="D18" s="504" t="str">
        <f>Parameters!S17</f>
        <v>Manufacture of coke and refined petroleum products</v>
      </c>
      <c r="E18" s="505"/>
      <c r="F18" s="226"/>
      <c r="G18" s="379"/>
      <c r="H18" s="227"/>
      <c r="I18" s="379"/>
      <c r="J18" s="227"/>
      <c r="K18" s="379"/>
      <c r="L18" s="227"/>
      <c r="M18" s="379"/>
      <c r="N18" s="227"/>
      <c r="O18" s="379"/>
      <c r="P18" s="227"/>
      <c r="Q18" s="379"/>
      <c r="R18" s="227"/>
      <c r="S18" s="379"/>
      <c r="T18" s="227"/>
      <c r="U18" s="379"/>
      <c r="V18" s="227"/>
      <c r="W18" s="379"/>
      <c r="X18" s="227"/>
      <c r="Y18" s="379"/>
      <c r="Z18" s="227"/>
      <c r="AA18" s="379"/>
      <c r="AB18" s="227"/>
      <c r="AC18" s="379"/>
      <c r="AD18" s="227"/>
      <c r="AE18" s="379"/>
      <c r="AF18" s="166">
        <v>113.7893784</v>
      </c>
      <c r="AG18" s="379" t="s">
        <v>387</v>
      </c>
      <c r="AH18" s="166">
        <v>105.7953495</v>
      </c>
      <c r="AI18" s="379" t="s">
        <v>387</v>
      </c>
      <c r="AJ18" s="166">
        <v>100.73052730000001</v>
      </c>
      <c r="AK18" s="379" t="s">
        <v>387</v>
      </c>
      <c r="AL18" s="166">
        <v>90.764415099999994</v>
      </c>
      <c r="AM18" s="379" t="s">
        <v>387</v>
      </c>
      <c r="AN18" s="166">
        <v>81.297098199999994</v>
      </c>
      <c r="AO18" s="379" t="s">
        <v>387</v>
      </c>
      <c r="AP18" s="166">
        <v>65.685707600000001</v>
      </c>
      <c r="AQ18" s="379" t="s">
        <v>387</v>
      </c>
      <c r="AR18" s="166">
        <v>50.607411900000002</v>
      </c>
      <c r="AS18" s="379" t="s">
        <v>387</v>
      </c>
      <c r="AT18" s="166">
        <v>47.200231600000002</v>
      </c>
      <c r="AU18" s="379" t="s">
        <v>387</v>
      </c>
      <c r="AV18" s="166">
        <v>36.693380699999999</v>
      </c>
      <c r="AW18" s="379" t="s">
        <v>387</v>
      </c>
      <c r="AX18" s="166">
        <v>11.68779</v>
      </c>
      <c r="AY18" s="379" t="s">
        <v>387</v>
      </c>
      <c r="AZ18" s="166">
        <v>11.20787</v>
      </c>
      <c r="BA18" s="379" t="s">
        <v>387</v>
      </c>
      <c r="BB18" s="166">
        <v>10.9313617</v>
      </c>
      <c r="BC18" s="379" t="s">
        <v>387</v>
      </c>
      <c r="BD18" s="166">
        <v>0.19756650000000001</v>
      </c>
      <c r="BE18" s="379" t="s">
        <v>387</v>
      </c>
      <c r="BF18" s="166">
        <v>0.2405283</v>
      </c>
      <c r="BG18" s="379" t="s">
        <v>387</v>
      </c>
      <c r="BH18" s="227"/>
      <c r="BI18" s="184"/>
      <c r="CJ18" s="150"/>
      <c r="CK18" s="150"/>
      <c r="CL18" s="150"/>
      <c r="CM18" s="151" t="s">
        <v>716</v>
      </c>
      <c r="CN18" s="150" t="s">
        <v>1130</v>
      </c>
      <c r="CO18" s="150"/>
      <c r="CP18" s="150"/>
      <c r="CQ18" s="150"/>
      <c r="CR18" s="150"/>
      <c r="CS18" s="150"/>
      <c r="CT18" s="150"/>
    </row>
    <row r="19" spans="1:98" s="11" customFormat="1" ht="12.75" customHeight="1">
      <c r="A19" s="26"/>
      <c r="B19" s="89" t="str">
        <f>Parameters!Q18</f>
        <v>C20</v>
      </c>
      <c r="C19" s="90"/>
      <c r="D19" s="504" t="str">
        <f>Parameters!S18</f>
        <v>Manufacture of chemicals and chemical products</v>
      </c>
      <c r="E19" s="505"/>
      <c r="F19" s="226"/>
      <c r="G19" s="379"/>
      <c r="H19" s="227"/>
      <c r="I19" s="379"/>
      <c r="J19" s="227"/>
      <c r="K19" s="379"/>
      <c r="L19" s="227"/>
      <c r="M19" s="379"/>
      <c r="N19" s="227"/>
      <c r="O19" s="379"/>
      <c r="P19" s="227"/>
      <c r="Q19" s="379"/>
      <c r="R19" s="227"/>
      <c r="S19" s="379"/>
      <c r="T19" s="227"/>
      <c r="U19" s="379"/>
      <c r="V19" s="227"/>
      <c r="W19" s="379"/>
      <c r="X19" s="227"/>
      <c r="Y19" s="379"/>
      <c r="Z19" s="227"/>
      <c r="AA19" s="379"/>
      <c r="AB19" s="227"/>
      <c r="AC19" s="379"/>
      <c r="AD19" s="227"/>
      <c r="AE19" s="379"/>
      <c r="AF19" s="166">
        <v>0</v>
      </c>
      <c r="AG19" s="379" t="s">
        <v>387</v>
      </c>
      <c r="AH19" s="166">
        <v>0</v>
      </c>
      <c r="AI19" s="379" t="s">
        <v>387</v>
      </c>
      <c r="AJ19" s="166">
        <v>0</v>
      </c>
      <c r="AK19" s="379" t="s">
        <v>387</v>
      </c>
      <c r="AL19" s="166">
        <v>0</v>
      </c>
      <c r="AM19" s="379" t="s">
        <v>387</v>
      </c>
      <c r="AN19" s="166">
        <v>0</v>
      </c>
      <c r="AO19" s="379" t="s">
        <v>387</v>
      </c>
      <c r="AP19" s="166">
        <v>0</v>
      </c>
      <c r="AQ19" s="379" t="s">
        <v>387</v>
      </c>
      <c r="AR19" s="166">
        <v>0</v>
      </c>
      <c r="AS19" s="379" t="s">
        <v>387</v>
      </c>
      <c r="AT19" s="166">
        <v>0</v>
      </c>
      <c r="AU19" s="379" t="s">
        <v>387</v>
      </c>
      <c r="AV19" s="166">
        <v>0</v>
      </c>
      <c r="AW19" s="379" t="s">
        <v>387</v>
      </c>
      <c r="AX19" s="166">
        <v>0</v>
      </c>
      <c r="AY19" s="379" t="s">
        <v>387</v>
      </c>
      <c r="AZ19" s="166">
        <v>0</v>
      </c>
      <c r="BA19" s="379" t="s">
        <v>387</v>
      </c>
      <c r="BB19" s="166">
        <v>0</v>
      </c>
      <c r="BC19" s="379" t="s">
        <v>387</v>
      </c>
      <c r="BD19" s="166">
        <v>0</v>
      </c>
      <c r="BE19" s="379" t="s">
        <v>387</v>
      </c>
      <c r="BF19" s="166">
        <v>0</v>
      </c>
      <c r="BG19" s="379" t="s">
        <v>387</v>
      </c>
      <c r="BH19" s="227"/>
      <c r="BI19" s="184"/>
      <c r="CJ19" s="150"/>
      <c r="CK19" s="150"/>
      <c r="CL19" s="150"/>
      <c r="CM19" s="151" t="s">
        <v>723</v>
      </c>
      <c r="CN19" s="150" t="s">
        <v>1130</v>
      </c>
      <c r="CO19" s="150"/>
      <c r="CP19" s="150"/>
      <c r="CQ19" s="150"/>
      <c r="CR19" s="150"/>
      <c r="CS19" s="150"/>
      <c r="CT19" s="150"/>
    </row>
    <row r="20" spans="1:98" s="11" customFormat="1" ht="12.75" customHeight="1">
      <c r="A20" s="26"/>
      <c r="B20" s="89" t="str">
        <f>Parameters!Q19</f>
        <v>C21</v>
      </c>
      <c r="C20" s="90"/>
      <c r="D20" s="504" t="str">
        <f>Parameters!S19</f>
        <v>Manufacture of basic pharmaceutical products and pharmaceutical preparations</v>
      </c>
      <c r="E20" s="505"/>
      <c r="F20" s="226"/>
      <c r="G20" s="379"/>
      <c r="H20" s="227"/>
      <c r="I20" s="379"/>
      <c r="J20" s="227"/>
      <c r="K20" s="379"/>
      <c r="L20" s="227"/>
      <c r="M20" s="379"/>
      <c r="N20" s="227"/>
      <c r="O20" s="379"/>
      <c r="P20" s="227"/>
      <c r="Q20" s="379"/>
      <c r="R20" s="227"/>
      <c r="S20" s="379"/>
      <c r="T20" s="227"/>
      <c r="U20" s="379"/>
      <c r="V20" s="227"/>
      <c r="W20" s="379"/>
      <c r="X20" s="227"/>
      <c r="Y20" s="379"/>
      <c r="Z20" s="227"/>
      <c r="AA20" s="379"/>
      <c r="AB20" s="227"/>
      <c r="AC20" s="379"/>
      <c r="AD20" s="227"/>
      <c r="AE20" s="379"/>
      <c r="AF20" s="166">
        <v>0</v>
      </c>
      <c r="AG20" s="379" t="s">
        <v>387</v>
      </c>
      <c r="AH20" s="166">
        <v>0</v>
      </c>
      <c r="AI20" s="379" t="s">
        <v>387</v>
      </c>
      <c r="AJ20" s="166">
        <v>0</v>
      </c>
      <c r="AK20" s="379" t="s">
        <v>387</v>
      </c>
      <c r="AL20" s="166">
        <v>0</v>
      </c>
      <c r="AM20" s="379" t="s">
        <v>387</v>
      </c>
      <c r="AN20" s="166">
        <v>0</v>
      </c>
      <c r="AO20" s="379" t="s">
        <v>387</v>
      </c>
      <c r="AP20" s="166">
        <v>0</v>
      </c>
      <c r="AQ20" s="379" t="s">
        <v>387</v>
      </c>
      <c r="AR20" s="166">
        <v>0</v>
      </c>
      <c r="AS20" s="379" t="s">
        <v>387</v>
      </c>
      <c r="AT20" s="166">
        <v>0</v>
      </c>
      <c r="AU20" s="379" t="s">
        <v>387</v>
      </c>
      <c r="AV20" s="166">
        <v>0</v>
      </c>
      <c r="AW20" s="379" t="s">
        <v>387</v>
      </c>
      <c r="AX20" s="166">
        <v>0</v>
      </c>
      <c r="AY20" s="379" t="s">
        <v>387</v>
      </c>
      <c r="AZ20" s="166">
        <v>0</v>
      </c>
      <c r="BA20" s="379" t="s">
        <v>387</v>
      </c>
      <c r="BB20" s="166">
        <v>0</v>
      </c>
      <c r="BC20" s="379" t="s">
        <v>387</v>
      </c>
      <c r="BD20" s="166">
        <v>0</v>
      </c>
      <c r="BE20" s="379" t="s">
        <v>387</v>
      </c>
      <c r="BF20" s="166">
        <v>0</v>
      </c>
      <c r="BG20" s="379" t="s">
        <v>387</v>
      </c>
      <c r="BH20" s="227"/>
      <c r="BI20" s="184"/>
      <c r="CJ20" s="150"/>
      <c r="CK20" s="150"/>
      <c r="CL20" s="150"/>
      <c r="CM20" s="151" t="s">
        <v>728</v>
      </c>
      <c r="CN20" s="150" t="s">
        <v>1130</v>
      </c>
      <c r="CO20" s="150"/>
      <c r="CP20" s="150"/>
      <c r="CQ20" s="150"/>
      <c r="CR20" s="150"/>
      <c r="CS20" s="150"/>
      <c r="CT20" s="150"/>
    </row>
    <row r="21" spans="1:98" s="11" customFormat="1" ht="12.75" customHeight="1">
      <c r="A21" s="26"/>
      <c r="B21" s="89" t="str">
        <f>Parameters!Q20</f>
        <v>C22_C23</v>
      </c>
      <c r="C21" s="90"/>
      <c r="D21" s="504" t="str">
        <f>Parameters!S20</f>
        <v>Manufacture of rubber and plastic products and other non-metallic mineral products</v>
      </c>
      <c r="E21" s="506"/>
      <c r="F21" s="252"/>
      <c r="G21" s="380"/>
      <c r="H21" s="253"/>
      <c r="I21" s="380"/>
      <c r="J21" s="253"/>
      <c r="K21" s="380"/>
      <c r="L21" s="253"/>
      <c r="M21" s="380"/>
      <c r="N21" s="253"/>
      <c r="O21" s="380"/>
      <c r="P21" s="253"/>
      <c r="Q21" s="380"/>
      <c r="R21" s="253"/>
      <c r="S21" s="380"/>
      <c r="T21" s="253"/>
      <c r="U21" s="380"/>
      <c r="V21" s="253"/>
      <c r="W21" s="380"/>
      <c r="X21" s="253"/>
      <c r="Y21" s="380"/>
      <c r="Z21" s="253"/>
      <c r="AA21" s="380"/>
      <c r="AB21" s="253"/>
      <c r="AC21" s="380"/>
      <c r="AD21" s="253"/>
      <c r="AE21" s="380"/>
      <c r="AF21" s="253">
        <v>503.43878560000002</v>
      </c>
      <c r="AG21" s="380"/>
      <c r="AH21" s="253">
        <v>321.27489409999998</v>
      </c>
      <c r="AI21" s="380"/>
      <c r="AJ21" s="253">
        <v>67.151571500000003</v>
      </c>
      <c r="AK21" s="380"/>
      <c r="AL21" s="253">
        <v>60.511725599999998</v>
      </c>
      <c r="AM21" s="380"/>
      <c r="AN21" s="253">
        <v>54.198929900000003</v>
      </c>
      <c r="AO21" s="380"/>
      <c r="AP21" s="253">
        <v>43.7883584</v>
      </c>
      <c r="AQ21" s="380"/>
      <c r="AR21" s="253">
        <v>33.7447746</v>
      </c>
      <c r="AS21" s="380"/>
      <c r="AT21" s="253">
        <v>31.466821100000001</v>
      </c>
      <c r="AU21" s="380"/>
      <c r="AV21" s="253">
        <v>24.462253799999999</v>
      </c>
      <c r="AW21" s="380"/>
      <c r="AX21" s="253">
        <v>7.7983599999999997</v>
      </c>
      <c r="AY21" s="380"/>
      <c r="AZ21" s="253">
        <v>7.4763000000000002</v>
      </c>
      <c r="BA21" s="380"/>
      <c r="BB21" s="253">
        <v>7.2940725999999998</v>
      </c>
      <c r="BC21" s="380"/>
      <c r="BD21" s="253">
        <v>0.13821120000000001</v>
      </c>
      <c r="BE21" s="380"/>
      <c r="BF21" s="253">
        <v>0.16703699999999999</v>
      </c>
      <c r="BG21" s="380"/>
      <c r="BH21" s="253"/>
      <c r="BI21" s="254"/>
      <c r="CJ21" s="150"/>
      <c r="CK21" s="150"/>
      <c r="CL21" s="150"/>
      <c r="CM21" s="151"/>
      <c r="CN21" s="150"/>
      <c r="CO21" s="150"/>
      <c r="CP21" s="150"/>
      <c r="CQ21" s="150"/>
      <c r="CR21" s="150"/>
      <c r="CS21" s="150"/>
      <c r="CT21" s="150"/>
    </row>
    <row r="22" spans="1:98" s="12" customFormat="1" ht="12.75" customHeight="1">
      <c r="A22" s="310"/>
      <c r="B22" s="308" t="str">
        <f>Parameters!Q21</f>
        <v>C22</v>
      </c>
      <c r="C22" s="96"/>
      <c r="D22" s="495" t="str">
        <f>Parameters!S21</f>
        <v>Manufacture of rubber and plastic products</v>
      </c>
      <c r="E22" s="496"/>
      <c r="F22" s="224"/>
      <c r="G22" s="379"/>
      <c r="H22" s="228"/>
      <c r="I22" s="379"/>
      <c r="J22" s="228"/>
      <c r="K22" s="379"/>
      <c r="L22" s="228"/>
      <c r="M22" s="379"/>
      <c r="N22" s="228"/>
      <c r="O22" s="379"/>
      <c r="P22" s="228"/>
      <c r="Q22" s="379"/>
      <c r="R22" s="228"/>
      <c r="S22" s="379"/>
      <c r="T22" s="228"/>
      <c r="U22" s="379"/>
      <c r="V22" s="228"/>
      <c r="W22" s="379"/>
      <c r="X22" s="228"/>
      <c r="Y22" s="379"/>
      <c r="Z22" s="228"/>
      <c r="AA22" s="379"/>
      <c r="AB22" s="228"/>
      <c r="AC22" s="379"/>
      <c r="AD22" s="228"/>
      <c r="AE22" s="379"/>
      <c r="AF22" s="167">
        <v>465.50899279999999</v>
      </c>
      <c r="AG22" s="379"/>
      <c r="AH22" s="167">
        <v>286.0087221</v>
      </c>
      <c r="AI22" s="379"/>
      <c r="AJ22" s="167">
        <v>33.575785799999998</v>
      </c>
      <c r="AK22" s="379"/>
      <c r="AL22" s="167">
        <v>30.255862799999999</v>
      </c>
      <c r="AM22" s="379"/>
      <c r="AN22" s="167">
        <v>27.099464900000001</v>
      </c>
      <c r="AO22" s="379"/>
      <c r="AP22" s="167">
        <v>21.8941792</v>
      </c>
      <c r="AQ22" s="379"/>
      <c r="AR22" s="167">
        <v>16.875637300000001</v>
      </c>
      <c r="AS22" s="379"/>
      <c r="AT22" s="167">
        <v>15.733410599999999</v>
      </c>
      <c r="AU22" s="379"/>
      <c r="AV22" s="165">
        <v>12.2311269</v>
      </c>
      <c r="AW22" s="379"/>
      <c r="AX22" s="165">
        <v>3.9024299999999998</v>
      </c>
      <c r="AY22" s="379"/>
      <c r="AZ22" s="165">
        <v>3.7414000000000001</v>
      </c>
      <c r="BA22" s="379"/>
      <c r="BB22" s="165">
        <v>3.6502862999999999</v>
      </c>
      <c r="BC22" s="379"/>
      <c r="BD22" s="165">
        <v>7.2355600000000006E-2</v>
      </c>
      <c r="BE22" s="379"/>
      <c r="BF22" s="165">
        <v>8.6860800000000002E-2</v>
      </c>
      <c r="BG22" s="379"/>
      <c r="BH22" s="225"/>
      <c r="BI22" s="184"/>
      <c r="CJ22" s="150"/>
      <c r="CK22" s="150"/>
      <c r="CL22" s="150"/>
      <c r="CM22" s="151" t="s">
        <v>739</v>
      </c>
      <c r="CN22" s="150" t="s">
        <v>1130</v>
      </c>
      <c r="CO22" s="150"/>
      <c r="CP22" s="150"/>
      <c r="CQ22" s="150"/>
      <c r="CR22" s="150"/>
      <c r="CS22" s="150"/>
      <c r="CT22" s="150"/>
    </row>
    <row r="23" spans="1:98" s="12" customFormat="1" ht="12.75" customHeight="1">
      <c r="A23" s="310"/>
      <c r="B23" s="308" t="str">
        <f>Parameters!Q22</f>
        <v>C23</v>
      </c>
      <c r="C23" s="96"/>
      <c r="D23" s="495" t="str">
        <f>Parameters!S22</f>
        <v>Manufacture of other non-metallic mineral products</v>
      </c>
      <c r="E23" s="510"/>
      <c r="F23" s="224"/>
      <c r="G23" s="379"/>
      <c r="H23" s="228"/>
      <c r="I23" s="379"/>
      <c r="J23" s="228"/>
      <c r="K23" s="379"/>
      <c r="L23" s="228"/>
      <c r="M23" s="379"/>
      <c r="N23" s="228"/>
      <c r="O23" s="379"/>
      <c r="P23" s="228"/>
      <c r="Q23" s="379"/>
      <c r="R23" s="228"/>
      <c r="S23" s="379"/>
      <c r="T23" s="228"/>
      <c r="U23" s="379"/>
      <c r="V23" s="228"/>
      <c r="W23" s="379"/>
      <c r="X23" s="228"/>
      <c r="Y23" s="379"/>
      <c r="Z23" s="228"/>
      <c r="AA23" s="379"/>
      <c r="AB23" s="228"/>
      <c r="AC23" s="379"/>
      <c r="AD23" s="228"/>
      <c r="AE23" s="379"/>
      <c r="AF23" s="167">
        <v>37.929792800000001</v>
      </c>
      <c r="AG23" s="379"/>
      <c r="AH23" s="167">
        <v>35.266172099999999</v>
      </c>
      <c r="AI23" s="379"/>
      <c r="AJ23" s="167">
        <v>33.575785799999998</v>
      </c>
      <c r="AK23" s="379"/>
      <c r="AL23" s="167">
        <v>30.255862799999999</v>
      </c>
      <c r="AM23" s="379"/>
      <c r="AN23" s="167">
        <v>27.099464900000001</v>
      </c>
      <c r="AO23" s="379"/>
      <c r="AP23" s="167">
        <v>21.8941792</v>
      </c>
      <c r="AQ23" s="379"/>
      <c r="AR23" s="167">
        <v>16.869137299999998</v>
      </c>
      <c r="AS23" s="379"/>
      <c r="AT23" s="167">
        <v>15.733410599999999</v>
      </c>
      <c r="AU23" s="379"/>
      <c r="AV23" s="165">
        <v>12.2311269</v>
      </c>
      <c r="AW23" s="379"/>
      <c r="AX23" s="165">
        <v>3.8959299999999999</v>
      </c>
      <c r="AY23" s="379"/>
      <c r="AZ23" s="165">
        <v>3.7349000000000001</v>
      </c>
      <c r="BA23" s="379"/>
      <c r="BB23" s="165">
        <v>3.6437862999999999</v>
      </c>
      <c r="BC23" s="379"/>
      <c r="BD23" s="165">
        <v>6.58556E-2</v>
      </c>
      <c r="BE23" s="379"/>
      <c r="BF23" s="165">
        <v>8.0176200000000003E-2</v>
      </c>
      <c r="BG23" s="379"/>
      <c r="BH23" s="225"/>
      <c r="BI23" s="184"/>
      <c r="CJ23" s="150"/>
      <c r="CK23" s="150"/>
      <c r="CL23" s="150"/>
      <c r="CM23" s="151" t="s">
        <v>743</v>
      </c>
      <c r="CN23" s="150" t="s">
        <v>1130</v>
      </c>
      <c r="CO23" s="150"/>
      <c r="CP23" s="150"/>
      <c r="CQ23" s="150"/>
      <c r="CR23" s="150"/>
      <c r="CS23" s="150"/>
      <c r="CT23" s="150"/>
    </row>
    <row r="24" spans="1:98" s="12" customFormat="1" ht="24.75" customHeight="1">
      <c r="A24" s="26"/>
      <c r="B24" s="89" t="str">
        <f>Parameters!Q23</f>
        <v>C24_C25</v>
      </c>
      <c r="C24" s="90"/>
      <c r="D24" s="504" t="str">
        <f>Parameters!S23</f>
        <v>Manufacture of basic metals and fabricated metal products, except machinery and equipment</v>
      </c>
      <c r="E24" s="506"/>
      <c r="F24" s="252"/>
      <c r="G24" s="380"/>
      <c r="H24" s="253"/>
      <c r="I24" s="380"/>
      <c r="J24" s="253"/>
      <c r="K24" s="380"/>
      <c r="L24" s="253"/>
      <c r="M24" s="380"/>
      <c r="N24" s="253"/>
      <c r="O24" s="380"/>
      <c r="P24" s="253"/>
      <c r="Q24" s="380"/>
      <c r="R24" s="253"/>
      <c r="S24" s="380"/>
      <c r="T24" s="253"/>
      <c r="U24" s="380"/>
      <c r="V24" s="253"/>
      <c r="W24" s="380"/>
      <c r="X24" s="253"/>
      <c r="Y24" s="380"/>
      <c r="Z24" s="253"/>
      <c r="AA24" s="380"/>
      <c r="AB24" s="253"/>
      <c r="AC24" s="380"/>
      <c r="AD24" s="253"/>
      <c r="AE24" s="380"/>
      <c r="AF24" s="253">
        <v>5459.3891655999996</v>
      </c>
      <c r="AG24" s="380"/>
      <c r="AH24" s="253">
        <v>5722.3670441000004</v>
      </c>
      <c r="AI24" s="380"/>
      <c r="AJ24" s="253">
        <v>6174.0087715</v>
      </c>
      <c r="AK24" s="380"/>
      <c r="AL24" s="253">
        <v>6565.3445855999998</v>
      </c>
      <c r="AM24" s="380"/>
      <c r="AN24" s="253">
        <v>6943.2511698999997</v>
      </c>
      <c r="AO24" s="380"/>
      <c r="AP24" s="253">
        <v>7300.3631984000003</v>
      </c>
      <c r="AQ24" s="380"/>
      <c r="AR24" s="253">
        <v>7502.6225346000001</v>
      </c>
      <c r="AS24" s="380"/>
      <c r="AT24" s="253">
        <v>7597.3092410999998</v>
      </c>
      <c r="AU24" s="380"/>
      <c r="AV24" s="253">
        <v>7602.2235737999999</v>
      </c>
      <c r="AW24" s="380"/>
      <c r="AX24" s="253">
        <v>7296.0011999999997</v>
      </c>
      <c r="AY24" s="380"/>
      <c r="AZ24" s="253">
        <v>6942.4152400000003</v>
      </c>
      <c r="BA24" s="380"/>
      <c r="BB24" s="253">
        <v>6728.2948974000001</v>
      </c>
      <c r="BC24" s="380"/>
      <c r="BD24" s="253">
        <v>6077.9534499000001</v>
      </c>
      <c r="BE24" s="380"/>
      <c r="BF24" s="253">
        <v>5045.2195928000001</v>
      </c>
      <c r="BG24" s="380"/>
      <c r="BH24" s="253"/>
      <c r="BI24" s="254"/>
      <c r="CJ24" s="150"/>
      <c r="CK24" s="150"/>
      <c r="CL24" s="150"/>
      <c r="CM24" s="151"/>
      <c r="CN24" s="150"/>
      <c r="CO24" s="150"/>
      <c r="CP24" s="150"/>
      <c r="CQ24" s="150"/>
      <c r="CR24" s="150"/>
      <c r="CS24" s="150"/>
      <c r="CT24" s="150"/>
    </row>
    <row r="25" spans="1:98" s="12" customFormat="1" ht="12.75" customHeight="1">
      <c r="A25" s="310"/>
      <c r="B25" s="308" t="str">
        <f>Parameters!Q24</f>
        <v>C24</v>
      </c>
      <c r="C25" s="96"/>
      <c r="D25" s="495" t="str">
        <f>Parameters!S24</f>
        <v>Manufacture of basic metals</v>
      </c>
      <c r="E25" s="496"/>
      <c r="F25" s="224"/>
      <c r="G25" s="379"/>
      <c r="H25" s="228"/>
      <c r="I25" s="379"/>
      <c r="J25" s="228"/>
      <c r="K25" s="379"/>
      <c r="L25" s="228"/>
      <c r="M25" s="379"/>
      <c r="N25" s="228"/>
      <c r="O25" s="379"/>
      <c r="P25" s="228"/>
      <c r="Q25" s="379"/>
      <c r="R25" s="228"/>
      <c r="S25" s="379"/>
      <c r="T25" s="228"/>
      <c r="U25" s="379"/>
      <c r="V25" s="228"/>
      <c r="W25" s="379"/>
      <c r="X25" s="228"/>
      <c r="Y25" s="379"/>
      <c r="Z25" s="228"/>
      <c r="AA25" s="379"/>
      <c r="AB25" s="228"/>
      <c r="AC25" s="379"/>
      <c r="AD25" s="228"/>
      <c r="AE25" s="379"/>
      <c r="AF25" s="167">
        <v>2729.6945827999998</v>
      </c>
      <c r="AG25" s="379"/>
      <c r="AH25" s="167">
        <v>2861.1835221000001</v>
      </c>
      <c r="AI25" s="379"/>
      <c r="AJ25" s="167">
        <v>3087.0043857000001</v>
      </c>
      <c r="AK25" s="379"/>
      <c r="AL25" s="167">
        <v>3282.6722927999999</v>
      </c>
      <c r="AM25" s="379"/>
      <c r="AN25" s="167">
        <v>3471.6255848999999</v>
      </c>
      <c r="AO25" s="379"/>
      <c r="AP25" s="167">
        <v>3650.1815992000002</v>
      </c>
      <c r="AQ25" s="379"/>
      <c r="AR25" s="167">
        <v>3751.3112673000001</v>
      </c>
      <c r="AS25" s="379"/>
      <c r="AT25" s="167">
        <v>3798.6546205999998</v>
      </c>
      <c r="AU25" s="379"/>
      <c r="AV25" s="165">
        <v>3801.1117869</v>
      </c>
      <c r="AW25" s="379"/>
      <c r="AX25" s="165">
        <v>3648.0005999999998</v>
      </c>
      <c r="AY25" s="379"/>
      <c r="AZ25" s="165">
        <v>3471.2076200000001</v>
      </c>
      <c r="BA25" s="379"/>
      <c r="BB25" s="165">
        <v>3364.1474487</v>
      </c>
      <c r="BC25" s="379"/>
      <c r="BD25" s="165">
        <v>3038.976725</v>
      </c>
      <c r="BE25" s="379"/>
      <c r="BF25" s="165">
        <v>2522.6097964000001</v>
      </c>
      <c r="BG25" s="379"/>
      <c r="BH25" s="225"/>
      <c r="BI25" s="184"/>
      <c r="CJ25" s="150"/>
      <c r="CK25" s="150"/>
      <c r="CL25" s="150"/>
      <c r="CM25" s="151" t="s">
        <v>749</v>
      </c>
      <c r="CN25" s="150" t="s">
        <v>1130</v>
      </c>
      <c r="CO25" s="150"/>
      <c r="CP25" s="150"/>
      <c r="CQ25" s="150"/>
      <c r="CR25" s="150"/>
      <c r="CS25" s="150"/>
      <c r="CT25" s="150"/>
    </row>
    <row r="26" spans="1:98" s="11" customFormat="1" ht="12.75" customHeight="1">
      <c r="A26" s="310"/>
      <c r="B26" s="308" t="str">
        <f>Parameters!Q25</f>
        <v>C25</v>
      </c>
      <c r="C26" s="309"/>
      <c r="D26" s="495" t="str">
        <f>Parameters!S25</f>
        <v>Manufacture of fabricated metal products, except machinery and equipment</v>
      </c>
      <c r="E26" s="510"/>
      <c r="F26" s="224"/>
      <c r="G26" s="379"/>
      <c r="H26" s="225"/>
      <c r="I26" s="379"/>
      <c r="J26" s="225"/>
      <c r="K26" s="379"/>
      <c r="L26" s="225"/>
      <c r="M26" s="379"/>
      <c r="N26" s="225"/>
      <c r="O26" s="379"/>
      <c r="P26" s="225"/>
      <c r="Q26" s="379"/>
      <c r="R26" s="225"/>
      <c r="S26" s="379"/>
      <c r="T26" s="225"/>
      <c r="U26" s="379"/>
      <c r="V26" s="225"/>
      <c r="W26" s="379"/>
      <c r="X26" s="225"/>
      <c r="Y26" s="379"/>
      <c r="Z26" s="225"/>
      <c r="AA26" s="379"/>
      <c r="AB26" s="225"/>
      <c r="AC26" s="379"/>
      <c r="AD26" s="225"/>
      <c r="AE26" s="379"/>
      <c r="AF26" s="165">
        <v>2729.6945827999998</v>
      </c>
      <c r="AG26" s="379"/>
      <c r="AH26" s="165">
        <v>2861.1835221000001</v>
      </c>
      <c r="AI26" s="379"/>
      <c r="AJ26" s="165">
        <v>3087.0043857000001</v>
      </c>
      <c r="AK26" s="379"/>
      <c r="AL26" s="165">
        <v>3282.6722927999999</v>
      </c>
      <c r="AM26" s="379"/>
      <c r="AN26" s="165">
        <v>3471.6255848999999</v>
      </c>
      <c r="AO26" s="379"/>
      <c r="AP26" s="165">
        <v>3650.1815992000002</v>
      </c>
      <c r="AQ26" s="379"/>
      <c r="AR26" s="165">
        <v>3751.3112673000001</v>
      </c>
      <c r="AS26" s="379"/>
      <c r="AT26" s="165">
        <v>3798.6546205999998</v>
      </c>
      <c r="AU26" s="379"/>
      <c r="AV26" s="165">
        <v>3801.1117869</v>
      </c>
      <c r="AW26" s="379"/>
      <c r="AX26" s="165">
        <v>3648.0005999999998</v>
      </c>
      <c r="AY26" s="379"/>
      <c r="AZ26" s="165">
        <v>3471.2076200000001</v>
      </c>
      <c r="BA26" s="379"/>
      <c r="BB26" s="165">
        <v>3364.1474487</v>
      </c>
      <c r="BC26" s="379"/>
      <c r="BD26" s="165">
        <v>3038.976725</v>
      </c>
      <c r="BE26" s="379"/>
      <c r="BF26" s="165">
        <v>2522.6097964000001</v>
      </c>
      <c r="BG26" s="379"/>
      <c r="BH26" s="225"/>
      <c r="BI26" s="184"/>
      <c r="CJ26" s="150"/>
      <c r="CK26" s="150"/>
      <c r="CL26" s="150"/>
      <c r="CM26" s="151" t="s">
        <v>753</v>
      </c>
      <c r="CN26" s="150" t="s">
        <v>1130</v>
      </c>
      <c r="CO26" s="150"/>
      <c r="CP26" s="150"/>
      <c r="CQ26" s="150"/>
      <c r="CR26" s="150"/>
      <c r="CS26" s="150"/>
      <c r="CT26" s="150"/>
    </row>
    <row r="27" spans="1:98" s="11" customFormat="1" ht="12.75" customHeight="1">
      <c r="A27" s="26"/>
      <c r="B27" s="89" t="str">
        <f>Parameters!Q26</f>
        <v>C26</v>
      </c>
      <c r="C27" s="90"/>
      <c r="D27" s="504" t="str">
        <f>Parameters!S26</f>
        <v>Manufacture of computer, electronic and optical products</v>
      </c>
      <c r="E27" s="505"/>
      <c r="F27" s="226"/>
      <c r="G27" s="379"/>
      <c r="H27" s="227"/>
      <c r="I27" s="379"/>
      <c r="J27" s="227"/>
      <c r="K27" s="379"/>
      <c r="L27" s="227"/>
      <c r="M27" s="379"/>
      <c r="N27" s="227"/>
      <c r="O27" s="379"/>
      <c r="P27" s="227"/>
      <c r="Q27" s="379"/>
      <c r="R27" s="227"/>
      <c r="S27" s="379"/>
      <c r="T27" s="227"/>
      <c r="U27" s="379"/>
      <c r="V27" s="227"/>
      <c r="W27" s="379"/>
      <c r="X27" s="227"/>
      <c r="Y27" s="379"/>
      <c r="Z27" s="227"/>
      <c r="AA27" s="379"/>
      <c r="AB27" s="227"/>
      <c r="AC27" s="379"/>
      <c r="AD27" s="227"/>
      <c r="AE27" s="379"/>
      <c r="AF27" s="166">
        <v>113.7938484</v>
      </c>
      <c r="AG27" s="379"/>
      <c r="AH27" s="166">
        <v>105.7953495</v>
      </c>
      <c r="AI27" s="379"/>
      <c r="AJ27" s="166">
        <v>448.70601119999998</v>
      </c>
      <c r="AK27" s="379"/>
      <c r="AL27" s="166">
        <v>708.44660109999995</v>
      </c>
      <c r="AM27" s="379"/>
      <c r="AN27" s="166">
        <v>724.47316420000004</v>
      </c>
      <c r="AO27" s="379"/>
      <c r="AP27" s="166">
        <v>532.32745160000002</v>
      </c>
      <c r="AQ27" s="379"/>
      <c r="AR27" s="166">
        <v>354.99114259999999</v>
      </c>
      <c r="AS27" s="379"/>
      <c r="AT27" s="166">
        <v>449.33419270000002</v>
      </c>
      <c r="AU27" s="379"/>
      <c r="AV27" s="166">
        <v>399.6552787</v>
      </c>
      <c r="AW27" s="379"/>
      <c r="AX27" s="166">
        <v>429.91100799999998</v>
      </c>
      <c r="AY27" s="379"/>
      <c r="AZ27" s="166">
        <v>377.39213000000001</v>
      </c>
      <c r="BA27" s="379"/>
      <c r="BB27" s="166">
        <v>446.72659590000001</v>
      </c>
      <c r="BC27" s="379"/>
      <c r="BD27" s="166">
        <v>755.0962796</v>
      </c>
      <c r="BE27" s="379"/>
      <c r="BF27" s="166">
        <v>488.02708130000002</v>
      </c>
      <c r="BG27" s="379"/>
      <c r="BH27" s="227"/>
      <c r="BI27" s="184"/>
      <c r="CJ27" s="150"/>
      <c r="CK27" s="150"/>
      <c r="CL27" s="150"/>
      <c r="CM27" s="151" t="s">
        <v>760</v>
      </c>
      <c r="CN27" s="150" t="s">
        <v>1130</v>
      </c>
      <c r="CO27" s="150"/>
      <c r="CP27" s="150"/>
      <c r="CQ27" s="150"/>
      <c r="CR27" s="150"/>
      <c r="CS27" s="150"/>
      <c r="CT27" s="150"/>
    </row>
    <row r="28" spans="1:98" s="12" customFormat="1" ht="12.75" customHeight="1">
      <c r="A28" s="26"/>
      <c r="B28" s="89" t="str">
        <f>Parameters!Q27</f>
        <v>C27</v>
      </c>
      <c r="C28" s="90"/>
      <c r="D28" s="504" t="str">
        <f>Parameters!S27</f>
        <v>Manufacture of electrical equipment</v>
      </c>
      <c r="E28" s="505"/>
      <c r="F28" s="226"/>
      <c r="G28" s="379"/>
      <c r="H28" s="227"/>
      <c r="I28" s="379"/>
      <c r="J28" s="227"/>
      <c r="K28" s="379"/>
      <c r="L28" s="227"/>
      <c r="M28" s="379"/>
      <c r="N28" s="227"/>
      <c r="O28" s="379"/>
      <c r="P28" s="227"/>
      <c r="Q28" s="379"/>
      <c r="R28" s="227"/>
      <c r="S28" s="379"/>
      <c r="T28" s="227"/>
      <c r="U28" s="379"/>
      <c r="V28" s="227"/>
      <c r="W28" s="379"/>
      <c r="X28" s="227"/>
      <c r="Y28" s="379"/>
      <c r="Z28" s="227"/>
      <c r="AA28" s="379"/>
      <c r="AB28" s="227"/>
      <c r="AC28" s="379"/>
      <c r="AD28" s="227"/>
      <c r="AE28" s="379"/>
      <c r="AF28" s="166">
        <v>37.929792800000001</v>
      </c>
      <c r="AG28" s="379"/>
      <c r="AH28" s="166">
        <v>35.266172099999999</v>
      </c>
      <c r="AI28" s="379"/>
      <c r="AJ28" s="166">
        <v>33.575785799999998</v>
      </c>
      <c r="AK28" s="379"/>
      <c r="AL28" s="166">
        <v>30.255862799999999</v>
      </c>
      <c r="AM28" s="379"/>
      <c r="AN28" s="166">
        <v>27.099464900000001</v>
      </c>
      <c r="AO28" s="379"/>
      <c r="AP28" s="166">
        <v>72.212579199999993</v>
      </c>
      <c r="AQ28" s="379"/>
      <c r="AR28" s="166">
        <v>147.7027373</v>
      </c>
      <c r="AS28" s="379"/>
      <c r="AT28" s="166">
        <v>237.1430106</v>
      </c>
      <c r="AU28" s="379"/>
      <c r="AV28" s="166">
        <v>324.21672690000003</v>
      </c>
      <c r="AW28" s="379"/>
      <c r="AX28" s="166">
        <v>406.45753000000002</v>
      </c>
      <c r="AY28" s="379"/>
      <c r="AZ28" s="166">
        <v>400.83890000000002</v>
      </c>
      <c r="BA28" s="379"/>
      <c r="BB28" s="166">
        <v>575.4488887</v>
      </c>
      <c r="BC28" s="379"/>
      <c r="BD28" s="166">
        <v>699.35869400000001</v>
      </c>
      <c r="BE28" s="379"/>
      <c r="BF28" s="166">
        <v>772.01166420000004</v>
      </c>
      <c r="BG28" s="379"/>
      <c r="BH28" s="227"/>
      <c r="BI28" s="184"/>
      <c r="CJ28" s="150"/>
      <c r="CK28" s="150"/>
      <c r="CL28" s="150"/>
      <c r="CM28" s="151" t="s">
        <v>763</v>
      </c>
      <c r="CN28" s="150" t="s">
        <v>1130</v>
      </c>
      <c r="CO28" s="150"/>
      <c r="CP28" s="150"/>
      <c r="CQ28" s="150"/>
      <c r="CR28" s="150"/>
      <c r="CS28" s="150"/>
      <c r="CT28" s="150"/>
    </row>
    <row r="29" spans="1:98" s="12" customFormat="1" ht="12.75" customHeight="1">
      <c r="A29" s="26"/>
      <c r="B29" s="89" t="str">
        <f>Parameters!Q28</f>
        <v>C28</v>
      </c>
      <c r="C29" s="90"/>
      <c r="D29" s="504" t="str">
        <f>Parameters!S28</f>
        <v>Manufacture of machinery and equipment n.e.c.</v>
      </c>
      <c r="E29" s="505"/>
      <c r="F29" s="226"/>
      <c r="G29" s="379"/>
      <c r="H29" s="227"/>
      <c r="I29" s="379"/>
      <c r="J29" s="227"/>
      <c r="K29" s="379"/>
      <c r="L29" s="227"/>
      <c r="M29" s="379"/>
      <c r="N29" s="227"/>
      <c r="O29" s="379"/>
      <c r="P29" s="227"/>
      <c r="Q29" s="379"/>
      <c r="R29" s="227"/>
      <c r="S29" s="379"/>
      <c r="T29" s="227"/>
      <c r="U29" s="379"/>
      <c r="V29" s="227"/>
      <c r="W29" s="379"/>
      <c r="X29" s="227"/>
      <c r="Y29" s="379"/>
      <c r="Z29" s="227"/>
      <c r="AA29" s="379"/>
      <c r="AB29" s="227"/>
      <c r="AC29" s="379"/>
      <c r="AD29" s="227"/>
      <c r="AE29" s="379"/>
      <c r="AF29" s="166">
        <v>2319.3981656999999</v>
      </c>
      <c r="AG29" s="379"/>
      <c r="AH29" s="166">
        <v>1519.9872227999999</v>
      </c>
      <c r="AI29" s="379"/>
      <c r="AJ29" s="166">
        <v>2611.5591261</v>
      </c>
      <c r="AK29" s="379"/>
      <c r="AL29" s="166">
        <v>1624.0778636</v>
      </c>
      <c r="AM29" s="379"/>
      <c r="AN29" s="166">
        <v>1284.607602</v>
      </c>
      <c r="AO29" s="379"/>
      <c r="AP29" s="166">
        <v>1946.9881582</v>
      </c>
      <c r="AQ29" s="379"/>
      <c r="AR29" s="166">
        <v>537.69475709999995</v>
      </c>
      <c r="AS29" s="379"/>
      <c r="AT29" s="166">
        <v>1200.1480237000001</v>
      </c>
      <c r="AU29" s="379"/>
      <c r="AV29" s="166">
        <v>1141.4265541</v>
      </c>
      <c r="AW29" s="379"/>
      <c r="AX29" s="166">
        <v>894.4160885</v>
      </c>
      <c r="AY29" s="379"/>
      <c r="AZ29" s="166">
        <v>144.00584599999999</v>
      </c>
      <c r="BA29" s="379"/>
      <c r="BB29" s="166">
        <v>387.6362795</v>
      </c>
      <c r="BC29" s="379"/>
      <c r="BD29" s="166">
        <v>416.8388645</v>
      </c>
      <c r="BE29" s="379"/>
      <c r="BF29" s="166">
        <v>361.09170219999999</v>
      </c>
      <c r="BG29" s="379"/>
      <c r="BH29" s="227"/>
      <c r="BI29" s="184"/>
      <c r="CJ29" s="150"/>
      <c r="CK29" s="150"/>
      <c r="CL29" s="150"/>
      <c r="CM29" s="151" t="s">
        <v>768</v>
      </c>
      <c r="CN29" s="150" t="s">
        <v>1130</v>
      </c>
      <c r="CO29" s="150"/>
      <c r="CP29" s="150"/>
      <c r="CQ29" s="150"/>
      <c r="CR29" s="150"/>
      <c r="CS29" s="150"/>
      <c r="CT29" s="150"/>
    </row>
    <row r="30" spans="1:98" s="12" customFormat="1" ht="12.75" customHeight="1">
      <c r="A30" s="26"/>
      <c r="B30" s="89" t="str">
        <f>Parameters!Q29</f>
        <v>C29_C30</v>
      </c>
      <c r="C30" s="90"/>
      <c r="D30" s="504" t="str">
        <f>Parameters!S29</f>
        <v>Manufacture of motor vehicles, trailers, semi-trailers and of other transport equipment</v>
      </c>
      <c r="E30" s="506"/>
      <c r="F30" s="252"/>
      <c r="G30" s="380"/>
      <c r="H30" s="253"/>
      <c r="I30" s="380"/>
      <c r="J30" s="253"/>
      <c r="K30" s="380"/>
      <c r="L30" s="253"/>
      <c r="M30" s="380"/>
      <c r="N30" s="253"/>
      <c r="O30" s="380"/>
      <c r="P30" s="253"/>
      <c r="Q30" s="380"/>
      <c r="R30" s="253"/>
      <c r="S30" s="380"/>
      <c r="T30" s="253"/>
      <c r="U30" s="380"/>
      <c r="V30" s="253"/>
      <c r="W30" s="380"/>
      <c r="X30" s="253"/>
      <c r="Y30" s="380"/>
      <c r="Z30" s="253"/>
      <c r="AA30" s="380"/>
      <c r="AB30" s="253"/>
      <c r="AC30" s="380"/>
      <c r="AD30" s="253"/>
      <c r="AE30" s="380"/>
      <c r="AF30" s="253">
        <v>189.64896400000001</v>
      </c>
      <c r="AG30" s="380"/>
      <c r="AH30" s="253">
        <v>176.32452699999999</v>
      </c>
      <c r="AI30" s="380"/>
      <c r="AJ30" s="253">
        <v>167.88526880000001</v>
      </c>
      <c r="AK30" s="380"/>
      <c r="AL30" s="253">
        <v>151.2729673</v>
      </c>
      <c r="AM30" s="380"/>
      <c r="AN30" s="253">
        <v>135.49473140000001</v>
      </c>
      <c r="AO30" s="380"/>
      <c r="AP30" s="253">
        <v>109.477236</v>
      </c>
      <c r="AQ30" s="380"/>
      <c r="AR30" s="253">
        <v>84.345686499999999</v>
      </c>
      <c r="AS30" s="380"/>
      <c r="AT30" s="253">
        <v>78.667052699999999</v>
      </c>
      <c r="AU30" s="380"/>
      <c r="AV30" s="253">
        <v>61.155634499999998</v>
      </c>
      <c r="AW30" s="380"/>
      <c r="AX30" s="253">
        <v>19.479649999999999</v>
      </c>
      <c r="AY30" s="380"/>
      <c r="AZ30" s="253">
        <v>18.68084</v>
      </c>
      <c r="BA30" s="380"/>
      <c r="BB30" s="253">
        <v>18.218937100000002</v>
      </c>
      <c r="BC30" s="380"/>
      <c r="BD30" s="253">
        <v>0.3292775</v>
      </c>
      <c r="BE30" s="380"/>
      <c r="BF30" s="253">
        <v>0.40088040000000003</v>
      </c>
      <c r="BG30" s="380"/>
      <c r="BH30" s="253"/>
      <c r="BI30" s="254"/>
      <c r="CJ30" s="150"/>
      <c r="CK30" s="150"/>
      <c r="CL30" s="150"/>
      <c r="CM30" s="151"/>
      <c r="CN30" s="150"/>
      <c r="CO30" s="150"/>
      <c r="CP30" s="150"/>
      <c r="CQ30" s="150"/>
      <c r="CR30" s="150"/>
      <c r="CS30" s="150"/>
      <c r="CT30" s="150"/>
    </row>
    <row r="31" spans="1:98" s="12" customFormat="1" ht="12.75" customHeight="1">
      <c r="A31" s="310"/>
      <c r="B31" s="308" t="str">
        <f>Parameters!Q30</f>
        <v>C29</v>
      </c>
      <c r="C31" s="309"/>
      <c r="D31" s="495" t="str">
        <f>Parameters!S30</f>
        <v>Manufacture of motor vehicles, trailers and semi-trailers</v>
      </c>
      <c r="E31" s="496"/>
      <c r="F31" s="224"/>
      <c r="G31" s="379"/>
      <c r="H31" s="225"/>
      <c r="I31" s="379"/>
      <c r="J31" s="225"/>
      <c r="K31" s="379"/>
      <c r="L31" s="225"/>
      <c r="M31" s="379"/>
      <c r="N31" s="225"/>
      <c r="O31" s="379"/>
      <c r="P31" s="225"/>
      <c r="Q31" s="379"/>
      <c r="R31" s="225"/>
      <c r="S31" s="379"/>
      <c r="T31" s="225"/>
      <c r="U31" s="379"/>
      <c r="V31" s="225"/>
      <c r="W31" s="379"/>
      <c r="X31" s="225"/>
      <c r="Y31" s="379"/>
      <c r="Z31" s="225"/>
      <c r="AA31" s="379"/>
      <c r="AB31" s="225"/>
      <c r="AC31" s="379"/>
      <c r="AD31" s="225"/>
      <c r="AE31" s="379"/>
      <c r="AF31" s="165">
        <v>37.929792800000001</v>
      </c>
      <c r="AG31" s="379"/>
      <c r="AH31" s="165">
        <v>35.266172099999999</v>
      </c>
      <c r="AI31" s="379"/>
      <c r="AJ31" s="165">
        <v>33.575785799999998</v>
      </c>
      <c r="AK31" s="379"/>
      <c r="AL31" s="165">
        <v>30.255862799999999</v>
      </c>
      <c r="AM31" s="379"/>
      <c r="AN31" s="165">
        <v>27.099464900000001</v>
      </c>
      <c r="AO31" s="379"/>
      <c r="AP31" s="165">
        <v>21.8941792</v>
      </c>
      <c r="AQ31" s="379"/>
      <c r="AR31" s="165">
        <v>16.869137299999998</v>
      </c>
      <c r="AS31" s="379"/>
      <c r="AT31" s="165">
        <v>15.733410599999999</v>
      </c>
      <c r="AU31" s="379"/>
      <c r="AV31" s="165">
        <v>12.2311269</v>
      </c>
      <c r="AW31" s="379"/>
      <c r="AX31" s="165">
        <v>3.8959299999999999</v>
      </c>
      <c r="AY31" s="379"/>
      <c r="AZ31" s="165">
        <v>3.7349000000000001</v>
      </c>
      <c r="BA31" s="379"/>
      <c r="BB31" s="165">
        <v>3.6437862999999999</v>
      </c>
      <c r="BC31" s="379"/>
      <c r="BD31" s="165">
        <v>6.58556E-2</v>
      </c>
      <c r="BE31" s="379"/>
      <c r="BF31" s="165">
        <v>8.0176200000000003E-2</v>
      </c>
      <c r="BG31" s="379"/>
      <c r="BH31" s="225"/>
      <c r="BI31" s="184"/>
      <c r="CJ31" s="150"/>
      <c r="CK31" s="150"/>
      <c r="CL31" s="150"/>
      <c r="CM31" s="151" t="s">
        <v>779</v>
      </c>
      <c r="CN31" s="150" t="s">
        <v>1130</v>
      </c>
      <c r="CO31" s="150"/>
      <c r="CP31" s="150"/>
      <c r="CQ31" s="150"/>
      <c r="CR31" s="150"/>
      <c r="CS31" s="150"/>
      <c r="CT31" s="150"/>
    </row>
    <row r="32" spans="1:98" s="12" customFormat="1" ht="12.75" customHeight="1">
      <c r="A32" s="310"/>
      <c r="B32" s="308" t="str">
        <f>Parameters!Q31</f>
        <v>C30</v>
      </c>
      <c r="C32" s="309"/>
      <c r="D32" s="495" t="str">
        <f>Parameters!S31</f>
        <v>Manufacture of other transport equipment</v>
      </c>
      <c r="E32" s="496"/>
      <c r="F32" s="224"/>
      <c r="G32" s="379"/>
      <c r="H32" s="225"/>
      <c r="I32" s="379"/>
      <c r="J32" s="225"/>
      <c r="K32" s="379"/>
      <c r="L32" s="225"/>
      <c r="M32" s="379"/>
      <c r="N32" s="225"/>
      <c r="O32" s="379"/>
      <c r="P32" s="225"/>
      <c r="Q32" s="379"/>
      <c r="R32" s="225"/>
      <c r="S32" s="379"/>
      <c r="T32" s="225"/>
      <c r="U32" s="379"/>
      <c r="V32" s="225"/>
      <c r="W32" s="379"/>
      <c r="X32" s="225"/>
      <c r="Y32" s="379"/>
      <c r="Z32" s="225"/>
      <c r="AA32" s="379"/>
      <c r="AB32" s="225"/>
      <c r="AC32" s="379"/>
      <c r="AD32" s="225"/>
      <c r="AE32" s="379"/>
      <c r="AF32" s="165">
        <v>151.71917120000001</v>
      </c>
      <c r="AG32" s="379"/>
      <c r="AH32" s="165">
        <v>141.05835490000001</v>
      </c>
      <c r="AI32" s="379"/>
      <c r="AJ32" s="165">
        <v>134.309483</v>
      </c>
      <c r="AK32" s="379"/>
      <c r="AL32" s="165">
        <v>121.0171045</v>
      </c>
      <c r="AM32" s="379"/>
      <c r="AN32" s="165">
        <v>108.39526650000001</v>
      </c>
      <c r="AO32" s="379"/>
      <c r="AP32" s="165">
        <v>87.583056799999994</v>
      </c>
      <c r="AQ32" s="379"/>
      <c r="AR32" s="165">
        <v>67.476549199999994</v>
      </c>
      <c r="AS32" s="379"/>
      <c r="AT32" s="165">
        <v>62.933642200000001</v>
      </c>
      <c r="AU32" s="379"/>
      <c r="AV32" s="165">
        <v>48.924507599999998</v>
      </c>
      <c r="AW32" s="379"/>
      <c r="AX32" s="165">
        <v>15.58372</v>
      </c>
      <c r="AY32" s="379"/>
      <c r="AZ32" s="165">
        <v>14.94594</v>
      </c>
      <c r="BA32" s="379"/>
      <c r="BB32" s="165">
        <v>14.575150799999999</v>
      </c>
      <c r="BC32" s="379"/>
      <c r="BD32" s="165">
        <v>0.26342179999999998</v>
      </c>
      <c r="BE32" s="379"/>
      <c r="BF32" s="165">
        <v>0.32070419999999999</v>
      </c>
      <c r="BG32" s="379"/>
      <c r="BH32" s="225"/>
      <c r="BI32" s="184"/>
      <c r="CJ32" s="150"/>
      <c r="CK32" s="150"/>
      <c r="CL32" s="150"/>
      <c r="CM32" s="151" t="s">
        <v>788</v>
      </c>
      <c r="CN32" s="150" t="s">
        <v>1130</v>
      </c>
      <c r="CO32" s="150"/>
      <c r="CP32" s="150"/>
      <c r="CQ32" s="150"/>
      <c r="CR32" s="150"/>
      <c r="CS32" s="150"/>
      <c r="CT32" s="150"/>
    </row>
    <row r="33" spans="1:98" s="12" customFormat="1" ht="25.5" customHeight="1">
      <c r="A33" s="26"/>
      <c r="B33" s="89" t="str">
        <f>Parameters!Q32</f>
        <v>C31-C33</v>
      </c>
      <c r="C33" s="90"/>
      <c r="D33" s="504" t="str">
        <f>Parameters!S32</f>
        <v>Manufacture of furniture; jewellery, musical instruments, toys; repair and installation of machinery and equipment</v>
      </c>
      <c r="E33" s="506"/>
      <c r="F33" s="252"/>
      <c r="G33" s="380"/>
      <c r="H33" s="253"/>
      <c r="I33" s="380"/>
      <c r="J33" s="253"/>
      <c r="K33" s="380"/>
      <c r="L33" s="253"/>
      <c r="M33" s="380"/>
      <c r="N33" s="253"/>
      <c r="O33" s="380"/>
      <c r="P33" s="253"/>
      <c r="Q33" s="380"/>
      <c r="R33" s="253"/>
      <c r="S33" s="380"/>
      <c r="T33" s="253"/>
      <c r="U33" s="380"/>
      <c r="V33" s="253"/>
      <c r="W33" s="380"/>
      <c r="X33" s="253"/>
      <c r="Y33" s="380"/>
      <c r="Z33" s="253"/>
      <c r="AA33" s="380"/>
      <c r="AB33" s="253"/>
      <c r="AC33" s="380"/>
      <c r="AD33" s="253"/>
      <c r="AE33" s="380"/>
      <c r="AF33" s="253">
        <v>37.929792800000001</v>
      </c>
      <c r="AG33" s="380"/>
      <c r="AH33" s="253">
        <v>35.266172099999999</v>
      </c>
      <c r="AI33" s="380"/>
      <c r="AJ33" s="253">
        <v>33.575785799999998</v>
      </c>
      <c r="AK33" s="380"/>
      <c r="AL33" s="253">
        <v>30.255862799999999</v>
      </c>
      <c r="AM33" s="380"/>
      <c r="AN33" s="253">
        <v>27.099464900000001</v>
      </c>
      <c r="AO33" s="380"/>
      <c r="AP33" s="253">
        <v>21.8941792</v>
      </c>
      <c r="AQ33" s="380"/>
      <c r="AR33" s="253">
        <v>16.869137299999998</v>
      </c>
      <c r="AS33" s="380"/>
      <c r="AT33" s="253">
        <v>15.733410599999999</v>
      </c>
      <c r="AU33" s="380"/>
      <c r="AV33" s="253">
        <v>12.2311269</v>
      </c>
      <c r="AW33" s="380"/>
      <c r="AX33" s="253">
        <v>3.8959299999999999</v>
      </c>
      <c r="AY33" s="380"/>
      <c r="AZ33" s="253">
        <v>3.7349000000000001</v>
      </c>
      <c r="BA33" s="380"/>
      <c r="BB33" s="253">
        <v>3.6437862999999999</v>
      </c>
      <c r="BC33" s="380"/>
      <c r="BD33" s="253">
        <v>6.58556E-2</v>
      </c>
      <c r="BE33" s="380"/>
      <c r="BF33" s="253">
        <v>8.0176200000000003E-2</v>
      </c>
      <c r="BG33" s="380"/>
      <c r="BH33" s="253"/>
      <c r="BI33" s="254"/>
      <c r="CJ33" s="150"/>
      <c r="CK33" s="150"/>
      <c r="CL33" s="150"/>
      <c r="CM33" s="151"/>
      <c r="CN33" s="150"/>
      <c r="CO33" s="150"/>
      <c r="CP33" s="150"/>
      <c r="CQ33" s="150"/>
      <c r="CR33" s="150"/>
      <c r="CS33" s="150"/>
      <c r="CT33" s="150"/>
    </row>
    <row r="34" spans="1:98" s="12" customFormat="1" ht="12.75" customHeight="1">
      <c r="A34" s="310"/>
      <c r="B34" s="308" t="str">
        <f>Parameters!Q33</f>
        <v>C31_C32</v>
      </c>
      <c r="C34" s="309"/>
      <c r="D34" s="495" t="str">
        <f>Parameters!S33</f>
        <v>Manufacture of furniture; other manufacturing</v>
      </c>
      <c r="E34" s="496"/>
      <c r="F34" s="224"/>
      <c r="G34" s="379"/>
      <c r="H34" s="225"/>
      <c r="I34" s="379"/>
      <c r="J34" s="225"/>
      <c r="K34" s="379"/>
      <c r="L34" s="225"/>
      <c r="M34" s="379"/>
      <c r="N34" s="225"/>
      <c r="O34" s="379"/>
      <c r="P34" s="225"/>
      <c r="Q34" s="379"/>
      <c r="R34" s="225"/>
      <c r="S34" s="379"/>
      <c r="T34" s="225"/>
      <c r="U34" s="379"/>
      <c r="V34" s="225"/>
      <c r="W34" s="379"/>
      <c r="X34" s="225"/>
      <c r="Y34" s="379"/>
      <c r="Z34" s="225"/>
      <c r="AA34" s="379"/>
      <c r="AB34" s="225"/>
      <c r="AC34" s="379"/>
      <c r="AD34" s="225"/>
      <c r="AE34" s="379"/>
      <c r="AF34" s="165">
        <v>37.929792800000001</v>
      </c>
      <c r="AG34" s="379"/>
      <c r="AH34" s="165">
        <v>35.266172099999999</v>
      </c>
      <c r="AI34" s="379"/>
      <c r="AJ34" s="165">
        <v>33.575785799999998</v>
      </c>
      <c r="AK34" s="379"/>
      <c r="AL34" s="165">
        <v>30.255862799999999</v>
      </c>
      <c r="AM34" s="379"/>
      <c r="AN34" s="165">
        <v>27.099464900000001</v>
      </c>
      <c r="AO34" s="379"/>
      <c r="AP34" s="165">
        <v>21.8941792</v>
      </c>
      <c r="AQ34" s="379"/>
      <c r="AR34" s="165">
        <v>16.869137299999998</v>
      </c>
      <c r="AS34" s="379"/>
      <c r="AT34" s="165">
        <v>15.733410599999999</v>
      </c>
      <c r="AU34" s="379"/>
      <c r="AV34" s="165">
        <v>12.2311269</v>
      </c>
      <c r="AW34" s="379"/>
      <c r="AX34" s="165">
        <v>3.8959299999999999</v>
      </c>
      <c r="AY34" s="379"/>
      <c r="AZ34" s="165">
        <v>3.7349000000000001</v>
      </c>
      <c r="BA34" s="379"/>
      <c r="BB34" s="165">
        <v>3.6437862999999999</v>
      </c>
      <c r="BC34" s="379"/>
      <c r="BD34" s="165">
        <v>6.58556E-2</v>
      </c>
      <c r="BE34" s="379"/>
      <c r="BF34" s="165">
        <v>8.0176200000000003E-2</v>
      </c>
      <c r="BG34" s="379"/>
      <c r="BH34" s="225"/>
      <c r="BI34" s="184"/>
      <c r="CJ34" s="150"/>
      <c r="CK34" s="150"/>
      <c r="CL34" s="150"/>
      <c r="CM34" s="151" t="s">
        <v>1137</v>
      </c>
      <c r="CN34" s="150" t="s">
        <v>1130</v>
      </c>
      <c r="CO34" s="150"/>
      <c r="CP34" s="150"/>
      <c r="CQ34" s="150"/>
      <c r="CR34" s="150"/>
      <c r="CS34" s="150"/>
      <c r="CT34" s="150"/>
    </row>
    <row r="35" spans="1:98" s="11" customFormat="1" ht="12.75" customHeight="1">
      <c r="A35" s="310"/>
      <c r="B35" s="308" t="str">
        <f>Parameters!Q34</f>
        <v>C33</v>
      </c>
      <c r="C35" s="309"/>
      <c r="D35" s="495" t="str">
        <f>Parameters!S34</f>
        <v>Repair and installation of machinery and equipment</v>
      </c>
      <c r="E35" s="510"/>
      <c r="F35" s="224"/>
      <c r="G35" s="379"/>
      <c r="H35" s="225"/>
      <c r="I35" s="379"/>
      <c r="J35" s="225"/>
      <c r="K35" s="379"/>
      <c r="L35" s="225"/>
      <c r="M35" s="379"/>
      <c r="N35" s="225"/>
      <c r="O35" s="379"/>
      <c r="P35" s="225"/>
      <c r="Q35" s="379"/>
      <c r="R35" s="225"/>
      <c r="S35" s="379"/>
      <c r="T35" s="225"/>
      <c r="U35" s="379"/>
      <c r="V35" s="225"/>
      <c r="W35" s="379"/>
      <c r="X35" s="225"/>
      <c r="Y35" s="379"/>
      <c r="Z35" s="225"/>
      <c r="AA35" s="379"/>
      <c r="AB35" s="225"/>
      <c r="AC35" s="379"/>
      <c r="AD35" s="225"/>
      <c r="AE35" s="379"/>
      <c r="AF35" s="165">
        <v>0</v>
      </c>
      <c r="AG35" s="379"/>
      <c r="AH35" s="165">
        <v>0</v>
      </c>
      <c r="AI35" s="379"/>
      <c r="AJ35" s="165">
        <v>0</v>
      </c>
      <c r="AK35" s="379"/>
      <c r="AL35" s="165">
        <v>0</v>
      </c>
      <c r="AM35" s="379"/>
      <c r="AN35" s="165">
        <v>0</v>
      </c>
      <c r="AO35" s="379"/>
      <c r="AP35" s="165">
        <v>0</v>
      </c>
      <c r="AQ35" s="379"/>
      <c r="AR35" s="165">
        <v>0</v>
      </c>
      <c r="AS35" s="379"/>
      <c r="AT35" s="165">
        <v>0</v>
      </c>
      <c r="AU35" s="379"/>
      <c r="AV35" s="165">
        <v>0</v>
      </c>
      <c r="AW35" s="379"/>
      <c r="AX35" s="165">
        <v>0</v>
      </c>
      <c r="AY35" s="379"/>
      <c r="AZ35" s="165">
        <v>0</v>
      </c>
      <c r="BA35" s="379"/>
      <c r="BB35" s="165">
        <v>0</v>
      </c>
      <c r="BC35" s="379"/>
      <c r="BD35" s="165">
        <v>0</v>
      </c>
      <c r="BE35" s="379"/>
      <c r="BF35" s="165">
        <v>0</v>
      </c>
      <c r="BG35" s="379"/>
      <c r="BH35" s="225"/>
      <c r="BI35" s="184"/>
      <c r="CJ35" s="150"/>
      <c r="CK35" s="150"/>
      <c r="CL35" s="150"/>
      <c r="CM35" s="151" t="s">
        <v>810</v>
      </c>
      <c r="CN35" s="150" t="s">
        <v>1130</v>
      </c>
      <c r="CO35" s="150"/>
      <c r="CP35" s="150"/>
      <c r="CQ35" s="150"/>
      <c r="CR35" s="150"/>
      <c r="CS35" s="150"/>
      <c r="CT35" s="150"/>
    </row>
    <row r="36" spans="1:98" s="10" customFormat="1" ht="12.75" customHeight="1">
      <c r="A36" s="25"/>
      <c r="B36" s="87" t="str">
        <f>Parameters!Q35</f>
        <v>D</v>
      </c>
      <c r="C36" s="88"/>
      <c r="D36" s="498" t="str">
        <f>Parameters!S35</f>
        <v>Electricity, gas, steam and air conditioning supply</v>
      </c>
      <c r="E36" s="496"/>
      <c r="F36" s="222"/>
      <c r="G36" s="379"/>
      <c r="H36" s="223"/>
      <c r="I36" s="379"/>
      <c r="J36" s="223"/>
      <c r="K36" s="379"/>
      <c r="L36" s="223"/>
      <c r="M36" s="379"/>
      <c r="N36" s="223"/>
      <c r="O36" s="379"/>
      <c r="P36" s="223"/>
      <c r="Q36" s="379"/>
      <c r="R36" s="223"/>
      <c r="S36" s="379"/>
      <c r="T36" s="223"/>
      <c r="U36" s="379"/>
      <c r="V36" s="223"/>
      <c r="W36" s="379"/>
      <c r="X36" s="223"/>
      <c r="Y36" s="379"/>
      <c r="Z36" s="223"/>
      <c r="AA36" s="379"/>
      <c r="AB36" s="223"/>
      <c r="AC36" s="379"/>
      <c r="AD36" s="223"/>
      <c r="AE36" s="379"/>
      <c r="AF36" s="164">
        <v>227.58322680000001</v>
      </c>
      <c r="AG36" s="379"/>
      <c r="AH36" s="164">
        <v>211.5907023</v>
      </c>
      <c r="AI36" s="379"/>
      <c r="AJ36" s="164">
        <v>201.4597545</v>
      </c>
      <c r="AK36" s="379"/>
      <c r="AL36" s="164">
        <v>181.53013010000001</v>
      </c>
      <c r="AM36" s="379"/>
      <c r="AN36" s="164">
        <v>162.59419980000001</v>
      </c>
      <c r="AO36" s="379"/>
      <c r="AP36" s="164">
        <v>131.37458179999999</v>
      </c>
      <c r="AQ36" s="379"/>
      <c r="AR36" s="164">
        <v>101.2148272</v>
      </c>
      <c r="AS36" s="379"/>
      <c r="AT36" s="164">
        <v>94.400459900000001</v>
      </c>
      <c r="AU36" s="379"/>
      <c r="AV36" s="164">
        <v>73.383594799999997</v>
      </c>
      <c r="AW36" s="379"/>
      <c r="AX36" s="164">
        <v>23.372409999999999</v>
      </c>
      <c r="AY36" s="379"/>
      <c r="AZ36" s="164">
        <v>22.4189103</v>
      </c>
      <c r="BA36" s="379"/>
      <c r="BB36" s="164">
        <v>21.862727199999998</v>
      </c>
      <c r="BC36" s="379"/>
      <c r="BD36" s="164">
        <v>0.39513239999999999</v>
      </c>
      <c r="BE36" s="379"/>
      <c r="BF36" s="164">
        <v>0.48216740000000002</v>
      </c>
      <c r="BG36" s="379"/>
      <c r="BH36" s="223"/>
      <c r="BI36" s="184"/>
      <c r="CJ36" s="150"/>
      <c r="CK36" s="150"/>
      <c r="CL36" s="150"/>
      <c r="CM36" s="151" t="s">
        <v>275</v>
      </c>
      <c r="CN36" s="150" t="s">
        <v>1130</v>
      </c>
      <c r="CO36" s="150"/>
      <c r="CP36" s="150"/>
      <c r="CQ36" s="150"/>
      <c r="CR36" s="150"/>
      <c r="CS36" s="150"/>
      <c r="CT36" s="150"/>
    </row>
    <row r="37" spans="1:98" s="10" customFormat="1">
      <c r="A37" s="25"/>
      <c r="B37" s="87" t="str">
        <f>Parameters!Q36</f>
        <v>E</v>
      </c>
      <c r="C37" s="88"/>
      <c r="D37" s="498" t="str">
        <f>Parameters!S36</f>
        <v>Water supply; sewerage, waste management and remediation activities</v>
      </c>
      <c r="E37" s="499"/>
      <c r="F37" s="222"/>
      <c r="G37" s="379"/>
      <c r="H37" s="223"/>
      <c r="I37" s="379"/>
      <c r="J37" s="223"/>
      <c r="K37" s="379"/>
      <c r="L37" s="223"/>
      <c r="M37" s="379"/>
      <c r="N37" s="223"/>
      <c r="O37" s="379"/>
      <c r="P37" s="223"/>
      <c r="Q37" s="379"/>
      <c r="R37" s="223"/>
      <c r="S37" s="379"/>
      <c r="T37" s="223"/>
      <c r="U37" s="379"/>
      <c r="V37" s="223"/>
      <c r="W37" s="379"/>
      <c r="X37" s="223"/>
      <c r="Y37" s="379"/>
      <c r="Z37" s="223"/>
      <c r="AA37" s="379"/>
      <c r="AB37" s="223"/>
      <c r="AC37" s="379"/>
      <c r="AD37" s="223"/>
      <c r="AE37" s="379"/>
      <c r="AF37" s="164">
        <v>183313.00624630001</v>
      </c>
      <c r="AG37" s="379"/>
      <c r="AH37" s="247">
        <v>250377.44986329999</v>
      </c>
      <c r="AI37" s="379" t="s">
        <v>430</v>
      </c>
      <c r="AJ37" s="164">
        <v>288988.4570384</v>
      </c>
      <c r="AK37" s="379"/>
      <c r="AL37" s="164">
        <v>317192.38234890002</v>
      </c>
      <c r="AM37" s="379"/>
      <c r="AN37" s="164">
        <v>341909.67134419997</v>
      </c>
      <c r="AO37" s="379"/>
      <c r="AP37" s="164">
        <v>399590.54359820002</v>
      </c>
      <c r="AQ37" s="379"/>
      <c r="AR37" s="164">
        <v>362120.74398530001</v>
      </c>
      <c r="AS37" s="379"/>
      <c r="AT37" s="164">
        <v>261408.62222749999</v>
      </c>
      <c r="AU37" s="379"/>
      <c r="AV37" s="164">
        <v>333253.4689638</v>
      </c>
      <c r="AW37" s="379"/>
      <c r="AX37" s="164">
        <v>400011.81285859999</v>
      </c>
      <c r="AY37" s="379"/>
      <c r="AZ37" s="164">
        <v>420237.05714749999</v>
      </c>
      <c r="BA37" s="379"/>
      <c r="BB37" s="164">
        <v>397096.04497669998</v>
      </c>
      <c r="BC37" s="379"/>
      <c r="BD37" s="164">
        <v>308157.28429600003</v>
      </c>
      <c r="BE37" s="379"/>
      <c r="BF37" s="164">
        <v>240811.21397020001</v>
      </c>
      <c r="BG37" s="379"/>
      <c r="BH37" s="223"/>
      <c r="BI37" s="184"/>
      <c r="CJ37" s="150"/>
      <c r="CK37" s="150"/>
      <c r="CL37" s="150"/>
      <c r="CM37" s="151" t="s">
        <v>269</v>
      </c>
      <c r="CN37" s="150" t="s">
        <v>1130</v>
      </c>
      <c r="CO37" s="150"/>
      <c r="CP37" s="150"/>
      <c r="CQ37" s="150"/>
      <c r="CR37" s="150"/>
      <c r="CS37" s="150"/>
      <c r="CT37" s="150"/>
    </row>
    <row r="38" spans="1:98" s="11" customFormat="1" ht="12.75" customHeight="1">
      <c r="A38" s="310"/>
      <c r="B38" s="308" t="str">
        <f>Parameters!Q37</f>
        <v>E36</v>
      </c>
      <c r="C38" s="309"/>
      <c r="D38" s="495" t="str">
        <f>Parameters!S37</f>
        <v>Water collection, treatment and supply</v>
      </c>
      <c r="E38" s="510"/>
      <c r="F38" s="224"/>
      <c r="G38" s="379"/>
      <c r="H38" s="225"/>
      <c r="I38" s="379"/>
      <c r="J38" s="225"/>
      <c r="K38" s="379"/>
      <c r="L38" s="225"/>
      <c r="M38" s="379"/>
      <c r="N38" s="225"/>
      <c r="O38" s="379"/>
      <c r="P38" s="225"/>
      <c r="Q38" s="379"/>
      <c r="R38" s="225"/>
      <c r="S38" s="379"/>
      <c r="T38" s="225"/>
      <c r="U38" s="379"/>
      <c r="V38" s="225"/>
      <c r="W38" s="379"/>
      <c r="X38" s="225"/>
      <c r="Y38" s="379"/>
      <c r="Z38" s="225"/>
      <c r="AA38" s="379"/>
      <c r="AB38" s="225"/>
      <c r="AC38" s="379"/>
      <c r="AD38" s="225"/>
      <c r="AE38" s="379"/>
      <c r="AF38" s="165">
        <v>7.5863338999999996</v>
      </c>
      <c r="AG38" s="379"/>
      <c r="AH38" s="165">
        <v>7.0542438000000001</v>
      </c>
      <c r="AI38" s="379"/>
      <c r="AJ38" s="165">
        <v>6.7150432000000002</v>
      </c>
      <c r="AK38" s="379"/>
      <c r="AL38" s="165">
        <v>6.0509139000000003</v>
      </c>
      <c r="AM38" s="379"/>
      <c r="AN38" s="165">
        <v>5.420903</v>
      </c>
      <c r="AO38" s="379"/>
      <c r="AP38" s="165">
        <v>4.3783178999999999</v>
      </c>
      <c r="AQ38" s="379"/>
      <c r="AR38" s="165">
        <v>3.3738288000000001</v>
      </c>
      <c r="AS38" s="379"/>
      <c r="AT38" s="165">
        <v>3.1466834000000001</v>
      </c>
      <c r="AU38" s="379"/>
      <c r="AV38" s="165">
        <v>2.4462259999999998</v>
      </c>
      <c r="AW38" s="379"/>
      <c r="AX38" s="165">
        <v>0.77981999999999996</v>
      </c>
      <c r="AY38" s="379"/>
      <c r="AZ38" s="165">
        <v>0.74571200000000004</v>
      </c>
      <c r="BA38" s="379"/>
      <c r="BB38" s="165">
        <v>0.72875849999999998</v>
      </c>
      <c r="BC38" s="379"/>
      <c r="BD38" s="165">
        <v>1.31711E-2</v>
      </c>
      <c r="BE38" s="379"/>
      <c r="BF38" s="165">
        <v>1.6035199999999999E-2</v>
      </c>
      <c r="BG38" s="379"/>
      <c r="BH38" s="225"/>
      <c r="BI38" s="184"/>
      <c r="CJ38" s="150"/>
      <c r="CK38" s="150"/>
      <c r="CL38" s="150"/>
      <c r="CM38" s="151" t="s">
        <v>824</v>
      </c>
      <c r="CN38" s="150" t="s">
        <v>1130</v>
      </c>
      <c r="CO38" s="150"/>
      <c r="CP38" s="150"/>
      <c r="CQ38" s="150"/>
      <c r="CR38" s="150"/>
      <c r="CS38" s="150"/>
      <c r="CT38" s="150"/>
    </row>
    <row r="39" spans="1:98" s="11" customFormat="1" ht="12.75" customHeight="1">
      <c r="A39" s="310"/>
      <c r="B39" s="308" t="str">
        <f>Parameters!Q38</f>
        <v>E37-E39</v>
      </c>
      <c r="C39" s="309"/>
      <c r="D39" s="495" t="str">
        <f>Parameters!S38</f>
        <v>Sewerage, waste management, remediation activities</v>
      </c>
      <c r="E39" s="510"/>
      <c r="F39" s="224"/>
      <c r="G39" s="379"/>
      <c r="H39" s="225"/>
      <c r="I39" s="379"/>
      <c r="J39" s="225"/>
      <c r="K39" s="379"/>
      <c r="L39" s="225"/>
      <c r="M39" s="379"/>
      <c r="N39" s="225"/>
      <c r="O39" s="379"/>
      <c r="P39" s="225"/>
      <c r="Q39" s="379"/>
      <c r="R39" s="225"/>
      <c r="S39" s="379"/>
      <c r="T39" s="225"/>
      <c r="U39" s="379"/>
      <c r="V39" s="225"/>
      <c r="W39" s="379"/>
      <c r="X39" s="225"/>
      <c r="Y39" s="379"/>
      <c r="Z39" s="225"/>
      <c r="AA39" s="379"/>
      <c r="AB39" s="225"/>
      <c r="AC39" s="379"/>
      <c r="AD39" s="225"/>
      <c r="AE39" s="379"/>
      <c r="AF39" s="165">
        <v>183305.41991239999</v>
      </c>
      <c r="AG39" s="379"/>
      <c r="AH39" s="165">
        <v>250370.39561949999</v>
      </c>
      <c r="AI39" s="379"/>
      <c r="AJ39" s="165">
        <v>288981.74199519999</v>
      </c>
      <c r="AK39" s="379"/>
      <c r="AL39" s="165">
        <v>317186.3314351</v>
      </c>
      <c r="AM39" s="379"/>
      <c r="AN39" s="165">
        <v>341904.25044119998</v>
      </c>
      <c r="AO39" s="379"/>
      <c r="AP39" s="165">
        <v>399586.16528030002</v>
      </c>
      <c r="AQ39" s="379"/>
      <c r="AR39" s="165">
        <v>362117.37015650002</v>
      </c>
      <c r="AS39" s="379"/>
      <c r="AT39" s="165">
        <v>261405.47554409999</v>
      </c>
      <c r="AU39" s="379"/>
      <c r="AV39" s="165">
        <v>333251.02273780003</v>
      </c>
      <c r="AW39" s="379"/>
      <c r="AX39" s="165">
        <v>400011.0330386</v>
      </c>
      <c r="AY39" s="379"/>
      <c r="AZ39" s="165">
        <v>420236.31143549999</v>
      </c>
      <c r="BA39" s="379"/>
      <c r="BB39" s="165">
        <v>397095.31621810002</v>
      </c>
      <c r="BC39" s="379"/>
      <c r="BD39" s="165">
        <v>308157.27112490003</v>
      </c>
      <c r="BE39" s="379"/>
      <c r="BF39" s="165">
        <v>240811.197935</v>
      </c>
      <c r="BG39" s="379"/>
      <c r="BH39" s="225"/>
      <c r="BI39" s="184"/>
      <c r="CJ39" s="150"/>
      <c r="CK39" s="150"/>
      <c r="CL39" s="150"/>
      <c r="CM39" s="151" t="s">
        <v>1138</v>
      </c>
      <c r="CN39" s="150" t="s">
        <v>1130</v>
      </c>
      <c r="CO39" s="150"/>
      <c r="CP39" s="150"/>
      <c r="CQ39" s="150"/>
      <c r="CR39" s="150"/>
      <c r="CS39" s="150"/>
      <c r="CT39" s="150"/>
    </row>
    <row r="40" spans="1:98" s="10" customFormat="1" ht="12.75" customHeight="1">
      <c r="A40" s="27"/>
      <c r="B40" s="87" t="str">
        <f>Parameters!Q39</f>
        <v>F</v>
      </c>
      <c r="C40" s="88"/>
      <c r="D40" s="498" t="str">
        <f>Parameters!S39</f>
        <v>Construction</v>
      </c>
      <c r="E40" s="496"/>
      <c r="F40" s="222"/>
      <c r="G40" s="379"/>
      <c r="H40" s="223"/>
      <c r="I40" s="379"/>
      <c r="J40" s="223"/>
      <c r="K40" s="379"/>
      <c r="L40" s="223"/>
      <c r="M40" s="379"/>
      <c r="N40" s="223"/>
      <c r="O40" s="379"/>
      <c r="P40" s="223"/>
      <c r="Q40" s="379"/>
      <c r="R40" s="223"/>
      <c r="S40" s="379"/>
      <c r="T40" s="223"/>
      <c r="U40" s="379"/>
      <c r="V40" s="223"/>
      <c r="W40" s="379"/>
      <c r="X40" s="223"/>
      <c r="Y40" s="379"/>
      <c r="Z40" s="223"/>
      <c r="AA40" s="379"/>
      <c r="AB40" s="223"/>
      <c r="AC40" s="379"/>
      <c r="AD40" s="223"/>
      <c r="AE40" s="379"/>
      <c r="AF40" s="164">
        <v>1906.2771296999999</v>
      </c>
      <c r="AG40" s="379"/>
      <c r="AH40" s="164">
        <v>1942.0511934000001</v>
      </c>
      <c r="AI40" s="379"/>
      <c r="AJ40" s="164">
        <v>2039.545198</v>
      </c>
      <c r="AK40" s="379"/>
      <c r="AL40" s="164">
        <v>2100.8353296</v>
      </c>
      <c r="AM40" s="379"/>
      <c r="AN40" s="164">
        <v>2160.6610943999999</v>
      </c>
      <c r="AO40" s="379"/>
      <c r="AP40" s="164">
        <v>2189.4905729000002</v>
      </c>
      <c r="AQ40" s="379"/>
      <c r="AR40" s="164">
        <v>2179.8794248999998</v>
      </c>
      <c r="AS40" s="379"/>
      <c r="AT40" s="164">
        <v>2190.5678370999999</v>
      </c>
      <c r="AU40" s="379"/>
      <c r="AV40" s="164">
        <v>2148.1594931</v>
      </c>
      <c r="AW40" s="379"/>
      <c r="AX40" s="164">
        <v>1963.8022100000001</v>
      </c>
      <c r="AY40" s="379"/>
      <c r="AZ40" s="164">
        <v>1868.99341</v>
      </c>
      <c r="BA40" s="379"/>
      <c r="BB40" s="164">
        <v>1811.6335468</v>
      </c>
      <c r="BC40" s="379"/>
      <c r="BD40" s="164">
        <v>1596.2842252999999</v>
      </c>
      <c r="BE40" s="379"/>
      <c r="BF40" s="164">
        <v>1325.3725500999999</v>
      </c>
      <c r="BG40" s="379"/>
      <c r="BH40" s="223"/>
      <c r="BI40" s="184"/>
      <c r="CJ40" s="150"/>
      <c r="CK40" s="150"/>
      <c r="CL40" s="150"/>
      <c r="CM40" s="151" t="s">
        <v>834</v>
      </c>
      <c r="CN40" s="150" t="s">
        <v>1130</v>
      </c>
      <c r="CO40" s="150"/>
      <c r="CP40" s="150"/>
      <c r="CQ40" s="150"/>
      <c r="CR40" s="150"/>
      <c r="CS40" s="150"/>
      <c r="CT40" s="150"/>
    </row>
    <row r="41" spans="1:98" s="10" customFormat="1">
      <c r="A41" s="25"/>
      <c r="B41" s="87" t="str">
        <f>Parameters!Q40</f>
        <v>G</v>
      </c>
      <c r="C41" s="88"/>
      <c r="D41" s="498" t="str">
        <f>Parameters!S40</f>
        <v>Wholesale and retail trade; repair of motor vehicles and motorcycles</v>
      </c>
      <c r="E41" s="499"/>
      <c r="F41" s="222"/>
      <c r="G41" s="379"/>
      <c r="H41" s="223"/>
      <c r="I41" s="379"/>
      <c r="J41" s="223"/>
      <c r="K41" s="379"/>
      <c r="L41" s="223"/>
      <c r="M41" s="379"/>
      <c r="N41" s="223"/>
      <c r="O41" s="379"/>
      <c r="P41" s="223"/>
      <c r="Q41" s="379"/>
      <c r="R41" s="223"/>
      <c r="S41" s="379"/>
      <c r="T41" s="223"/>
      <c r="U41" s="379"/>
      <c r="V41" s="223"/>
      <c r="W41" s="379"/>
      <c r="X41" s="223"/>
      <c r="Y41" s="379"/>
      <c r="Z41" s="223"/>
      <c r="AA41" s="379"/>
      <c r="AB41" s="223"/>
      <c r="AC41" s="379"/>
      <c r="AD41" s="223"/>
      <c r="AE41" s="379"/>
      <c r="AF41" s="164">
        <v>21604.330134799999</v>
      </c>
      <c r="AG41" s="379"/>
      <c r="AH41" s="164">
        <v>21722.2190032</v>
      </c>
      <c r="AI41" s="379"/>
      <c r="AJ41" s="164">
        <v>22829.851870999999</v>
      </c>
      <c r="AK41" s="379"/>
      <c r="AL41" s="164">
        <v>23361.219846399999</v>
      </c>
      <c r="AM41" s="379"/>
      <c r="AN41" s="164">
        <v>23802.906958399999</v>
      </c>
      <c r="AO41" s="379"/>
      <c r="AP41" s="164">
        <v>24734.029075999999</v>
      </c>
      <c r="AQ41" s="379"/>
      <c r="AR41" s="164">
        <v>25189.989928399998</v>
      </c>
      <c r="AS41" s="379"/>
      <c r="AT41" s="164">
        <v>26828.235385</v>
      </c>
      <c r="AU41" s="379"/>
      <c r="AV41" s="164">
        <v>28382.188271200001</v>
      </c>
      <c r="AW41" s="379"/>
      <c r="AX41" s="164">
        <v>28662.032352800001</v>
      </c>
      <c r="AY41" s="379"/>
      <c r="AZ41" s="164">
        <v>26841.7478481</v>
      </c>
      <c r="BA41" s="379"/>
      <c r="BB41" s="164">
        <v>24538.196032100001</v>
      </c>
      <c r="BC41" s="379"/>
      <c r="BD41" s="164">
        <v>21956.163893500001</v>
      </c>
      <c r="BE41" s="379"/>
      <c r="BF41" s="164">
        <v>19728.299273100001</v>
      </c>
      <c r="BG41" s="379"/>
      <c r="BH41" s="223"/>
      <c r="BI41" s="184"/>
      <c r="CJ41" s="150"/>
      <c r="CK41" s="150"/>
      <c r="CL41" s="150"/>
      <c r="CM41" s="151" t="s">
        <v>839</v>
      </c>
      <c r="CN41" s="150" t="s">
        <v>1130</v>
      </c>
      <c r="CO41" s="150"/>
      <c r="CP41" s="150"/>
      <c r="CQ41" s="150"/>
      <c r="CR41" s="150"/>
      <c r="CS41" s="150"/>
      <c r="CT41" s="150"/>
    </row>
    <row r="42" spans="1:98" s="10" customFormat="1" ht="12.75" customHeight="1">
      <c r="A42" s="310"/>
      <c r="B42" s="308" t="str">
        <f>Parameters!Q41</f>
        <v>G45</v>
      </c>
      <c r="C42" s="309"/>
      <c r="D42" s="495" t="str">
        <f>Parameters!S41</f>
        <v>Wholesale and retail trade and repair of motor vehicles and motorcycles</v>
      </c>
      <c r="E42" s="496"/>
      <c r="F42" s="224"/>
      <c r="G42" s="379"/>
      <c r="H42" s="225"/>
      <c r="I42" s="379"/>
      <c r="J42" s="225"/>
      <c r="K42" s="379"/>
      <c r="L42" s="225"/>
      <c r="M42" s="379"/>
      <c r="N42" s="225"/>
      <c r="O42" s="379"/>
      <c r="P42" s="225"/>
      <c r="Q42" s="379"/>
      <c r="R42" s="225"/>
      <c r="S42" s="379"/>
      <c r="T42" s="225"/>
      <c r="U42" s="379"/>
      <c r="V42" s="225"/>
      <c r="W42" s="379"/>
      <c r="X42" s="225"/>
      <c r="Y42" s="379"/>
      <c r="Z42" s="225"/>
      <c r="AA42" s="379"/>
      <c r="AB42" s="225"/>
      <c r="AC42" s="379"/>
      <c r="AD42" s="225"/>
      <c r="AE42" s="379"/>
      <c r="AF42" s="165">
        <v>986.19823599999995</v>
      </c>
      <c r="AG42" s="379"/>
      <c r="AH42" s="165">
        <v>916.89570000000003</v>
      </c>
      <c r="AI42" s="379"/>
      <c r="AJ42" s="165">
        <v>872.99243609999996</v>
      </c>
      <c r="AK42" s="379"/>
      <c r="AL42" s="165">
        <v>786.62962589999995</v>
      </c>
      <c r="AM42" s="379"/>
      <c r="AN42" s="165">
        <v>704.57701210000005</v>
      </c>
      <c r="AO42" s="379"/>
      <c r="AP42" s="165">
        <v>569.28536899999995</v>
      </c>
      <c r="AQ42" s="379"/>
      <c r="AR42" s="165">
        <v>438.59757309999998</v>
      </c>
      <c r="AS42" s="379"/>
      <c r="AT42" s="165">
        <v>409.07181420000001</v>
      </c>
      <c r="AU42" s="379"/>
      <c r="AV42" s="165">
        <v>317.99027599999999</v>
      </c>
      <c r="AW42" s="379"/>
      <c r="AX42" s="165">
        <v>101.28784</v>
      </c>
      <c r="AY42" s="379"/>
      <c r="AZ42" s="165">
        <v>97.146739999999994</v>
      </c>
      <c r="BA42" s="379"/>
      <c r="BB42" s="165">
        <v>94.738474999999994</v>
      </c>
      <c r="BC42" s="379"/>
      <c r="BD42" s="165">
        <v>1.7122449</v>
      </c>
      <c r="BE42" s="379"/>
      <c r="BF42" s="165">
        <v>2.0893698000000001</v>
      </c>
      <c r="BG42" s="379"/>
      <c r="BH42" s="225"/>
      <c r="BI42" s="184"/>
      <c r="CJ42" s="150"/>
      <c r="CK42" s="150"/>
      <c r="CL42" s="150"/>
      <c r="CM42" s="151" t="s">
        <v>844</v>
      </c>
      <c r="CN42" s="150" t="s">
        <v>1130</v>
      </c>
      <c r="CO42" s="150"/>
      <c r="CP42" s="150"/>
      <c r="CQ42" s="150"/>
      <c r="CR42" s="150"/>
      <c r="CS42" s="150"/>
      <c r="CT42" s="150"/>
    </row>
    <row r="43" spans="1:98" s="11" customFormat="1" ht="12.75" customHeight="1">
      <c r="A43" s="310"/>
      <c r="B43" s="308" t="str">
        <f>Parameters!Q42</f>
        <v>G46</v>
      </c>
      <c r="C43" s="309"/>
      <c r="D43" s="495" t="str">
        <f>Parameters!S42</f>
        <v>Wholesale trade, except of motor vehicles and motorcycles</v>
      </c>
      <c r="E43" s="496"/>
      <c r="F43" s="224"/>
      <c r="G43" s="379"/>
      <c r="H43" s="225"/>
      <c r="I43" s="379"/>
      <c r="J43" s="225"/>
      <c r="K43" s="379"/>
      <c r="L43" s="225"/>
      <c r="M43" s="379"/>
      <c r="N43" s="225"/>
      <c r="O43" s="379"/>
      <c r="P43" s="225"/>
      <c r="Q43" s="379"/>
      <c r="R43" s="225"/>
      <c r="S43" s="379"/>
      <c r="T43" s="225"/>
      <c r="U43" s="379"/>
      <c r="V43" s="225"/>
      <c r="W43" s="379"/>
      <c r="X43" s="225"/>
      <c r="Y43" s="379"/>
      <c r="Z43" s="225"/>
      <c r="AA43" s="379"/>
      <c r="AB43" s="225"/>
      <c r="AC43" s="379"/>
      <c r="AD43" s="225"/>
      <c r="AE43" s="379"/>
      <c r="AF43" s="165">
        <v>0</v>
      </c>
      <c r="AG43" s="379"/>
      <c r="AH43" s="165">
        <v>0</v>
      </c>
      <c r="AI43" s="379"/>
      <c r="AJ43" s="165">
        <v>0</v>
      </c>
      <c r="AK43" s="379"/>
      <c r="AL43" s="165">
        <v>0</v>
      </c>
      <c r="AM43" s="379"/>
      <c r="AN43" s="165">
        <v>0</v>
      </c>
      <c r="AO43" s="379"/>
      <c r="AP43" s="165">
        <v>0</v>
      </c>
      <c r="AQ43" s="379"/>
      <c r="AR43" s="165">
        <v>0</v>
      </c>
      <c r="AS43" s="379"/>
      <c r="AT43" s="165">
        <v>0</v>
      </c>
      <c r="AU43" s="379"/>
      <c r="AV43" s="165">
        <v>0</v>
      </c>
      <c r="AW43" s="379"/>
      <c r="AX43" s="165">
        <v>0</v>
      </c>
      <c r="AY43" s="379"/>
      <c r="AZ43" s="165">
        <v>0</v>
      </c>
      <c r="BA43" s="379"/>
      <c r="BB43" s="165">
        <v>0</v>
      </c>
      <c r="BC43" s="379"/>
      <c r="BD43" s="165">
        <v>0</v>
      </c>
      <c r="BE43" s="379"/>
      <c r="BF43" s="165">
        <v>0</v>
      </c>
      <c r="BG43" s="379"/>
      <c r="BH43" s="225"/>
      <c r="BI43" s="184"/>
      <c r="CJ43" s="150"/>
      <c r="CK43" s="150"/>
      <c r="CL43" s="150"/>
      <c r="CM43" s="151" t="s">
        <v>848</v>
      </c>
      <c r="CN43" s="150" t="s">
        <v>1130</v>
      </c>
      <c r="CO43" s="150"/>
      <c r="CP43" s="150"/>
      <c r="CQ43" s="150"/>
      <c r="CR43" s="150"/>
      <c r="CS43" s="150"/>
      <c r="CT43" s="150"/>
    </row>
    <row r="44" spans="1:98" s="11" customFormat="1" ht="12.75" customHeight="1">
      <c r="A44" s="310"/>
      <c r="B44" s="308" t="str">
        <f>Parameters!Q43</f>
        <v>G47</v>
      </c>
      <c r="C44" s="309"/>
      <c r="D44" s="495" t="str">
        <f>Parameters!S43</f>
        <v>Retail trade, except of motor vehicles and motorcycles</v>
      </c>
      <c r="E44" s="496"/>
      <c r="F44" s="224"/>
      <c r="G44" s="379"/>
      <c r="H44" s="225"/>
      <c r="I44" s="379"/>
      <c r="J44" s="225"/>
      <c r="K44" s="379"/>
      <c r="L44" s="225"/>
      <c r="M44" s="379"/>
      <c r="N44" s="225"/>
      <c r="O44" s="379"/>
      <c r="P44" s="225"/>
      <c r="Q44" s="379"/>
      <c r="R44" s="225"/>
      <c r="S44" s="379"/>
      <c r="T44" s="225"/>
      <c r="U44" s="379"/>
      <c r="V44" s="225"/>
      <c r="W44" s="379"/>
      <c r="X44" s="225"/>
      <c r="Y44" s="379"/>
      <c r="Z44" s="225"/>
      <c r="AA44" s="379"/>
      <c r="AB44" s="225"/>
      <c r="AC44" s="379"/>
      <c r="AD44" s="225"/>
      <c r="AE44" s="379"/>
      <c r="AF44" s="165">
        <v>20618.131898799998</v>
      </c>
      <c r="AG44" s="379"/>
      <c r="AH44" s="165">
        <v>20805.323303199999</v>
      </c>
      <c r="AI44" s="379"/>
      <c r="AJ44" s="165">
        <v>21956.859434900001</v>
      </c>
      <c r="AK44" s="379"/>
      <c r="AL44" s="165">
        <v>22574.590220499998</v>
      </c>
      <c r="AM44" s="379"/>
      <c r="AN44" s="165">
        <v>23098.3299462</v>
      </c>
      <c r="AO44" s="379"/>
      <c r="AP44" s="165">
        <v>24164.743706900001</v>
      </c>
      <c r="AQ44" s="379"/>
      <c r="AR44" s="165">
        <v>24751.392355200001</v>
      </c>
      <c r="AS44" s="379"/>
      <c r="AT44" s="165">
        <v>26419.163570799999</v>
      </c>
      <c r="AU44" s="379"/>
      <c r="AV44" s="165">
        <v>28064.197995099999</v>
      </c>
      <c r="AW44" s="379"/>
      <c r="AX44" s="165">
        <v>28560.7445128</v>
      </c>
      <c r="AY44" s="379"/>
      <c r="AZ44" s="165">
        <v>26744.6011081</v>
      </c>
      <c r="BA44" s="379"/>
      <c r="BB44" s="165">
        <v>24443.457557099999</v>
      </c>
      <c r="BC44" s="379"/>
      <c r="BD44" s="165">
        <v>21954.451648599999</v>
      </c>
      <c r="BE44" s="379"/>
      <c r="BF44" s="165">
        <v>19726.209903200001</v>
      </c>
      <c r="BG44" s="379"/>
      <c r="BH44" s="225"/>
      <c r="BI44" s="184"/>
      <c r="CJ44" s="150"/>
      <c r="CK44" s="150"/>
      <c r="CL44" s="150"/>
      <c r="CM44" s="151" t="s">
        <v>854</v>
      </c>
      <c r="CN44" s="150" t="s">
        <v>1130</v>
      </c>
      <c r="CO44" s="150"/>
      <c r="CP44" s="150"/>
      <c r="CQ44" s="150"/>
      <c r="CR44" s="150"/>
      <c r="CS44" s="150"/>
      <c r="CT44" s="150"/>
    </row>
    <row r="45" spans="1:98" s="11" customFormat="1" ht="12.75" customHeight="1">
      <c r="A45" s="25"/>
      <c r="B45" s="87" t="str">
        <f>Parameters!Q44</f>
        <v>H</v>
      </c>
      <c r="C45" s="88"/>
      <c r="D45" s="498" t="str">
        <f>Parameters!S44</f>
        <v>Transportation and storage</v>
      </c>
      <c r="E45" s="499"/>
      <c r="F45" s="222"/>
      <c r="G45" s="379"/>
      <c r="H45" s="223"/>
      <c r="I45" s="379"/>
      <c r="J45" s="223"/>
      <c r="K45" s="379"/>
      <c r="L45" s="223"/>
      <c r="M45" s="379"/>
      <c r="N45" s="223"/>
      <c r="O45" s="379"/>
      <c r="P45" s="223"/>
      <c r="Q45" s="379"/>
      <c r="R45" s="223"/>
      <c r="S45" s="379"/>
      <c r="T45" s="223"/>
      <c r="U45" s="379"/>
      <c r="V45" s="223"/>
      <c r="W45" s="379"/>
      <c r="X45" s="223"/>
      <c r="Y45" s="379"/>
      <c r="Z45" s="223"/>
      <c r="AA45" s="379"/>
      <c r="AB45" s="223"/>
      <c r="AC45" s="379"/>
      <c r="AD45" s="223"/>
      <c r="AE45" s="379"/>
      <c r="AF45" s="164">
        <v>80397.3715428</v>
      </c>
      <c r="AG45" s="379"/>
      <c r="AH45" s="164">
        <v>68427.269985599996</v>
      </c>
      <c r="AI45" s="379"/>
      <c r="AJ45" s="164">
        <v>59544.7998573</v>
      </c>
      <c r="AK45" s="379"/>
      <c r="AL45" s="164">
        <v>60522.146676199998</v>
      </c>
      <c r="AM45" s="379"/>
      <c r="AN45" s="164">
        <v>71674.554943299998</v>
      </c>
      <c r="AO45" s="379"/>
      <c r="AP45" s="164">
        <v>88273.901832100004</v>
      </c>
      <c r="AQ45" s="379"/>
      <c r="AR45" s="164">
        <v>86637.821661399998</v>
      </c>
      <c r="AS45" s="379"/>
      <c r="AT45" s="164">
        <v>69796.915283499999</v>
      </c>
      <c r="AU45" s="379"/>
      <c r="AV45" s="164">
        <v>51688.712411300003</v>
      </c>
      <c r="AW45" s="379"/>
      <c r="AX45" s="164">
        <v>35326.761245100002</v>
      </c>
      <c r="AY45" s="379"/>
      <c r="AZ45" s="164">
        <v>26561.1137886</v>
      </c>
      <c r="BA45" s="379"/>
      <c r="BB45" s="164">
        <v>16703.2422443</v>
      </c>
      <c r="BC45" s="379"/>
      <c r="BD45" s="164">
        <v>14752.5856336</v>
      </c>
      <c r="BE45" s="379"/>
      <c r="BF45" s="164">
        <v>13043.175653599999</v>
      </c>
      <c r="BG45" s="379"/>
      <c r="BH45" s="223"/>
      <c r="BI45" s="184"/>
      <c r="CJ45" s="150"/>
      <c r="CK45" s="150"/>
      <c r="CL45" s="150"/>
      <c r="CM45" s="151" t="s">
        <v>862</v>
      </c>
      <c r="CN45" s="150" t="s">
        <v>1130</v>
      </c>
      <c r="CO45" s="150"/>
      <c r="CP45" s="150"/>
      <c r="CQ45" s="150"/>
      <c r="CR45" s="150"/>
      <c r="CS45" s="150"/>
      <c r="CT45" s="150"/>
    </row>
    <row r="46" spans="1:98" s="10" customFormat="1" ht="12.75" customHeight="1">
      <c r="A46" s="310"/>
      <c r="B46" s="308" t="str">
        <f>Parameters!Q45</f>
        <v>H49</v>
      </c>
      <c r="C46" s="309"/>
      <c r="D46" s="495" t="str">
        <f>Parameters!S45</f>
        <v>Land transport and transport via pipelines</v>
      </c>
      <c r="E46" s="496"/>
      <c r="F46" s="224"/>
      <c r="G46" s="379"/>
      <c r="H46" s="225"/>
      <c r="I46" s="379"/>
      <c r="J46" s="225"/>
      <c r="K46" s="379"/>
      <c r="L46" s="225"/>
      <c r="M46" s="379"/>
      <c r="N46" s="225"/>
      <c r="O46" s="379"/>
      <c r="P46" s="225"/>
      <c r="Q46" s="379"/>
      <c r="R46" s="225"/>
      <c r="S46" s="379"/>
      <c r="T46" s="225"/>
      <c r="U46" s="379"/>
      <c r="V46" s="225"/>
      <c r="W46" s="379"/>
      <c r="X46" s="225"/>
      <c r="Y46" s="379"/>
      <c r="Z46" s="225"/>
      <c r="AA46" s="379"/>
      <c r="AB46" s="225"/>
      <c r="AC46" s="379"/>
      <c r="AD46" s="225"/>
      <c r="AE46" s="379"/>
      <c r="AF46" s="165">
        <v>48336.782512400001</v>
      </c>
      <c r="AG46" s="379"/>
      <c r="AH46" s="165">
        <v>41648.611340199997</v>
      </c>
      <c r="AI46" s="379"/>
      <c r="AJ46" s="165">
        <v>36791.482160200001</v>
      </c>
      <c r="AK46" s="379"/>
      <c r="AL46" s="165">
        <v>37541.457382000001</v>
      </c>
      <c r="AM46" s="379"/>
      <c r="AN46" s="165">
        <v>44085.212020500003</v>
      </c>
      <c r="AO46" s="379"/>
      <c r="AP46" s="165">
        <v>53737.264909199999</v>
      </c>
      <c r="AQ46" s="379"/>
      <c r="AR46" s="165">
        <v>52927.898454900002</v>
      </c>
      <c r="AS46" s="379"/>
      <c r="AT46" s="165">
        <v>43338.029287199999</v>
      </c>
      <c r="AU46" s="379"/>
      <c r="AV46" s="165">
        <v>33029.023158399999</v>
      </c>
      <c r="AW46" s="379"/>
      <c r="AX46" s="165">
        <v>23559.606084700001</v>
      </c>
      <c r="AY46" s="379"/>
      <c r="AZ46" s="165">
        <v>18348.760942699999</v>
      </c>
      <c r="BA46" s="379"/>
      <c r="BB46" s="165">
        <v>12586.7051926</v>
      </c>
      <c r="BC46" s="379"/>
      <c r="BD46" s="165">
        <v>11177.421486900001</v>
      </c>
      <c r="BE46" s="379"/>
      <c r="BF46" s="165">
        <v>9725.7994254000005</v>
      </c>
      <c r="BG46" s="379"/>
      <c r="BH46" s="225"/>
      <c r="BI46" s="184"/>
      <c r="CJ46" s="150"/>
      <c r="CK46" s="150"/>
      <c r="CL46" s="150"/>
      <c r="CM46" s="151" t="s">
        <v>869</v>
      </c>
      <c r="CN46" s="150" t="s">
        <v>1130</v>
      </c>
      <c r="CO46" s="150"/>
      <c r="CP46" s="150"/>
      <c r="CQ46" s="150"/>
      <c r="CR46" s="150"/>
      <c r="CS46" s="150"/>
      <c r="CT46" s="150"/>
    </row>
    <row r="47" spans="1:98" s="10" customFormat="1" ht="12.75" customHeight="1">
      <c r="A47" s="310"/>
      <c r="B47" s="308" t="str">
        <f>Parameters!Q46</f>
        <v>H50</v>
      </c>
      <c r="C47" s="309"/>
      <c r="D47" s="495" t="str">
        <f>Parameters!S46</f>
        <v>Water transport</v>
      </c>
      <c r="E47" s="497"/>
      <c r="F47" s="224"/>
      <c r="G47" s="379"/>
      <c r="H47" s="225"/>
      <c r="I47" s="379"/>
      <c r="J47" s="225"/>
      <c r="K47" s="379"/>
      <c r="L47" s="225"/>
      <c r="M47" s="379"/>
      <c r="N47" s="225"/>
      <c r="O47" s="379"/>
      <c r="P47" s="225"/>
      <c r="Q47" s="379"/>
      <c r="R47" s="225"/>
      <c r="S47" s="379"/>
      <c r="T47" s="225"/>
      <c r="U47" s="379"/>
      <c r="V47" s="225"/>
      <c r="W47" s="379"/>
      <c r="X47" s="225"/>
      <c r="Y47" s="379"/>
      <c r="Z47" s="225"/>
      <c r="AA47" s="379"/>
      <c r="AB47" s="225"/>
      <c r="AC47" s="379"/>
      <c r="AD47" s="225"/>
      <c r="AE47" s="379"/>
      <c r="AF47" s="165">
        <v>31681.277692399999</v>
      </c>
      <c r="AG47" s="379"/>
      <c r="AH47" s="165">
        <v>26426.006421499998</v>
      </c>
      <c r="AI47" s="379"/>
      <c r="AJ47" s="165">
        <v>22417.554229699999</v>
      </c>
      <c r="AK47" s="379"/>
      <c r="AL47" s="165">
        <v>22678.140186299999</v>
      </c>
      <c r="AM47" s="379"/>
      <c r="AN47" s="165">
        <v>27318.352159900001</v>
      </c>
      <c r="AO47" s="379"/>
      <c r="AP47" s="165">
        <v>34317.682454299997</v>
      </c>
      <c r="AQ47" s="379"/>
      <c r="AR47" s="165">
        <v>33541.231823499998</v>
      </c>
      <c r="AS47" s="379"/>
      <c r="AT47" s="165">
        <v>26301.551894200002</v>
      </c>
      <c r="AU47" s="379"/>
      <c r="AV47" s="165">
        <v>18537.387493900002</v>
      </c>
      <c r="AW47" s="379"/>
      <c r="AX47" s="165">
        <v>11728.195860399999</v>
      </c>
      <c r="AY47" s="379"/>
      <c r="AZ47" s="165">
        <v>8174.9911656000004</v>
      </c>
      <c r="BA47" s="379"/>
      <c r="BB47" s="165">
        <v>4080.0991795</v>
      </c>
      <c r="BC47" s="379"/>
      <c r="BD47" s="165">
        <v>3574.5055914</v>
      </c>
      <c r="BE47" s="379"/>
      <c r="BF47" s="165">
        <v>3316.5737291</v>
      </c>
      <c r="BG47" s="379"/>
      <c r="BH47" s="225"/>
      <c r="BI47" s="184"/>
      <c r="CJ47" s="150"/>
      <c r="CK47" s="150"/>
      <c r="CL47" s="150"/>
      <c r="CM47" s="151" t="s">
        <v>877</v>
      </c>
      <c r="CN47" s="150" t="s">
        <v>1130</v>
      </c>
      <c r="CO47" s="150"/>
      <c r="CP47" s="150"/>
      <c r="CQ47" s="150"/>
      <c r="CR47" s="150"/>
      <c r="CS47" s="150"/>
      <c r="CT47" s="150"/>
    </row>
    <row r="48" spans="1:98" s="11" customFormat="1" ht="12.75" customHeight="1">
      <c r="A48" s="310"/>
      <c r="B48" s="308" t="str">
        <f>Parameters!Q47</f>
        <v>H51</v>
      </c>
      <c r="C48" s="309"/>
      <c r="D48" s="495" t="str">
        <f>Parameters!S47</f>
        <v>Air transport</v>
      </c>
      <c r="E48" s="510"/>
      <c r="F48" s="224"/>
      <c r="G48" s="379"/>
      <c r="H48" s="225"/>
      <c r="I48" s="379"/>
      <c r="J48" s="225"/>
      <c r="K48" s="379"/>
      <c r="L48" s="225"/>
      <c r="M48" s="379"/>
      <c r="N48" s="225"/>
      <c r="O48" s="379"/>
      <c r="P48" s="225"/>
      <c r="Q48" s="379"/>
      <c r="R48" s="225"/>
      <c r="S48" s="379"/>
      <c r="T48" s="225"/>
      <c r="U48" s="379"/>
      <c r="V48" s="225"/>
      <c r="W48" s="379"/>
      <c r="X48" s="225"/>
      <c r="Y48" s="379"/>
      <c r="Z48" s="225"/>
      <c r="AA48" s="379"/>
      <c r="AB48" s="225"/>
      <c r="AC48" s="379"/>
      <c r="AD48" s="225"/>
      <c r="AE48" s="379"/>
      <c r="AF48" s="165">
        <v>113.7938484</v>
      </c>
      <c r="AG48" s="379"/>
      <c r="AH48" s="165">
        <v>105.7953495</v>
      </c>
      <c r="AI48" s="379"/>
      <c r="AJ48" s="165">
        <v>100.7292272</v>
      </c>
      <c r="AK48" s="379"/>
      <c r="AL48" s="165">
        <v>90.764415099999994</v>
      </c>
      <c r="AM48" s="379"/>
      <c r="AN48" s="165">
        <v>81.297098199999994</v>
      </c>
      <c r="AO48" s="379"/>
      <c r="AP48" s="165">
        <v>65.685707600000001</v>
      </c>
      <c r="AQ48" s="379"/>
      <c r="AR48" s="165">
        <v>50.6074153</v>
      </c>
      <c r="AS48" s="379"/>
      <c r="AT48" s="165">
        <v>47.200231600000002</v>
      </c>
      <c r="AU48" s="379"/>
      <c r="AV48" s="165">
        <v>36.690210700000002</v>
      </c>
      <c r="AW48" s="379"/>
      <c r="AX48" s="165">
        <v>11.68779</v>
      </c>
      <c r="AY48" s="379"/>
      <c r="AZ48" s="165">
        <v>11.20787</v>
      </c>
      <c r="BA48" s="379"/>
      <c r="BB48" s="165">
        <v>10.931360400000001</v>
      </c>
      <c r="BC48" s="379"/>
      <c r="BD48" s="165">
        <v>0.19756650000000001</v>
      </c>
      <c r="BE48" s="379"/>
      <c r="BF48" s="165">
        <v>0.2405283</v>
      </c>
      <c r="BG48" s="379"/>
      <c r="BH48" s="225"/>
      <c r="BI48" s="184"/>
      <c r="CJ48" s="150"/>
      <c r="CK48" s="150"/>
      <c r="CL48" s="150"/>
      <c r="CM48" s="151" t="s">
        <v>884</v>
      </c>
      <c r="CN48" s="150" t="s">
        <v>1130</v>
      </c>
      <c r="CO48" s="150"/>
      <c r="CP48" s="150"/>
      <c r="CQ48" s="150"/>
      <c r="CR48" s="150"/>
      <c r="CS48" s="150"/>
      <c r="CT48" s="150"/>
    </row>
    <row r="49" spans="1:98" s="11" customFormat="1" ht="12.75" customHeight="1">
      <c r="A49" s="310"/>
      <c r="B49" s="308" t="str">
        <f>Parameters!Q48</f>
        <v>H52</v>
      </c>
      <c r="C49" s="309"/>
      <c r="D49" s="495" t="str">
        <f>Parameters!S48</f>
        <v>Warehousing and support activities for transportation</v>
      </c>
      <c r="E49" s="510"/>
      <c r="F49" s="224"/>
      <c r="G49" s="379"/>
      <c r="H49" s="225"/>
      <c r="I49" s="379"/>
      <c r="J49" s="225"/>
      <c r="K49" s="379"/>
      <c r="L49" s="225"/>
      <c r="M49" s="379"/>
      <c r="N49" s="225"/>
      <c r="O49" s="379"/>
      <c r="P49" s="225"/>
      <c r="Q49" s="379"/>
      <c r="R49" s="225"/>
      <c r="S49" s="379"/>
      <c r="T49" s="225"/>
      <c r="U49" s="379"/>
      <c r="V49" s="225"/>
      <c r="W49" s="379"/>
      <c r="X49" s="225"/>
      <c r="Y49" s="379"/>
      <c r="Z49" s="225"/>
      <c r="AA49" s="379"/>
      <c r="AB49" s="225"/>
      <c r="AC49" s="379"/>
      <c r="AD49" s="225"/>
      <c r="AE49" s="379"/>
      <c r="AF49" s="165">
        <v>113.7938484</v>
      </c>
      <c r="AG49" s="379"/>
      <c r="AH49" s="165">
        <v>105.7953495</v>
      </c>
      <c r="AI49" s="379"/>
      <c r="AJ49" s="165">
        <v>100.7292272</v>
      </c>
      <c r="AK49" s="379"/>
      <c r="AL49" s="165">
        <v>90.764415099999994</v>
      </c>
      <c r="AM49" s="379"/>
      <c r="AN49" s="165">
        <v>81.297098199999994</v>
      </c>
      <c r="AO49" s="379"/>
      <c r="AP49" s="165">
        <v>65.685707600000001</v>
      </c>
      <c r="AQ49" s="379"/>
      <c r="AR49" s="165">
        <v>50.6074153</v>
      </c>
      <c r="AS49" s="379"/>
      <c r="AT49" s="165">
        <v>47.200231600000002</v>
      </c>
      <c r="AU49" s="379"/>
      <c r="AV49" s="165">
        <v>36.690210700000002</v>
      </c>
      <c r="AW49" s="379"/>
      <c r="AX49" s="165">
        <v>11.68779</v>
      </c>
      <c r="AY49" s="379"/>
      <c r="AZ49" s="165">
        <v>11.20787</v>
      </c>
      <c r="BA49" s="379"/>
      <c r="BB49" s="165">
        <v>10.931360400000001</v>
      </c>
      <c r="BC49" s="379"/>
      <c r="BD49" s="165">
        <v>0.19756650000000001</v>
      </c>
      <c r="BE49" s="379"/>
      <c r="BF49" s="165">
        <v>0.2405283</v>
      </c>
      <c r="BG49" s="379"/>
      <c r="BH49" s="225"/>
      <c r="BI49" s="184"/>
      <c r="CJ49" s="150"/>
      <c r="CK49" s="150"/>
      <c r="CL49" s="150"/>
      <c r="CM49" s="151" t="s">
        <v>891</v>
      </c>
      <c r="CN49" s="150" t="s">
        <v>1130</v>
      </c>
      <c r="CO49" s="150"/>
      <c r="CP49" s="150"/>
      <c r="CQ49" s="150"/>
      <c r="CR49" s="150"/>
      <c r="CS49" s="150"/>
      <c r="CT49" s="150"/>
    </row>
    <row r="50" spans="1:98" s="11" customFormat="1" ht="12.75" customHeight="1">
      <c r="A50" s="310"/>
      <c r="B50" s="308" t="str">
        <f>Parameters!Q49</f>
        <v>H53</v>
      </c>
      <c r="C50" s="309"/>
      <c r="D50" s="495" t="str">
        <f>Parameters!S49</f>
        <v>Postal and courier activities</v>
      </c>
      <c r="E50" s="510"/>
      <c r="F50" s="224"/>
      <c r="G50" s="379"/>
      <c r="H50" s="225"/>
      <c r="I50" s="379"/>
      <c r="J50" s="225"/>
      <c r="K50" s="379"/>
      <c r="L50" s="225"/>
      <c r="M50" s="379"/>
      <c r="N50" s="225"/>
      <c r="O50" s="379"/>
      <c r="P50" s="225"/>
      <c r="Q50" s="379"/>
      <c r="R50" s="225"/>
      <c r="S50" s="379"/>
      <c r="T50" s="225"/>
      <c r="U50" s="379"/>
      <c r="V50" s="225"/>
      <c r="W50" s="379"/>
      <c r="X50" s="225"/>
      <c r="Y50" s="379"/>
      <c r="Z50" s="225"/>
      <c r="AA50" s="379"/>
      <c r="AB50" s="225"/>
      <c r="AC50" s="379"/>
      <c r="AD50" s="225"/>
      <c r="AE50" s="379"/>
      <c r="AF50" s="165">
        <v>151.7236412</v>
      </c>
      <c r="AG50" s="379" t="s">
        <v>420</v>
      </c>
      <c r="AH50" s="165">
        <v>141.06152489999999</v>
      </c>
      <c r="AI50" s="379" t="s">
        <v>420</v>
      </c>
      <c r="AJ50" s="165">
        <v>134.305013</v>
      </c>
      <c r="AK50" s="379" t="s">
        <v>420</v>
      </c>
      <c r="AL50" s="165">
        <v>121.0202779</v>
      </c>
      <c r="AM50" s="379" t="s">
        <v>420</v>
      </c>
      <c r="AN50" s="165">
        <v>108.39656650000001</v>
      </c>
      <c r="AO50" s="379" t="s">
        <v>420</v>
      </c>
      <c r="AP50" s="165">
        <v>87.583053500000005</v>
      </c>
      <c r="AQ50" s="379" t="s">
        <v>420</v>
      </c>
      <c r="AR50" s="165">
        <v>67.476552499999997</v>
      </c>
      <c r="AS50" s="379" t="s">
        <v>420</v>
      </c>
      <c r="AT50" s="165">
        <v>62.933638899999998</v>
      </c>
      <c r="AU50" s="379" t="s">
        <v>420</v>
      </c>
      <c r="AV50" s="165">
        <v>48.921337600000001</v>
      </c>
      <c r="AW50" s="379" t="s">
        <v>420</v>
      </c>
      <c r="AX50" s="165">
        <v>15.58372</v>
      </c>
      <c r="AY50" s="379" t="s">
        <v>420</v>
      </c>
      <c r="AZ50" s="165">
        <v>14.9459403</v>
      </c>
      <c r="BA50" s="379" t="s">
        <v>420</v>
      </c>
      <c r="BB50" s="165">
        <v>14.5751515</v>
      </c>
      <c r="BC50" s="379" t="s">
        <v>420</v>
      </c>
      <c r="BD50" s="165">
        <v>0.2634222</v>
      </c>
      <c r="BE50" s="379" t="s">
        <v>420</v>
      </c>
      <c r="BF50" s="165">
        <v>0.32144250000000002</v>
      </c>
      <c r="BG50" s="379" t="s">
        <v>420</v>
      </c>
      <c r="BH50" s="225"/>
      <c r="BI50" s="184"/>
      <c r="CJ50" s="150"/>
      <c r="CK50" s="150"/>
      <c r="CL50" s="150"/>
      <c r="CM50" s="151" t="s">
        <v>897</v>
      </c>
      <c r="CN50" s="150" t="s">
        <v>1130</v>
      </c>
      <c r="CO50" s="150"/>
      <c r="CP50" s="150"/>
      <c r="CQ50" s="150"/>
      <c r="CR50" s="150"/>
      <c r="CS50" s="150"/>
      <c r="CT50" s="150"/>
    </row>
    <row r="51" spans="1:98" s="10" customFormat="1" ht="12.75" customHeight="1">
      <c r="A51" s="25"/>
      <c r="B51" s="87" t="str">
        <f>Parameters!Q50</f>
        <v>I</v>
      </c>
      <c r="C51" s="88"/>
      <c r="D51" s="498" t="str">
        <f>Parameters!S50</f>
        <v>Accommodation and food service activities</v>
      </c>
      <c r="E51" s="496"/>
      <c r="F51" s="222"/>
      <c r="G51" s="379"/>
      <c r="H51" s="223"/>
      <c r="I51" s="379"/>
      <c r="J51" s="223"/>
      <c r="K51" s="379"/>
      <c r="L51" s="223"/>
      <c r="M51" s="379"/>
      <c r="N51" s="223"/>
      <c r="O51" s="379"/>
      <c r="P51" s="223"/>
      <c r="Q51" s="379"/>
      <c r="R51" s="223"/>
      <c r="S51" s="379"/>
      <c r="T51" s="223"/>
      <c r="U51" s="379"/>
      <c r="V51" s="223"/>
      <c r="W51" s="379"/>
      <c r="X51" s="223"/>
      <c r="Y51" s="379"/>
      <c r="Z51" s="223"/>
      <c r="AA51" s="379"/>
      <c r="AB51" s="223"/>
      <c r="AC51" s="379"/>
      <c r="AD51" s="223"/>
      <c r="AE51" s="379"/>
      <c r="AF51" s="164">
        <v>45766.770035200003</v>
      </c>
      <c r="AG51" s="379"/>
      <c r="AH51" s="164">
        <v>48547.336545999999</v>
      </c>
      <c r="AI51" s="379"/>
      <c r="AJ51" s="164">
        <v>53592.696419200001</v>
      </c>
      <c r="AK51" s="379"/>
      <c r="AL51" s="164">
        <v>57492.645849799999</v>
      </c>
      <c r="AM51" s="379"/>
      <c r="AN51" s="164">
        <v>60368.589988500004</v>
      </c>
      <c r="AO51" s="379"/>
      <c r="AP51" s="164">
        <v>63405.562616700001</v>
      </c>
      <c r="AQ51" s="379"/>
      <c r="AR51" s="164">
        <v>65791.380193200006</v>
      </c>
      <c r="AS51" s="379"/>
      <c r="AT51" s="164">
        <v>70261.144291000004</v>
      </c>
      <c r="AU51" s="379"/>
      <c r="AV51" s="164">
        <v>73576.266872299995</v>
      </c>
      <c r="AW51" s="379"/>
      <c r="AX51" s="164">
        <v>74612.026502099994</v>
      </c>
      <c r="AY51" s="379"/>
      <c r="AZ51" s="164">
        <v>71365.448415699997</v>
      </c>
      <c r="BA51" s="379"/>
      <c r="BB51" s="164">
        <v>66770.808250400005</v>
      </c>
      <c r="BC51" s="379"/>
      <c r="BD51" s="164">
        <v>61769.268007500003</v>
      </c>
      <c r="BE51" s="379"/>
      <c r="BF51" s="164">
        <v>57155.829412400002</v>
      </c>
      <c r="BG51" s="379"/>
      <c r="BH51" s="223"/>
      <c r="BI51" s="184"/>
      <c r="CJ51" s="150"/>
      <c r="CK51" s="150"/>
      <c r="CL51" s="150"/>
      <c r="CM51" s="151" t="s">
        <v>904</v>
      </c>
      <c r="CN51" s="150" t="s">
        <v>1130</v>
      </c>
      <c r="CO51" s="150"/>
      <c r="CP51" s="150"/>
      <c r="CQ51" s="150"/>
      <c r="CR51" s="150"/>
      <c r="CS51" s="150"/>
      <c r="CT51" s="150"/>
    </row>
    <row r="52" spans="1:98" s="10" customFormat="1" ht="12.75" customHeight="1">
      <c r="A52" s="25"/>
      <c r="B52" s="87" t="str">
        <f>Parameters!Q51</f>
        <v>J</v>
      </c>
      <c r="C52" s="88"/>
      <c r="D52" s="498" t="str">
        <f>Parameters!S51</f>
        <v>Information and communication</v>
      </c>
      <c r="E52" s="499"/>
      <c r="F52" s="222"/>
      <c r="G52" s="379"/>
      <c r="H52" s="223"/>
      <c r="I52" s="379"/>
      <c r="J52" s="223"/>
      <c r="K52" s="379"/>
      <c r="L52" s="223"/>
      <c r="M52" s="379"/>
      <c r="N52" s="223"/>
      <c r="O52" s="379"/>
      <c r="P52" s="223"/>
      <c r="Q52" s="379"/>
      <c r="R52" s="223"/>
      <c r="S52" s="379"/>
      <c r="T52" s="223"/>
      <c r="U52" s="379"/>
      <c r="V52" s="223"/>
      <c r="W52" s="379"/>
      <c r="X52" s="223"/>
      <c r="Y52" s="379"/>
      <c r="Z52" s="223"/>
      <c r="AA52" s="379"/>
      <c r="AB52" s="223"/>
      <c r="AC52" s="379"/>
      <c r="AD52" s="223"/>
      <c r="AE52" s="379"/>
      <c r="AF52" s="164">
        <v>0</v>
      </c>
      <c r="AG52" s="379"/>
      <c r="AH52" s="164">
        <v>0</v>
      </c>
      <c r="AI52" s="379"/>
      <c r="AJ52" s="164">
        <v>0</v>
      </c>
      <c r="AK52" s="379"/>
      <c r="AL52" s="164">
        <v>0</v>
      </c>
      <c r="AM52" s="379"/>
      <c r="AN52" s="164">
        <v>0</v>
      </c>
      <c r="AO52" s="379"/>
      <c r="AP52" s="164">
        <v>0</v>
      </c>
      <c r="AQ52" s="379"/>
      <c r="AR52" s="164">
        <v>0</v>
      </c>
      <c r="AS52" s="379"/>
      <c r="AT52" s="164">
        <v>0</v>
      </c>
      <c r="AU52" s="379"/>
      <c r="AV52" s="164">
        <v>0</v>
      </c>
      <c r="AW52" s="379"/>
      <c r="AX52" s="164">
        <v>0</v>
      </c>
      <c r="AY52" s="379"/>
      <c r="AZ52" s="164">
        <v>0</v>
      </c>
      <c r="BA52" s="379"/>
      <c r="BB52" s="164">
        <v>0</v>
      </c>
      <c r="BC52" s="379"/>
      <c r="BD52" s="164">
        <v>0</v>
      </c>
      <c r="BE52" s="379"/>
      <c r="BF52" s="164">
        <v>0</v>
      </c>
      <c r="BG52" s="379"/>
      <c r="BH52" s="223"/>
      <c r="BI52" s="184"/>
      <c r="CJ52" s="150"/>
      <c r="CK52" s="150"/>
      <c r="CL52" s="150"/>
      <c r="CM52" s="153" t="s">
        <v>910</v>
      </c>
      <c r="CN52" s="150" t="s">
        <v>1130</v>
      </c>
      <c r="CO52" s="150"/>
      <c r="CP52" s="150"/>
      <c r="CQ52" s="150"/>
      <c r="CR52" s="150"/>
      <c r="CS52" s="150"/>
      <c r="CT52" s="150"/>
    </row>
    <row r="53" spans="1:98" s="10" customFormat="1" ht="27" customHeight="1">
      <c r="A53" s="26"/>
      <c r="B53" s="89" t="str">
        <f>Parameters!Q52</f>
        <v>J58-J60</v>
      </c>
      <c r="C53" s="90"/>
      <c r="D53" s="504" t="str">
        <f>Parameters!S52</f>
        <v>Publishing, motion picture, video, television programme production; sound recording, programming and broadcasting activities</v>
      </c>
      <c r="E53" s="506"/>
      <c r="F53" s="252"/>
      <c r="G53" s="380"/>
      <c r="H53" s="253"/>
      <c r="I53" s="380"/>
      <c r="J53" s="253"/>
      <c r="K53" s="380"/>
      <c r="L53" s="253"/>
      <c r="M53" s="380"/>
      <c r="N53" s="253"/>
      <c r="O53" s="380"/>
      <c r="P53" s="253"/>
      <c r="Q53" s="380"/>
      <c r="R53" s="253"/>
      <c r="S53" s="380"/>
      <c r="T53" s="253"/>
      <c r="U53" s="380"/>
      <c r="V53" s="253"/>
      <c r="W53" s="380"/>
      <c r="X53" s="253"/>
      <c r="Y53" s="380"/>
      <c r="Z53" s="253"/>
      <c r="AA53" s="380"/>
      <c r="AB53" s="253"/>
      <c r="AC53" s="380"/>
      <c r="AD53" s="253"/>
      <c r="AE53" s="380"/>
      <c r="AF53" s="253">
        <v>0</v>
      </c>
      <c r="AG53" s="380"/>
      <c r="AH53" s="253">
        <v>0</v>
      </c>
      <c r="AI53" s="380"/>
      <c r="AJ53" s="253">
        <v>0</v>
      </c>
      <c r="AK53" s="380"/>
      <c r="AL53" s="253">
        <v>0</v>
      </c>
      <c r="AM53" s="380"/>
      <c r="AN53" s="253">
        <v>0</v>
      </c>
      <c r="AO53" s="380"/>
      <c r="AP53" s="253">
        <v>0</v>
      </c>
      <c r="AQ53" s="380"/>
      <c r="AR53" s="253">
        <v>0</v>
      </c>
      <c r="AS53" s="380"/>
      <c r="AT53" s="253">
        <v>0</v>
      </c>
      <c r="AU53" s="380"/>
      <c r="AV53" s="253">
        <v>0</v>
      </c>
      <c r="AW53" s="380"/>
      <c r="AX53" s="253">
        <v>0</v>
      </c>
      <c r="AY53" s="380"/>
      <c r="AZ53" s="253">
        <v>0</v>
      </c>
      <c r="BA53" s="380"/>
      <c r="BB53" s="253">
        <v>0</v>
      </c>
      <c r="BC53" s="380"/>
      <c r="BD53" s="253">
        <v>0</v>
      </c>
      <c r="BE53" s="380"/>
      <c r="BF53" s="253">
        <v>0</v>
      </c>
      <c r="BG53" s="380"/>
      <c r="BH53" s="253"/>
      <c r="BI53" s="254"/>
      <c r="CJ53" s="150"/>
      <c r="CK53" s="150"/>
      <c r="CL53" s="150"/>
      <c r="CM53" s="151"/>
      <c r="CN53" s="150"/>
      <c r="CO53" s="150"/>
      <c r="CP53" s="150"/>
      <c r="CQ53" s="150"/>
      <c r="CR53" s="150"/>
      <c r="CS53" s="150"/>
      <c r="CT53" s="150"/>
    </row>
    <row r="54" spans="1:98" s="11" customFormat="1" ht="12.75" customHeight="1">
      <c r="A54" s="310"/>
      <c r="B54" s="308" t="str">
        <f>Parameters!Q53</f>
        <v>J58</v>
      </c>
      <c r="C54" s="309"/>
      <c r="D54" s="495" t="str">
        <f>Parameters!S53</f>
        <v>Publishing activities</v>
      </c>
      <c r="E54" s="510"/>
      <c r="F54" s="224"/>
      <c r="G54" s="379"/>
      <c r="H54" s="225"/>
      <c r="I54" s="379"/>
      <c r="J54" s="225"/>
      <c r="K54" s="379"/>
      <c r="L54" s="225"/>
      <c r="M54" s="379"/>
      <c r="N54" s="225"/>
      <c r="O54" s="379"/>
      <c r="P54" s="225"/>
      <c r="Q54" s="379"/>
      <c r="R54" s="225"/>
      <c r="S54" s="379"/>
      <c r="T54" s="225"/>
      <c r="U54" s="379"/>
      <c r="V54" s="225"/>
      <c r="W54" s="379"/>
      <c r="X54" s="225"/>
      <c r="Y54" s="379"/>
      <c r="Z54" s="225"/>
      <c r="AA54" s="379"/>
      <c r="AB54" s="225"/>
      <c r="AC54" s="379"/>
      <c r="AD54" s="225"/>
      <c r="AE54" s="379"/>
      <c r="AF54" s="165">
        <v>0</v>
      </c>
      <c r="AG54" s="379"/>
      <c r="AH54" s="165">
        <v>0</v>
      </c>
      <c r="AI54" s="379"/>
      <c r="AJ54" s="165">
        <v>0</v>
      </c>
      <c r="AK54" s="379"/>
      <c r="AL54" s="165">
        <v>0</v>
      </c>
      <c r="AM54" s="379"/>
      <c r="AN54" s="165">
        <v>0</v>
      </c>
      <c r="AO54" s="379"/>
      <c r="AP54" s="165">
        <v>0</v>
      </c>
      <c r="AQ54" s="379"/>
      <c r="AR54" s="165">
        <v>0</v>
      </c>
      <c r="AS54" s="379"/>
      <c r="AT54" s="165">
        <v>0</v>
      </c>
      <c r="AU54" s="379"/>
      <c r="AV54" s="165">
        <v>0</v>
      </c>
      <c r="AW54" s="379"/>
      <c r="AX54" s="165">
        <v>0</v>
      </c>
      <c r="AY54" s="379"/>
      <c r="AZ54" s="165">
        <v>0</v>
      </c>
      <c r="BA54" s="379"/>
      <c r="BB54" s="165">
        <v>0</v>
      </c>
      <c r="BC54" s="379"/>
      <c r="BD54" s="165">
        <v>0</v>
      </c>
      <c r="BE54" s="379"/>
      <c r="BF54" s="165">
        <v>0</v>
      </c>
      <c r="BG54" s="379"/>
      <c r="BH54" s="225"/>
      <c r="BI54" s="184"/>
      <c r="CJ54" s="150"/>
      <c r="CK54" s="150"/>
      <c r="CL54" s="150"/>
      <c r="CM54" s="151" t="s">
        <v>926</v>
      </c>
      <c r="CN54" s="150" t="s">
        <v>1130</v>
      </c>
      <c r="CO54" s="151"/>
      <c r="CP54" s="150"/>
      <c r="CQ54" s="150"/>
      <c r="CR54" s="150"/>
      <c r="CS54" s="150"/>
      <c r="CT54" s="150"/>
    </row>
    <row r="55" spans="1:98" s="11" customFormat="1">
      <c r="A55" s="310"/>
      <c r="B55" s="308" t="str">
        <f>Parameters!Q54</f>
        <v>J59_J60</v>
      </c>
      <c r="C55" s="309"/>
      <c r="D55" s="495" t="str">
        <f>Parameters!S54</f>
        <v>Motion picture, video, television programme production; programming and broadcasting activities</v>
      </c>
      <c r="E55" s="510"/>
      <c r="F55" s="224"/>
      <c r="G55" s="379"/>
      <c r="H55" s="225"/>
      <c r="I55" s="379"/>
      <c r="J55" s="225"/>
      <c r="K55" s="379"/>
      <c r="L55" s="225"/>
      <c r="M55" s="379"/>
      <c r="N55" s="225"/>
      <c r="O55" s="379"/>
      <c r="P55" s="225"/>
      <c r="Q55" s="379"/>
      <c r="R55" s="225"/>
      <c r="S55" s="379"/>
      <c r="T55" s="225"/>
      <c r="U55" s="379"/>
      <c r="V55" s="225"/>
      <c r="W55" s="379"/>
      <c r="X55" s="225"/>
      <c r="Y55" s="379"/>
      <c r="Z55" s="225"/>
      <c r="AA55" s="379"/>
      <c r="AB55" s="225"/>
      <c r="AC55" s="379"/>
      <c r="AD55" s="225"/>
      <c r="AE55" s="379"/>
      <c r="AF55" s="165">
        <v>0</v>
      </c>
      <c r="AG55" s="379"/>
      <c r="AH55" s="165">
        <v>0</v>
      </c>
      <c r="AI55" s="379"/>
      <c r="AJ55" s="165">
        <v>0</v>
      </c>
      <c r="AK55" s="379"/>
      <c r="AL55" s="165">
        <v>0</v>
      </c>
      <c r="AM55" s="379"/>
      <c r="AN55" s="165">
        <v>0</v>
      </c>
      <c r="AO55" s="379"/>
      <c r="AP55" s="165">
        <v>0</v>
      </c>
      <c r="AQ55" s="379"/>
      <c r="AR55" s="165">
        <v>0</v>
      </c>
      <c r="AS55" s="379"/>
      <c r="AT55" s="165">
        <v>0</v>
      </c>
      <c r="AU55" s="379"/>
      <c r="AV55" s="165">
        <v>0</v>
      </c>
      <c r="AW55" s="379"/>
      <c r="AX55" s="165">
        <v>0</v>
      </c>
      <c r="AY55" s="379"/>
      <c r="AZ55" s="165">
        <v>0</v>
      </c>
      <c r="BA55" s="379"/>
      <c r="BB55" s="165">
        <v>0</v>
      </c>
      <c r="BC55" s="379"/>
      <c r="BD55" s="165">
        <v>0</v>
      </c>
      <c r="BE55" s="379"/>
      <c r="BF55" s="165">
        <v>0</v>
      </c>
      <c r="BG55" s="379"/>
      <c r="BH55" s="225"/>
      <c r="BI55" s="184"/>
      <c r="CJ55" s="150"/>
      <c r="CK55" s="150"/>
      <c r="CL55" s="150"/>
      <c r="CM55" s="151" t="s">
        <v>1139</v>
      </c>
      <c r="CN55" s="150" t="s">
        <v>1130</v>
      </c>
      <c r="CO55" s="150"/>
      <c r="CP55" s="150"/>
      <c r="CQ55" s="150"/>
      <c r="CR55" s="150"/>
      <c r="CS55" s="150"/>
      <c r="CT55" s="150"/>
    </row>
    <row r="56" spans="1:98" s="11" customFormat="1" ht="12.75" customHeight="1">
      <c r="A56" s="26"/>
      <c r="B56" s="89" t="str">
        <f>Parameters!Q55</f>
        <v>J61</v>
      </c>
      <c r="C56" s="90"/>
      <c r="D56" s="504" t="str">
        <f>Parameters!S55</f>
        <v>Telecommunications</v>
      </c>
      <c r="E56" s="505"/>
      <c r="F56" s="226"/>
      <c r="G56" s="379"/>
      <c r="H56" s="227"/>
      <c r="I56" s="379"/>
      <c r="J56" s="227"/>
      <c r="K56" s="379"/>
      <c r="L56" s="227"/>
      <c r="M56" s="379"/>
      <c r="N56" s="227"/>
      <c r="O56" s="379"/>
      <c r="P56" s="227"/>
      <c r="Q56" s="379"/>
      <c r="R56" s="227"/>
      <c r="S56" s="379"/>
      <c r="T56" s="227"/>
      <c r="U56" s="379"/>
      <c r="V56" s="227"/>
      <c r="W56" s="379"/>
      <c r="X56" s="227"/>
      <c r="Y56" s="379"/>
      <c r="Z56" s="227"/>
      <c r="AA56" s="379"/>
      <c r="AB56" s="227"/>
      <c r="AC56" s="379"/>
      <c r="AD56" s="227"/>
      <c r="AE56" s="379"/>
      <c r="AF56" s="166">
        <v>0</v>
      </c>
      <c r="AG56" s="379" t="s">
        <v>420</v>
      </c>
      <c r="AH56" s="166">
        <v>0</v>
      </c>
      <c r="AI56" s="379" t="s">
        <v>420</v>
      </c>
      <c r="AJ56" s="166">
        <v>0</v>
      </c>
      <c r="AK56" s="379" t="s">
        <v>420</v>
      </c>
      <c r="AL56" s="166">
        <v>0</v>
      </c>
      <c r="AM56" s="379" t="s">
        <v>420</v>
      </c>
      <c r="AN56" s="166">
        <v>0</v>
      </c>
      <c r="AO56" s="379" t="s">
        <v>420</v>
      </c>
      <c r="AP56" s="166">
        <v>0</v>
      </c>
      <c r="AQ56" s="379" t="s">
        <v>420</v>
      </c>
      <c r="AR56" s="166">
        <v>0</v>
      </c>
      <c r="AS56" s="379" t="s">
        <v>420</v>
      </c>
      <c r="AT56" s="166">
        <v>0</v>
      </c>
      <c r="AU56" s="379" t="s">
        <v>420</v>
      </c>
      <c r="AV56" s="166">
        <v>0</v>
      </c>
      <c r="AW56" s="379" t="s">
        <v>420</v>
      </c>
      <c r="AX56" s="166">
        <v>0</v>
      </c>
      <c r="AY56" s="379" t="s">
        <v>420</v>
      </c>
      <c r="AZ56" s="166">
        <v>0</v>
      </c>
      <c r="BA56" s="379" t="s">
        <v>420</v>
      </c>
      <c r="BB56" s="166">
        <v>0</v>
      </c>
      <c r="BC56" s="379" t="s">
        <v>420</v>
      </c>
      <c r="BD56" s="166">
        <v>0</v>
      </c>
      <c r="BE56" s="379" t="s">
        <v>420</v>
      </c>
      <c r="BF56" s="166">
        <v>0</v>
      </c>
      <c r="BG56" s="379" t="s">
        <v>420</v>
      </c>
      <c r="BH56" s="227"/>
      <c r="BI56" s="184"/>
      <c r="CJ56" s="150"/>
      <c r="CK56" s="150"/>
      <c r="CL56" s="150"/>
      <c r="CM56" s="151" t="s">
        <v>939</v>
      </c>
      <c r="CN56" s="150" t="s">
        <v>1130</v>
      </c>
      <c r="CO56" s="150"/>
      <c r="CP56" s="150"/>
      <c r="CQ56" s="150"/>
      <c r="CR56" s="150"/>
      <c r="CS56" s="150"/>
      <c r="CT56" s="150"/>
    </row>
    <row r="57" spans="1:98" s="10" customFormat="1" ht="12.75" customHeight="1">
      <c r="A57" s="26"/>
      <c r="B57" s="89" t="str">
        <f>Parameters!Q56</f>
        <v>J62_J63</v>
      </c>
      <c r="C57" s="90"/>
      <c r="D57" s="504" t="str">
        <f>Parameters!S56</f>
        <v>Computer programming, consultancy, and information service activities</v>
      </c>
      <c r="E57" s="505"/>
      <c r="F57" s="226"/>
      <c r="G57" s="379"/>
      <c r="H57" s="227"/>
      <c r="I57" s="379"/>
      <c r="J57" s="227"/>
      <c r="K57" s="379"/>
      <c r="L57" s="227"/>
      <c r="M57" s="379"/>
      <c r="N57" s="227"/>
      <c r="O57" s="379"/>
      <c r="P57" s="227"/>
      <c r="Q57" s="379"/>
      <c r="R57" s="227"/>
      <c r="S57" s="379"/>
      <c r="T57" s="227"/>
      <c r="U57" s="379"/>
      <c r="V57" s="227"/>
      <c r="W57" s="379"/>
      <c r="X57" s="227"/>
      <c r="Y57" s="379"/>
      <c r="Z57" s="227"/>
      <c r="AA57" s="379"/>
      <c r="AB57" s="227"/>
      <c r="AC57" s="379"/>
      <c r="AD57" s="227"/>
      <c r="AE57" s="379"/>
      <c r="AF57" s="166">
        <v>0</v>
      </c>
      <c r="AG57" s="379"/>
      <c r="AH57" s="166">
        <v>0</v>
      </c>
      <c r="AI57" s="379"/>
      <c r="AJ57" s="166">
        <v>0</v>
      </c>
      <c r="AK57" s="379"/>
      <c r="AL57" s="166">
        <v>0</v>
      </c>
      <c r="AM57" s="379"/>
      <c r="AN57" s="166">
        <v>0</v>
      </c>
      <c r="AO57" s="379"/>
      <c r="AP57" s="166">
        <v>0</v>
      </c>
      <c r="AQ57" s="379"/>
      <c r="AR57" s="166">
        <v>0</v>
      </c>
      <c r="AS57" s="379"/>
      <c r="AT57" s="166">
        <v>0</v>
      </c>
      <c r="AU57" s="379"/>
      <c r="AV57" s="166">
        <v>0</v>
      </c>
      <c r="AW57" s="379"/>
      <c r="AX57" s="166">
        <v>0</v>
      </c>
      <c r="AY57" s="379"/>
      <c r="AZ57" s="166">
        <v>0</v>
      </c>
      <c r="BA57" s="379"/>
      <c r="BB57" s="166">
        <v>0</v>
      </c>
      <c r="BC57" s="379"/>
      <c r="BD57" s="166">
        <v>0</v>
      </c>
      <c r="BE57" s="379"/>
      <c r="BF57" s="166">
        <v>0</v>
      </c>
      <c r="BG57" s="379"/>
      <c r="BH57" s="227"/>
      <c r="BI57" s="184"/>
      <c r="CJ57" s="158"/>
      <c r="CK57" s="150"/>
      <c r="CL57" s="158"/>
      <c r="CM57" s="151" t="s">
        <v>1140</v>
      </c>
      <c r="CN57" s="150" t="s">
        <v>1130</v>
      </c>
      <c r="CO57" s="150"/>
      <c r="CP57" s="158"/>
      <c r="CQ57" s="158"/>
      <c r="CR57" s="158"/>
      <c r="CS57" s="158"/>
      <c r="CT57" s="158"/>
    </row>
    <row r="58" spans="1:98" s="10" customFormat="1" ht="12.75" customHeight="1">
      <c r="A58" s="25"/>
      <c r="B58" s="87" t="str">
        <f>Parameters!Q57</f>
        <v>K</v>
      </c>
      <c r="C58" s="88"/>
      <c r="D58" s="498" t="str">
        <f>Parameters!S57</f>
        <v>Financial and insurance activities</v>
      </c>
      <c r="E58" s="499"/>
      <c r="F58" s="222"/>
      <c r="G58" s="379"/>
      <c r="H58" s="223"/>
      <c r="I58" s="379"/>
      <c r="J58" s="223"/>
      <c r="K58" s="379"/>
      <c r="L58" s="223"/>
      <c r="M58" s="379"/>
      <c r="N58" s="223"/>
      <c r="O58" s="379"/>
      <c r="P58" s="223"/>
      <c r="Q58" s="379"/>
      <c r="R58" s="223"/>
      <c r="S58" s="379"/>
      <c r="T58" s="223"/>
      <c r="U58" s="379"/>
      <c r="V58" s="223"/>
      <c r="W58" s="379"/>
      <c r="X58" s="223"/>
      <c r="Y58" s="379"/>
      <c r="Z58" s="223"/>
      <c r="AA58" s="379"/>
      <c r="AB58" s="223"/>
      <c r="AC58" s="379"/>
      <c r="AD58" s="223"/>
      <c r="AE58" s="379"/>
      <c r="AF58" s="164">
        <v>379.30686129999998</v>
      </c>
      <c r="AG58" s="379"/>
      <c r="AH58" s="164">
        <v>352.65092060000001</v>
      </c>
      <c r="AI58" s="379"/>
      <c r="AJ58" s="164">
        <v>335.7647642</v>
      </c>
      <c r="AK58" s="379"/>
      <c r="AL58" s="164">
        <v>302.55040459999998</v>
      </c>
      <c r="AM58" s="379"/>
      <c r="AN58" s="164">
        <v>270.99076289999999</v>
      </c>
      <c r="AO58" s="379"/>
      <c r="AP58" s="164">
        <v>218.95763529999999</v>
      </c>
      <c r="AQ58" s="379"/>
      <c r="AR58" s="164">
        <v>168.6913797</v>
      </c>
      <c r="AS58" s="379"/>
      <c r="AT58" s="164">
        <v>157.33409879999999</v>
      </c>
      <c r="AU58" s="379"/>
      <c r="AV58" s="164">
        <v>122.3049324</v>
      </c>
      <c r="AW58" s="379"/>
      <c r="AX58" s="164">
        <v>38.956130000000002</v>
      </c>
      <c r="AY58" s="379"/>
      <c r="AZ58" s="164">
        <v>37.364849999999997</v>
      </c>
      <c r="BA58" s="379"/>
      <c r="BB58" s="164">
        <v>36.437878699999999</v>
      </c>
      <c r="BC58" s="379"/>
      <c r="BD58" s="164">
        <v>0.65855620000000004</v>
      </c>
      <c r="BE58" s="379"/>
      <c r="BF58" s="164">
        <v>0.80360120000000002</v>
      </c>
      <c r="BG58" s="379"/>
      <c r="BH58" s="223"/>
      <c r="BI58" s="184"/>
      <c r="CJ58" s="150"/>
      <c r="CK58" s="150"/>
      <c r="CL58" s="150"/>
      <c r="CM58" s="151" t="s">
        <v>951</v>
      </c>
      <c r="CN58" s="150" t="s">
        <v>1130</v>
      </c>
      <c r="CO58" s="150"/>
      <c r="CP58" s="150"/>
      <c r="CQ58" s="150"/>
      <c r="CR58" s="150"/>
      <c r="CS58" s="150"/>
      <c r="CT58" s="150"/>
    </row>
    <row r="59" spans="1:98" s="11" customFormat="1" ht="12.75" customHeight="1">
      <c r="A59" s="310"/>
      <c r="B59" s="308" t="str">
        <f>Parameters!Q58</f>
        <v>K64</v>
      </c>
      <c r="C59" s="309"/>
      <c r="D59" s="495" t="str">
        <f>Parameters!S58</f>
        <v>Financial service activities, except insurance and pension funding</v>
      </c>
      <c r="E59" s="496"/>
      <c r="F59" s="224"/>
      <c r="G59" s="379"/>
      <c r="H59" s="225"/>
      <c r="I59" s="379"/>
      <c r="J59" s="225"/>
      <c r="K59" s="379"/>
      <c r="L59" s="225"/>
      <c r="M59" s="379"/>
      <c r="N59" s="225"/>
      <c r="O59" s="379"/>
      <c r="P59" s="225"/>
      <c r="Q59" s="379"/>
      <c r="R59" s="225"/>
      <c r="S59" s="379"/>
      <c r="T59" s="225"/>
      <c r="U59" s="379"/>
      <c r="V59" s="225"/>
      <c r="W59" s="379"/>
      <c r="X59" s="225"/>
      <c r="Y59" s="379"/>
      <c r="Z59" s="225"/>
      <c r="AA59" s="379"/>
      <c r="AB59" s="225"/>
      <c r="AC59" s="379"/>
      <c r="AD59" s="225"/>
      <c r="AE59" s="379"/>
      <c r="AF59" s="165">
        <v>0</v>
      </c>
      <c r="AG59" s="379"/>
      <c r="AH59" s="165">
        <v>0</v>
      </c>
      <c r="AI59" s="379"/>
      <c r="AJ59" s="165">
        <v>0</v>
      </c>
      <c r="AK59" s="379"/>
      <c r="AL59" s="165">
        <v>0</v>
      </c>
      <c r="AM59" s="379"/>
      <c r="AN59" s="165">
        <v>0</v>
      </c>
      <c r="AO59" s="379"/>
      <c r="AP59" s="165">
        <v>0</v>
      </c>
      <c r="AQ59" s="379"/>
      <c r="AR59" s="165">
        <v>0</v>
      </c>
      <c r="AS59" s="379"/>
      <c r="AT59" s="165">
        <v>0</v>
      </c>
      <c r="AU59" s="379"/>
      <c r="AV59" s="165">
        <v>0</v>
      </c>
      <c r="AW59" s="379"/>
      <c r="AX59" s="165">
        <v>0</v>
      </c>
      <c r="AY59" s="379"/>
      <c r="AZ59" s="165">
        <v>0</v>
      </c>
      <c r="BA59" s="379"/>
      <c r="BB59" s="165">
        <v>0</v>
      </c>
      <c r="BC59" s="379"/>
      <c r="BD59" s="165">
        <v>0</v>
      </c>
      <c r="BE59" s="379"/>
      <c r="BF59" s="165">
        <v>0</v>
      </c>
      <c r="BG59" s="379"/>
      <c r="BH59" s="225"/>
      <c r="BI59" s="184"/>
      <c r="CJ59" s="150"/>
      <c r="CK59" s="150"/>
      <c r="CL59" s="150"/>
      <c r="CM59" s="151" t="s">
        <v>957</v>
      </c>
      <c r="CN59" s="150" t="s">
        <v>1130</v>
      </c>
      <c r="CO59" s="150"/>
      <c r="CP59" s="150"/>
      <c r="CQ59" s="150"/>
      <c r="CR59" s="150"/>
      <c r="CS59" s="150"/>
      <c r="CT59" s="150"/>
    </row>
    <row r="60" spans="1:98" s="11" customFormat="1" ht="12.75" customHeight="1">
      <c r="A60" s="310"/>
      <c r="B60" s="308" t="str">
        <f>Parameters!Q59</f>
        <v>K65</v>
      </c>
      <c r="C60" s="309"/>
      <c r="D60" s="495" t="str">
        <f>Parameters!S59</f>
        <v>Insurance, reinsurance and pension funding, except compulsory social security</v>
      </c>
      <c r="E60" s="496"/>
      <c r="F60" s="224"/>
      <c r="G60" s="379"/>
      <c r="H60" s="225"/>
      <c r="I60" s="379"/>
      <c r="J60" s="225"/>
      <c r="K60" s="379"/>
      <c r="L60" s="225"/>
      <c r="M60" s="379"/>
      <c r="N60" s="225"/>
      <c r="O60" s="379"/>
      <c r="P60" s="225"/>
      <c r="Q60" s="379"/>
      <c r="R60" s="225"/>
      <c r="S60" s="379"/>
      <c r="T60" s="225"/>
      <c r="U60" s="379"/>
      <c r="V60" s="225"/>
      <c r="W60" s="379"/>
      <c r="X60" s="225"/>
      <c r="Y60" s="379"/>
      <c r="Z60" s="225"/>
      <c r="AA60" s="379"/>
      <c r="AB60" s="225"/>
      <c r="AC60" s="379"/>
      <c r="AD60" s="225"/>
      <c r="AE60" s="379"/>
      <c r="AF60" s="165">
        <v>0</v>
      </c>
      <c r="AG60" s="379"/>
      <c r="AH60" s="165">
        <v>0</v>
      </c>
      <c r="AI60" s="379"/>
      <c r="AJ60" s="165">
        <v>0</v>
      </c>
      <c r="AK60" s="379"/>
      <c r="AL60" s="165">
        <v>0</v>
      </c>
      <c r="AM60" s="379"/>
      <c r="AN60" s="165">
        <v>0</v>
      </c>
      <c r="AO60" s="379"/>
      <c r="AP60" s="165">
        <v>0</v>
      </c>
      <c r="AQ60" s="379"/>
      <c r="AR60" s="165">
        <v>0</v>
      </c>
      <c r="AS60" s="379"/>
      <c r="AT60" s="165">
        <v>0</v>
      </c>
      <c r="AU60" s="379"/>
      <c r="AV60" s="165">
        <v>0</v>
      </c>
      <c r="AW60" s="379"/>
      <c r="AX60" s="165">
        <v>0</v>
      </c>
      <c r="AY60" s="379"/>
      <c r="AZ60" s="165">
        <v>0</v>
      </c>
      <c r="BA60" s="379"/>
      <c r="BB60" s="165">
        <v>0</v>
      </c>
      <c r="BC60" s="379"/>
      <c r="BD60" s="165">
        <v>0</v>
      </c>
      <c r="BE60" s="379"/>
      <c r="BF60" s="165">
        <v>0</v>
      </c>
      <c r="BG60" s="379"/>
      <c r="BH60" s="225"/>
      <c r="BI60" s="184"/>
      <c r="CJ60" s="150"/>
      <c r="CK60" s="150"/>
      <c r="CL60" s="150"/>
      <c r="CM60" s="151" t="s">
        <v>963</v>
      </c>
      <c r="CN60" s="150" t="s">
        <v>1130</v>
      </c>
      <c r="CO60" s="150"/>
      <c r="CP60" s="150"/>
      <c r="CQ60" s="150"/>
      <c r="CR60" s="150"/>
      <c r="CS60" s="150"/>
      <c r="CT60" s="150"/>
    </row>
    <row r="61" spans="1:98" s="11" customFormat="1" ht="12.75" customHeight="1">
      <c r="A61" s="310"/>
      <c r="B61" s="308" t="str">
        <f>Parameters!Q60</f>
        <v>K66</v>
      </c>
      <c r="C61" s="309"/>
      <c r="D61" s="495" t="str">
        <f>Parameters!S60</f>
        <v>Activities auxiliary to financial services and insurance activities</v>
      </c>
      <c r="E61" s="510"/>
      <c r="F61" s="224"/>
      <c r="G61" s="379"/>
      <c r="H61" s="225"/>
      <c r="I61" s="379"/>
      <c r="J61" s="225"/>
      <c r="K61" s="379"/>
      <c r="L61" s="225"/>
      <c r="M61" s="379"/>
      <c r="N61" s="225"/>
      <c r="O61" s="379"/>
      <c r="P61" s="225"/>
      <c r="Q61" s="379"/>
      <c r="R61" s="225"/>
      <c r="S61" s="379"/>
      <c r="T61" s="225"/>
      <c r="U61" s="379"/>
      <c r="V61" s="225"/>
      <c r="W61" s="379"/>
      <c r="X61" s="225"/>
      <c r="Y61" s="379"/>
      <c r="Z61" s="225"/>
      <c r="AA61" s="379"/>
      <c r="AB61" s="225"/>
      <c r="AC61" s="379"/>
      <c r="AD61" s="225"/>
      <c r="AE61" s="379"/>
      <c r="AF61" s="165">
        <v>379.30686129999998</v>
      </c>
      <c r="AG61" s="379"/>
      <c r="AH61" s="165">
        <v>352.65092060000001</v>
      </c>
      <c r="AI61" s="379"/>
      <c r="AJ61" s="165">
        <v>335.7647642</v>
      </c>
      <c r="AK61" s="379"/>
      <c r="AL61" s="165">
        <v>302.55040459999998</v>
      </c>
      <c r="AM61" s="379"/>
      <c r="AN61" s="165">
        <v>270.99076289999999</v>
      </c>
      <c r="AO61" s="379"/>
      <c r="AP61" s="165">
        <v>218.95763529999999</v>
      </c>
      <c r="AQ61" s="379"/>
      <c r="AR61" s="165">
        <v>168.6913797</v>
      </c>
      <c r="AS61" s="379"/>
      <c r="AT61" s="165">
        <v>157.33409879999999</v>
      </c>
      <c r="AU61" s="379"/>
      <c r="AV61" s="165">
        <v>122.3049324</v>
      </c>
      <c r="AW61" s="379"/>
      <c r="AX61" s="165">
        <v>38.956130000000002</v>
      </c>
      <c r="AY61" s="379"/>
      <c r="AZ61" s="165">
        <v>37.364849999999997</v>
      </c>
      <c r="BA61" s="379"/>
      <c r="BB61" s="165">
        <v>36.437878699999999</v>
      </c>
      <c r="BC61" s="379"/>
      <c r="BD61" s="165">
        <v>0.65855620000000004</v>
      </c>
      <c r="BE61" s="379"/>
      <c r="BF61" s="165">
        <v>0.80360120000000002</v>
      </c>
      <c r="BG61" s="379"/>
      <c r="BH61" s="225"/>
      <c r="BI61" s="184"/>
      <c r="CJ61" s="150"/>
      <c r="CK61" s="150"/>
      <c r="CL61" s="150"/>
      <c r="CM61" s="151" t="s">
        <v>969</v>
      </c>
      <c r="CN61" s="150" t="s">
        <v>1130</v>
      </c>
      <c r="CO61" s="150"/>
      <c r="CP61" s="150"/>
      <c r="CQ61" s="150"/>
      <c r="CR61" s="150"/>
      <c r="CS61" s="150"/>
      <c r="CT61" s="150"/>
    </row>
    <row r="62" spans="1:98" s="11" customFormat="1" ht="12.75" customHeight="1">
      <c r="A62" s="25"/>
      <c r="B62" s="87" t="str">
        <f>Parameters!Q61</f>
        <v>L</v>
      </c>
      <c r="C62" s="88"/>
      <c r="D62" s="498" t="str">
        <f>Parameters!S61</f>
        <v>Real estate activities</v>
      </c>
      <c r="E62" s="507"/>
      <c r="F62" s="222"/>
      <c r="G62" s="379"/>
      <c r="H62" s="223"/>
      <c r="I62" s="379"/>
      <c r="J62" s="223"/>
      <c r="K62" s="379"/>
      <c r="L62" s="223"/>
      <c r="M62" s="379"/>
      <c r="N62" s="223"/>
      <c r="O62" s="379"/>
      <c r="P62" s="223"/>
      <c r="Q62" s="379"/>
      <c r="R62" s="223"/>
      <c r="S62" s="379"/>
      <c r="T62" s="223"/>
      <c r="U62" s="379"/>
      <c r="V62" s="223"/>
      <c r="W62" s="379"/>
      <c r="X62" s="223"/>
      <c r="Y62" s="379"/>
      <c r="Z62" s="223"/>
      <c r="AA62" s="379"/>
      <c r="AB62" s="223"/>
      <c r="AC62" s="379"/>
      <c r="AD62" s="223"/>
      <c r="AE62" s="379"/>
      <c r="AF62" s="164">
        <v>9007.0026536999994</v>
      </c>
      <c r="AG62" s="379"/>
      <c r="AH62" s="164">
        <v>10385.721268699999</v>
      </c>
      <c r="AI62" s="379"/>
      <c r="AJ62" s="164">
        <v>12217.5832864</v>
      </c>
      <c r="AK62" s="379"/>
      <c r="AL62" s="164">
        <v>13939.7228559</v>
      </c>
      <c r="AM62" s="379"/>
      <c r="AN62" s="164">
        <v>15244.070186499999</v>
      </c>
      <c r="AO62" s="379"/>
      <c r="AP62" s="164">
        <v>16441.041663</v>
      </c>
      <c r="AQ62" s="379"/>
      <c r="AR62" s="164">
        <v>17442.245509299999</v>
      </c>
      <c r="AS62" s="379"/>
      <c r="AT62" s="164">
        <v>18393.3603888</v>
      </c>
      <c r="AU62" s="379"/>
      <c r="AV62" s="164">
        <v>18675.867870800001</v>
      </c>
      <c r="AW62" s="379"/>
      <c r="AX62" s="164">
        <v>18534.310315999999</v>
      </c>
      <c r="AY62" s="379"/>
      <c r="AZ62" s="164">
        <v>18164.423724699998</v>
      </c>
      <c r="BA62" s="379"/>
      <c r="BB62" s="164">
        <v>17465.391893700002</v>
      </c>
      <c r="BC62" s="379"/>
      <c r="BD62" s="164">
        <v>16557.180806699998</v>
      </c>
      <c r="BE62" s="379"/>
      <c r="BF62" s="164">
        <v>15642.3293799</v>
      </c>
      <c r="BG62" s="379"/>
      <c r="BH62" s="223"/>
      <c r="BI62" s="184"/>
      <c r="CJ62" s="150"/>
      <c r="CK62" s="150"/>
      <c r="CL62" s="150"/>
      <c r="CM62" s="151" t="s">
        <v>974</v>
      </c>
      <c r="CN62" s="150" t="s">
        <v>1130</v>
      </c>
      <c r="CO62" s="150"/>
      <c r="CP62" s="150"/>
      <c r="CQ62" s="150"/>
      <c r="CR62" s="150"/>
      <c r="CS62" s="150"/>
      <c r="CT62" s="150"/>
    </row>
    <row r="63" spans="1:98" s="11" customFormat="1" ht="12.75" customHeight="1">
      <c r="A63" s="310"/>
      <c r="B63" s="308" t="str">
        <f>Parameters!Q62</f>
        <v>L68A</v>
      </c>
      <c r="C63" s="309"/>
      <c r="D63" s="508" t="str">
        <f>Parameters!S62</f>
        <v>Imputed rents of owner-occupied dwellings</v>
      </c>
      <c r="E63" s="509"/>
      <c r="F63" s="229"/>
      <c r="G63" s="379"/>
      <c r="H63" s="230"/>
      <c r="I63" s="379"/>
      <c r="J63" s="230"/>
      <c r="K63" s="379"/>
      <c r="L63" s="230"/>
      <c r="M63" s="379"/>
      <c r="N63" s="230"/>
      <c r="O63" s="379"/>
      <c r="P63" s="230"/>
      <c r="Q63" s="379"/>
      <c r="R63" s="230"/>
      <c r="S63" s="379"/>
      <c r="T63" s="230"/>
      <c r="U63" s="379"/>
      <c r="V63" s="230"/>
      <c r="W63" s="379"/>
      <c r="X63" s="230"/>
      <c r="Y63" s="379"/>
      <c r="Z63" s="230"/>
      <c r="AA63" s="379"/>
      <c r="AB63" s="230"/>
      <c r="AC63" s="379"/>
      <c r="AD63" s="230"/>
      <c r="AE63" s="379"/>
      <c r="AF63" s="168">
        <v>9007.0026536999994</v>
      </c>
      <c r="AG63" s="379"/>
      <c r="AH63" s="168">
        <v>10385.721268699999</v>
      </c>
      <c r="AI63" s="379"/>
      <c r="AJ63" s="168">
        <v>12217.5832864</v>
      </c>
      <c r="AK63" s="379"/>
      <c r="AL63" s="168">
        <v>13939.7228559</v>
      </c>
      <c r="AM63" s="379"/>
      <c r="AN63" s="168">
        <v>15244.070186499999</v>
      </c>
      <c r="AO63" s="379"/>
      <c r="AP63" s="168">
        <v>16441.041663</v>
      </c>
      <c r="AQ63" s="379"/>
      <c r="AR63" s="168">
        <v>17442.245509299999</v>
      </c>
      <c r="AS63" s="379"/>
      <c r="AT63" s="168">
        <v>18393.3603888</v>
      </c>
      <c r="AU63" s="379"/>
      <c r="AV63" s="168">
        <v>18675.867870800001</v>
      </c>
      <c r="AW63" s="379"/>
      <c r="AX63" s="168">
        <v>18534.310315999999</v>
      </c>
      <c r="AY63" s="379"/>
      <c r="AZ63" s="168">
        <v>18164.423724699998</v>
      </c>
      <c r="BA63" s="379"/>
      <c r="BB63" s="168">
        <v>17465.391893700002</v>
      </c>
      <c r="BC63" s="379"/>
      <c r="BD63" s="168">
        <v>16557.180806699998</v>
      </c>
      <c r="BE63" s="379"/>
      <c r="BF63" s="168">
        <v>15642.3293799</v>
      </c>
      <c r="BG63" s="379"/>
      <c r="BH63" s="230"/>
      <c r="BI63" s="184"/>
      <c r="CJ63" s="150"/>
      <c r="CK63" s="150"/>
      <c r="CL63" s="150"/>
      <c r="CM63" s="151" t="s">
        <v>981</v>
      </c>
      <c r="CN63" s="150" t="s">
        <v>1130</v>
      </c>
      <c r="CO63" s="150"/>
      <c r="CP63" s="150"/>
      <c r="CQ63" s="150"/>
      <c r="CR63" s="150"/>
      <c r="CS63" s="150"/>
      <c r="CT63" s="150"/>
    </row>
    <row r="64" spans="1:98" s="11" customFormat="1" ht="12.75" customHeight="1">
      <c r="A64" s="25"/>
      <c r="B64" s="87" t="str">
        <f>Parameters!Q63</f>
        <v>M</v>
      </c>
      <c r="C64" s="88"/>
      <c r="D64" s="498" t="str">
        <f>Parameters!S63</f>
        <v>Professional, scientific and technical activities</v>
      </c>
      <c r="E64" s="499"/>
      <c r="F64" s="222"/>
      <c r="G64" s="379"/>
      <c r="H64" s="223"/>
      <c r="I64" s="379"/>
      <c r="J64" s="223"/>
      <c r="K64" s="379"/>
      <c r="L64" s="223"/>
      <c r="M64" s="379"/>
      <c r="N64" s="223"/>
      <c r="O64" s="379"/>
      <c r="P64" s="223"/>
      <c r="Q64" s="379"/>
      <c r="R64" s="223"/>
      <c r="S64" s="379"/>
      <c r="T64" s="223"/>
      <c r="U64" s="379"/>
      <c r="V64" s="223"/>
      <c r="W64" s="379"/>
      <c r="X64" s="223"/>
      <c r="Y64" s="379"/>
      <c r="Z64" s="223"/>
      <c r="AA64" s="379"/>
      <c r="AB64" s="223"/>
      <c r="AC64" s="379"/>
      <c r="AD64" s="223"/>
      <c r="AE64" s="379"/>
      <c r="AF64" s="164">
        <v>0</v>
      </c>
      <c r="AG64" s="379"/>
      <c r="AH64" s="164">
        <v>0</v>
      </c>
      <c r="AI64" s="379"/>
      <c r="AJ64" s="164">
        <v>0</v>
      </c>
      <c r="AK64" s="379"/>
      <c r="AL64" s="164">
        <v>0</v>
      </c>
      <c r="AM64" s="379"/>
      <c r="AN64" s="164">
        <v>0</v>
      </c>
      <c r="AO64" s="379"/>
      <c r="AP64" s="164">
        <v>0</v>
      </c>
      <c r="AQ64" s="379"/>
      <c r="AR64" s="164">
        <v>0</v>
      </c>
      <c r="AS64" s="379"/>
      <c r="AT64" s="164">
        <v>0</v>
      </c>
      <c r="AU64" s="379"/>
      <c r="AV64" s="164">
        <v>0</v>
      </c>
      <c r="AW64" s="379"/>
      <c r="AX64" s="164">
        <v>0</v>
      </c>
      <c r="AY64" s="379"/>
      <c r="AZ64" s="164">
        <v>0</v>
      </c>
      <c r="BA64" s="379"/>
      <c r="BB64" s="164">
        <v>0</v>
      </c>
      <c r="BC64" s="379"/>
      <c r="BD64" s="164">
        <v>0</v>
      </c>
      <c r="BE64" s="379"/>
      <c r="BF64" s="164">
        <v>0</v>
      </c>
      <c r="BG64" s="379"/>
      <c r="BH64" s="223"/>
      <c r="BI64" s="184"/>
      <c r="CJ64" s="150"/>
      <c r="CK64" s="150"/>
      <c r="CL64" s="150"/>
      <c r="CM64" s="151" t="s">
        <v>988</v>
      </c>
      <c r="CN64" s="150" t="s">
        <v>1130</v>
      </c>
      <c r="CO64" s="150"/>
      <c r="CP64" s="150"/>
      <c r="CQ64" s="150"/>
      <c r="CR64" s="150"/>
      <c r="CS64" s="150"/>
      <c r="CT64" s="150"/>
    </row>
    <row r="65" spans="1:98" s="11" customFormat="1" ht="26.25" customHeight="1">
      <c r="A65" s="26"/>
      <c r="B65" s="89" t="str">
        <f>Parameters!Q64</f>
        <v>M69-M71</v>
      </c>
      <c r="C65" s="90"/>
      <c r="D65" s="504" t="str">
        <f>Parameters!S64</f>
        <v>Legal and accounting activities; activities of head offices; management consultancy activities; architectural and engineering activities; technical testing and analysis</v>
      </c>
      <c r="E65" s="506"/>
      <c r="F65" s="252"/>
      <c r="G65" s="380"/>
      <c r="H65" s="253"/>
      <c r="I65" s="380"/>
      <c r="J65" s="253"/>
      <c r="K65" s="380"/>
      <c r="L65" s="253"/>
      <c r="M65" s="380"/>
      <c r="N65" s="253"/>
      <c r="O65" s="380"/>
      <c r="P65" s="253"/>
      <c r="Q65" s="380"/>
      <c r="R65" s="253"/>
      <c r="S65" s="380"/>
      <c r="T65" s="253"/>
      <c r="U65" s="380"/>
      <c r="V65" s="253"/>
      <c r="W65" s="380"/>
      <c r="X65" s="253"/>
      <c r="Y65" s="380"/>
      <c r="Z65" s="253"/>
      <c r="AA65" s="380"/>
      <c r="AB65" s="253"/>
      <c r="AC65" s="380"/>
      <c r="AD65" s="253"/>
      <c r="AE65" s="380"/>
      <c r="AF65" s="253">
        <v>0</v>
      </c>
      <c r="AG65" s="380"/>
      <c r="AH65" s="253">
        <v>0</v>
      </c>
      <c r="AI65" s="380"/>
      <c r="AJ65" s="253">
        <v>0</v>
      </c>
      <c r="AK65" s="380"/>
      <c r="AL65" s="253">
        <v>0</v>
      </c>
      <c r="AM65" s="380"/>
      <c r="AN65" s="253">
        <v>0</v>
      </c>
      <c r="AO65" s="380"/>
      <c r="AP65" s="253">
        <v>0</v>
      </c>
      <c r="AQ65" s="380"/>
      <c r="AR65" s="253">
        <v>0</v>
      </c>
      <c r="AS65" s="380"/>
      <c r="AT65" s="253">
        <v>0</v>
      </c>
      <c r="AU65" s="380"/>
      <c r="AV65" s="253">
        <v>0</v>
      </c>
      <c r="AW65" s="380"/>
      <c r="AX65" s="253">
        <v>0</v>
      </c>
      <c r="AY65" s="380"/>
      <c r="AZ65" s="253">
        <v>0</v>
      </c>
      <c r="BA65" s="380"/>
      <c r="BB65" s="253">
        <v>0</v>
      </c>
      <c r="BC65" s="380"/>
      <c r="BD65" s="253">
        <v>0</v>
      </c>
      <c r="BE65" s="380"/>
      <c r="BF65" s="253">
        <v>0</v>
      </c>
      <c r="BG65" s="380"/>
      <c r="BH65" s="253"/>
      <c r="BI65" s="254"/>
      <c r="CJ65" s="150"/>
      <c r="CK65" s="150"/>
      <c r="CL65" s="150"/>
      <c r="CM65" s="151"/>
      <c r="CN65" s="150"/>
      <c r="CO65" s="150"/>
      <c r="CP65" s="150"/>
      <c r="CQ65" s="150"/>
      <c r="CR65" s="150"/>
      <c r="CS65" s="150"/>
      <c r="CT65" s="150"/>
    </row>
    <row r="66" spans="1:98" s="10" customFormat="1">
      <c r="A66" s="310"/>
      <c r="B66" s="308" t="str">
        <f>Parameters!Q65</f>
        <v>M69_M70</v>
      </c>
      <c r="C66" s="309"/>
      <c r="D66" s="495" t="str">
        <f>Parameters!S65</f>
        <v>Legal and accounting activities; activities of head offices; management consultancy activities</v>
      </c>
      <c r="E66" s="496"/>
      <c r="F66" s="224"/>
      <c r="G66" s="379"/>
      <c r="H66" s="225"/>
      <c r="I66" s="379"/>
      <c r="J66" s="225"/>
      <c r="K66" s="379"/>
      <c r="L66" s="225"/>
      <c r="M66" s="379"/>
      <c r="N66" s="225"/>
      <c r="O66" s="379"/>
      <c r="P66" s="225"/>
      <c r="Q66" s="379"/>
      <c r="R66" s="225"/>
      <c r="S66" s="379"/>
      <c r="T66" s="225"/>
      <c r="U66" s="379"/>
      <c r="V66" s="225"/>
      <c r="W66" s="379"/>
      <c r="X66" s="225"/>
      <c r="Y66" s="379"/>
      <c r="Z66" s="225"/>
      <c r="AA66" s="379"/>
      <c r="AB66" s="225"/>
      <c r="AC66" s="379"/>
      <c r="AD66" s="225"/>
      <c r="AE66" s="379"/>
      <c r="AF66" s="165">
        <v>0</v>
      </c>
      <c r="AG66" s="379"/>
      <c r="AH66" s="165">
        <v>0</v>
      </c>
      <c r="AI66" s="379"/>
      <c r="AJ66" s="165">
        <v>0</v>
      </c>
      <c r="AK66" s="379"/>
      <c r="AL66" s="165">
        <v>0</v>
      </c>
      <c r="AM66" s="379"/>
      <c r="AN66" s="165">
        <v>0</v>
      </c>
      <c r="AO66" s="379"/>
      <c r="AP66" s="165">
        <v>0</v>
      </c>
      <c r="AQ66" s="379"/>
      <c r="AR66" s="165">
        <v>0</v>
      </c>
      <c r="AS66" s="379"/>
      <c r="AT66" s="165">
        <v>0</v>
      </c>
      <c r="AU66" s="379"/>
      <c r="AV66" s="165">
        <v>0</v>
      </c>
      <c r="AW66" s="379"/>
      <c r="AX66" s="165">
        <v>0</v>
      </c>
      <c r="AY66" s="379"/>
      <c r="AZ66" s="165">
        <v>0</v>
      </c>
      <c r="BA66" s="379"/>
      <c r="BB66" s="165">
        <v>0</v>
      </c>
      <c r="BC66" s="379"/>
      <c r="BD66" s="165">
        <v>0</v>
      </c>
      <c r="BE66" s="379"/>
      <c r="BF66" s="165">
        <v>0</v>
      </c>
      <c r="BG66" s="379"/>
      <c r="BH66" s="225"/>
      <c r="BI66" s="184"/>
      <c r="CJ66" s="150"/>
      <c r="CK66" s="150"/>
      <c r="CL66" s="150"/>
      <c r="CM66" s="151" t="s">
        <v>1141</v>
      </c>
      <c r="CN66" s="150" t="s">
        <v>1130</v>
      </c>
      <c r="CO66" s="150"/>
      <c r="CP66" s="150"/>
      <c r="CQ66" s="150"/>
      <c r="CR66" s="150"/>
      <c r="CS66" s="150"/>
      <c r="CT66" s="150"/>
    </row>
    <row r="67" spans="1:98" s="10" customFormat="1" ht="12.75" customHeight="1">
      <c r="A67" s="310"/>
      <c r="B67" s="308" t="str">
        <f>Parameters!Q66</f>
        <v>M71</v>
      </c>
      <c r="C67" s="309"/>
      <c r="D67" s="495" t="str">
        <f>Parameters!S66</f>
        <v>Architectural and engineering activities; technical testing and analysis</v>
      </c>
      <c r="E67" s="496"/>
      <c r="F67" s="224"/>
      <c r="G67" s="379"/>
      <c r="H67" s="225"/>
      <c r="I67" s="379"/>
      <c r="J67" s="225"/>
      <c r="K67" s="379"/>
      <c r="L67" s="225"/>
      <c r="M67" s="379"/>
      <c r="N67" s="225"/>
      <c r="O67" s="379"/>
      <c r="P67" s="225"/>
      <c r="Q67" s="379"/>
      <c r="R67" s="225"/>
      <c r="S67" s="379"/>
      <c r="T67" s="225"/>
      <c r="U67" s="379"/>
      <c r="V67" s="225"/>
      <c r="W67" s="379"/>
      <c r="X67" s="225"/>
      <c r="Y67" s="379"/>
      <c r="Z67" s="225"/>
      <c r="AA67" s="379"/>
      <c r="AB67" s="225"/>
      <c r="AC67" s="379"/>
      <c r="AD67" s="225"/>
      <c r="AE67" s="379"/>
      <c r="AF67" s="165">
        <v>0</v>
      </c>
      <c r="AG67" s="379"/>
      <c r="AH67" s="165">
        <v>0</v>
      </c>
      <c r="AI67" s="379"/>
      <c r="AJ67" s="165">
        <v>0</v>
      </c>
      <c r="AK67" s="379"/>
      <c r="AL67" s="165">
        <v>0</v>
      </c>
      <c r="AM67" s="379"/>
      <c r="AN67" s="165">
        <v>0</v>
      </c>
      <c r="AO67" s="379"/>
      <c r="AP67" s="165">
        <v>0</v>
      </c>
      <c r="AQ67" s="379"/>
      <c r="AR67" s="165">
        <v>0</v>
      </c>
      <c r="AS67" s="379"/>
      <c r="AT67" s="165">
        <v>0</v>
      </c>
      <c r="AU67" s="379"/>
      <c r="AV67" s="165">
        <v>0</v>
      </c>
      <c r="AW67" s="379"/>
      <c r="AX67" s="165">
        <v>0</v>
      </c>
      <c r="AY67" s="379"/>
      <c r="AZ67" s="165">
        <v>0</v>
      </c>
      <c r="BA67" s="379"/>
      <c r="BB67" s="165">
        <v>0</v>
      </c>
      <c r="BC67" s="379"/>
      <c r="BD67" s="165">
        <v>0</v>
      </c>
      <c r="BE67" s="379"/>
      <c r="BF67" s="165">
        <v>0</v>
      </c>
      <c r="BG67" s="379"/>
      <c r="BH67" s="225"/>
      <c r="BI67" s="184"/>
      <c r="CJ67" s="150"/>
      <c r="CK67" s="150"/>
      <c r="CL67" s="150"/>
      <c r="CM67" s="151" t="s">
        <v>1007</v>
      </c>
      <c r="CN67" s="150" t="s">
        <v>1130</v>
      </c>
      <c r="CO67" s="150"/>
      <c r="CP67" s="150"/>
      <c r="CQ67" s="150"/>
      <c r="CR67" s="150"/>
      <c r="CS67" s="150"/>
      <c r="CT67" s="150"/>
    </row>
    <row r="68" spans="1:98" s="10" customFormat="1" ht="12.75" customHeight="1">
      <c r="A68" s="26"/>
      <c r="B68" s="89" t="str">
        <f>Parameters!Q67</f>
        <v>M72</v>
      </c>
      <c r="C68" s="90"/>
      <c r="D68" s="504" t="str">
        <f>Parameters!S67</f>
        <v>Scientific research and development</v>
      </c>
      <c r="E68" s="505"/>
      <c r="F68" s="226"/>
      <c r="G68" s="379"/>
      <c r="H68" s="227"/>
      <c r="I68" s="379"/>
      <c r="J68" s="227"/>
      <c r="K68" s="379"/>
      <c r="L68" s="227"/>
      <c r="M68" s="379"/>
      <c r="N68" s="227"/>
      <c r="O68" s="379"/>
      <c r="P68" s="227"/>
      <c r="Q68" s="379"/>
      <c r="R68" s="227"/>
      <c r="S68" s="379"/>
      <c r="T68" s="227"/>
      <c r="U68" s="379"/>
      <c r="V68" s="227"/>
      <c r="W68" s="379"/>
      <c r="X68" s="227"/>
      <c r="Y68" s="379"/>
      <c r="Z68" s="227"/>
      <c r="AA68" s="379"/>
      <c r="AB68" s="227"/>
      <c r="AC68" s="379"/>
      <c r="AD68" s="227"/>
      <c r="AE68" s="379"/>
      <c r="AF68" s="166">
        <v>0</v>
      </c>
      <c r="AG68" s="379"/>
      <c r="AH68" s="166">
        <v>0</v>
      </c>
      <c r="AI68" s="379"/>
      <c r="AJ68" s="166">
        <v>0</v>
      </c>
      <c r="AK68" s="379"/>
      <c r="AL68" s="166">
        <v>0</v>
      </c>
      <c r="AM68" s="379"/>
      <c r="AN68" s="166">
        <v>0</v>
      </c>
      <c r="AO68" s="379"/>
      <c r="AP68" s="166">
        <v>0</v>
      </c>
      <c r="AQ68" s="379"/>
      <c r="AR68" s="166">
        <v>0</v>
      </c>
      <c r="AS68" s="379"/>
      <c r="AT68" s="166">
        <v>0</v>
      </c>
      <c r="AU68" s="379"/>
      <c r="AV68" s="166">
        <v>0</v>
      </c>
      <c r="AW68" s="379"/>
      <c r="AX68" s="166">
        <v>0</v>
      </c>
      <c r="AY68" s="379"/>
      <c r="AZ68" s="166">
        <v>0</v>
      </c>
      <c r="BA68" s="379"/>
      <c r="BB68" s="166">
        <v>0</v>
      </c>
      <c r="BC68" s="379"/>
      <c r="BD68" s="166">
        <v>0</v>
      </c>
      <c r="BE68" s="379"/>
      <c r="BF68" s="166">
        <v>0</v>
      </c>
      <c r="BG68" s="379"/>
      <c r="BH68" s="227"/>
      <c r="BI68" s="184"/>
      <c r="CJ68" s="150"/>
      <c r="CK68" s="150"/>
      <c r="CL68" s="150"/>
      <c r="CM68" s="151" t="s">
        <v>1011</v>
      </c>
      <c r="CN68" s="150" t="s">
        <v>1130</v>
      </c>
      <c r="CO68" s="150"/>
      <c r="CP68" s="150"/>
      <c r="CQ68" s="150"/>
      <c r="CR68" s="150"/>
      <c r="CS68" s="150"/>
      <c r="CT68" s="150"/>
    </row>
    <row r="69" spans="1:98" s="10" customFormat="1" ht="24" customHeight="1">
      <c r="A69" s="26"/>
      <c r="B69" s="89" t="str">
        <f>Parameters!Q68</f>
        <v>M73-M75</v>
      </c>
      <c r="C69" s="90"/>
      <c r="D69" s="504" t="str">
        <f>Parameters!S68</f>
        <v>Advertising and market research; other professional, scientific and technical activities; veterinary activities</v>
      </c>
      <c r="E69" s="506"/>
      <c r="F69" s="252"/>
      <c r="G69" s="380"/>
      <c r="H69" s="253"/>
      <c r="I69" s="380"/>
      <c r="J69" s="253"/>
      <c r="K69" s="380"/>
      <c r="L69" s="253"/>
      <c r="M69" s="380"/>
      <c r="N69" s="253"/>
      <c r="O69" s="380"/>
      <c r="P69" s="253"/>
      <c r="Q69" s="380"/>
      <c r="R69" s="253"/>
      <c r="S69" s="380"/>
      <c r="T69" s="253"/>
      <c r="U69" s="380"/>
      <c r="V69" s="253"/>
      <c r="W69" s="380"/>
      <c r="X69" s="253"/>
      <c r="Y69" s="380"/>
      <c r="Z69" s="253"/>
      <c r="AA69" s="380"/>
      <c r="AB69" s="253"/>
      <c r="AC69" s="380"/>
      <c r="AD69" s="253"/>
      <c r="AE69" s="380"/>
      <c r="AF69" s="253">
        <v>0</v>
      </c>
      <c r="AG69" s="380"/>
      <c r="AH69" s="253">
        <v>0</v>
      </c>
      <c r="AI69" s="380"/>
      <c r="AJ69" s="253">
        <v>0</v>
      </c>
      <c r="AK69" s="380"/>
      <c r="AL69" s="253">
        <v>0</v>
      </c>
      <c r="AM69" s="380"/>
      <c r="AN69" s="253">
        <v>0</v>
      </c>
      <c r="AO69" s="380"/>
      <c r="AP69" s="253">
        <v>0</v>
      </c>
      <c r="AQ69" s="380"/>
      <c r="AR69" s="253">
        <v>0</v>
      </c>
      <c r="AS69" s="380"/>
      <c r="AT69" s="253">
        <v>0</v>
      </c>
      <c r="AU69" s="380"/>
      <c r="AV69" s="253">
        <v>0</v>
      </c>
      <c r="AW69" s="380"/>
      <c r="AX69" s="253">
        <v>0</v>
      </c>
      <c r="AY69" s="380"/>
      <c r="AZ69" s="253">
        <v>0</v>
      </c>
      <c r="BA69" s="380"/>
      <c r="BB69" s="253">
        <v>0</v>
      </c>
      <c r="BC69" s="380"/>
      <c r="BD69" s="253">
        <v>0</v>
      </c>
      <c r="BE69" s="380"/>
      <c r="BF69" s="253">
        <v>0</v>
      </c>
      <c r="BG69" s="380"/>
      <c r="BH69" s="253"/>
      <c r="BI69" s="254"/>
      <c r="CJ69" s="150"/>
      <c r="CK69" s="150"/>
      <c r="CL69" s="150"/>
      <c r="CM69" s="151"/>
      <c r="CN69" s="150"/>
      <c r="CO69" s="150"/>
      <c r="CP69" s="150"/>
      <c r="CQ69" s="150"/>
      <c r="CR69" s="150"/>
      <c r="CS69" s="150"/>
      <c r="CT69" s="150"/>
    </row>
    <row r="70" spans="1:98" s="10" customFormat="1" ht="12.75" customHeight="1">
      <c r="A70" s="310"/>
      <c r="B70" s="308" t="str">
        <f>Parameters!Q69</f>
        <v>M73</v>
      </c>
      <c r="C70" s="309"/>
      <c r="D70" s="495" t="str">
        <f>Parameters!S69</f>
        <v>Advertising and market research</v>
      </c>
      <c r="E70" s="496"/>
      <c r="F70" s="224"/>
      <c r="G70" s="379"/>
      <c r="H70" s="225"/>
      <c r="I70" s="379"/>
      <c r="J70" s="225"/>
      <c r="K70" s="379"/>
      <c r="L70" s="225"/>
      <c r="M70" s="379"/>
      <c r="N70" s="225"/>
      <c r="O70" s="379"/>
      <c r="P70" s="225"/>
      <c r="Q70" s="379"/>
      <c r="R70" s="225"/>
      <c r="S70" s="379"/>
      <c r="T70" s="225"/>
      <c r="U70" s="379"/>
      <c r="V70" s="225"/>
      <c r="W70" s="379"/>
      <c r="X70" s="225"/>
      <c r="Y70" s="379"/>
      <c r="Z70" s="225"/>
      <c r="AA70" s="379"/>
      <c r="AB70" s="225"/>
      <c r="AC70" s="379"/>
      <c r="AD70" s="225"/>
      <c r="AE70" s="379"/>
      <c r="AF70" s="165">
        <v>0</v>
      </c>
      <c r="AG70" s="379"/>
      <c r="AH70" s="165">
        <v>0</v>
      </c>
      <c r="AI70" s="379"/>
      <c r="AJ70" s="165">
        <v>0</v>
      </c>
      <c r="AK70" s="379"/>
      <c r="AL70" s="165">
        <v>0</v>
      </c>
      <c r="AM70" s="379"/>
      <c r="AN70" s="165">
        <v>0</v>
      </c>
      <c r="AO70" s="379"/>
      <c r="AP70" s="165">
        <v>0</v>
      </c>
      <c r="AQ70" s="379"/>
      <c r="AR70" s="165">
        <v>0</v>
      </c>
      <c r="AS70" s="379"/>
      <c r="AT70" s="165">
        <v>0</v>
      </c>
      <c r="AU70" s="379"/>
      <c r="AV70" s="165">
        <v>0</v>
      </c>
      <c r="AW70" s="379"/>
      <c r="AX70" s="165">
        <v>0</v>
      </c>
      <c r="AY70" s="379"/>
      <c r="AZ70" s="165">
        <v>0</v>
      </c>
      <c r="BA70" s="379"/>
      <c r="BB70" s="165">
        <v>0</v>
      </c>
      <c r="BC70" s="379"/>
      <c r="BD70" s="165">
        <v>0</v>
      </c>
      <c r="BE70" s="379"/>
      <c r="BF70" s="165">
        <v>0</v>
      </c>
      <c r="BG70" s="379"/>
      <c r="BH70" s="225"/>
      <c r="BI70" s="184"/>
      <c r="CJ70" s="150"/>
      <c r="CK70" s="150"/>
      <c r="CL70" s="150"/>
      <c r="CM70" s="151" t="s">
        <v>1022</v>
      </c>
      <c r="CN70" s="150" t="s">
        <v>1130</v>
      </c>
      <c r="CO70" s="150"/>
      <c r="CP70" s="150"/>
      <c r="CQ70" s="150"/>
      <c r="CR70" s="150"/>
      <c r="CS70" s="150"/>
      <c r="CT70" s="150"/>
    </row>
    <row r="71" spans="1:98" s="11" customFormat="1" ht="12.75" customHeight="1">
      <c r="A71" s="310"/>
      <c r="B71" s="308" t="str">
        <f>Parameters!Q70</f>
        <v>M74_M75</v>
      </c>
      <c r="C71" s="309"/>
      <c r="D71" s="495" t="str">
        <f>Parameters!S70</f>
        <v>Other professional, scientific and technical activities; veterinary activities</v>
      </c>
      <c r="E71" s="496"/>
      <c r="F71" s="224"/>
      <c r="G71" s="379"/>
      <c r="H71" s="225"/>
      <c r="I71" s="379"/>
      <c r="J71" s="225"/>
      <c r="K71" s="379"/>
      <c r="L71" s="225"/>
      <c r="M71" s="379"/>
      <c r="N71" s="225"/>
      <c r="O71" s="379"/>
      <c r="P71" s="225"/>
      <c r="Q71" s="379"/>
      <c r="R71" s="225"/>
      <c r="S71" s="379"/>
      <c r="T71" s="225"/>
      <c r="U71" s="379"/>
      <c r="V71" s="225"/>
      <c r="W71" s="379"/>
      <c r="X71" s="225"/>
      <c r="Y71" s="379"/>
      <c r="Z71" s="225"/>
      <c r="AA71" s="379"/>
      <c r="AB71" s="225"/>
      <c r="AC71" s="379"/>
      <c r="AD71" s="225"/>
      <c r="AE71" s="379"/>
      <c r="AF71" s="165">
        <v>0</v>
      </c>
      <c r="AG71" s="379"/>
      <c r="AH71" s="165">
        <v>0</v>
      </c>
      <c r="AI71" s="379"/>
      <c r="AJ71" s="165">
        <v>0</v>
      </c>
      <c r="AK71" s="379"/>
      <c r="AL71" s="165">
        <v>0</v>
      </c>
      <c r="AM71" s="379"/>
      <c r="AN71" s="165">
        <v>0</v>
      </c>
      <c r="AO71" s="379"/>
      <c r="AP71" s="165">
        <v>0</v>
      </c>
      <c r="AQ71" s="379"/>
      <c r="AR71" s="165">
        <v>0</v>
      </c>
      <c r="AS71" s="379"/>
      <c r="AT71" s="165">
        <v>0</v>
      </c>
      <c r="AU71" s="379"/>
      <c r="AV71" s="165">
        <v>0</v>
      </c>
      <c r="AW71" s="379"/>
      <c r="AX71" s="165">
        <v>0</v>
      </c>
      <c r="AY71" s="379"/>
      <c r="AZ71" s="165">
        <v>0</v>
      </c>
      <c r="BA71" s="379"/>
      <c r="BB71" s="165">
        <v>0</v>
      </c>
      <c r="BC71" s="379"/>
      <c r="BD71" s="165">
        <v>0</v>
      </c>
      <c r="BE71" s="379"/>
      <c r="BF71" s="165">
        <v>0</v>
      </c>
      <c r="BG71" s="379"/>
      <c r="BH71" s="225"/>
      <c r="BI71" s="184"/>
      <c r="CJ71" s="150"/>
      <c r="CK71" s="150"/>
      <c r="CL71" s="150"/>
      <c r="CM71" s="151" t="s">
        <v>1142</v>
      </c>
      <c r="CN71" s="150" t="s">
        <v>1130</v>
      </c>
      <c r="CO71" s="150"/>
      <c r="CP71" s="150"/>
      <c r="CQ71" s="150"/>
      <c r="CR71" s="150"/>
      <c r="CS71" s="150"/>
      <c r="CT71" s="150"/>
    </row>
    <row r="72" spans="1:98" s="11" customFormat="1" ht="12.75" customHeight="1">
      <c r="A72" s="25"/>
      <c r="B72" s="87" t="str">
        <f>Parameters!Q71</f>
        <v>N</v>
      </c>
      <c r="C72" s="88"/>
      <c r="D72" s="498" t="str">
        <f>Parameters!S71</f>
        <v>Administrative and support service activities</v>
      </c>
      <c r="E72" s="499"/>
      <c r="F72" s="222"/>
      <c r="G72" s="379"/>
      <c r="H72" s="223"/>
      <c r="I72" s="379"/>
      <c r="J72" s="223"/>
      <c r="K72" s="379"/>
      <c r="L72" s="223"/>
      <c r="M72" s="379"/>
      <c r="N72" s="223"/>
      <c r="O72" s="379"/>
      <c r="P72" s="223"/>
      <c r="Q72" s="379"/>
      <c r="R72" s="223"/>
      <c r="S72" s="379"/>
      <c r="T72" s="223"/>
      <c r="U72" s="379"/>
      <c r="V72" s="223"/>
      <c r="W72" s="379"/>
      <c r="X72" s="223"/>
      <c r="Y72" s="379"/>
      <c r="Z72" s="223"/>
      <c r="AA72" s="379"/>
      <c r="AB72" s="223"/>
      <c r="AC72" s="379"/>
      <c r="AD72" s="223"/>
      <c r="AE72" s="379"/>
      <c r="AF72" s="164">
        <v>0</v>
      </c>
      <c r="AG72" s="379"/>
      <c r="AH72" s="164">
        <v>0</v>
      </c>
      <c r="AI72" s="379"/>
      <c r="AJ72" s="164">
        <v>0</v>
      </c>
      <c r="AK72" s="379"/>
      <c r="AL72" s="164">
        <v>0</v>
      </c>
      <c r="AM72" s="379"/>
      <c r="AN72" s="164">
        <v>0</v>
      </c>
      <c r="AO72" s="379"/>
      <c r="AP72" s="164">
        <v>0</v>
      </c>
      <c r="AQ72" s="379"/>
      <c r="AR72" s="164">
        <v>0</v>
      </c>
      <c r="AS72" s="379"/>
      <c r="AT72" s="164">
        <v>0</v>
      </c>
      <c r="AU72" s="379"/>
      <c r="AV72" s="164">
        <v>0</v>
      </c>
      <c r="AW72" s="379"/>
      <c r="AX72" s="164">
        <v>0</v>
      </c>
      <c r="AY72" s="379"/>
      <c r="AZ72" s="164">
        <v>0</v>
      </c>
      <c r="BA72" s="379"/>
      <c r="BB72" s="164">
        <v>0</v>
      </c>
      <c r="BC72" s="379"/>
      <c r="BD72" s="164">
        <v>0</v>
      </c>
      <c r="BE72" s="379"/>
      <c r="BF72" s="164">
        <v>0</v>
      </c>
      <c r="BG72" s="379"/>
      <c r="BH72" s="223"/>
      <c r="BI72" s="184"/>
      <c r="CJ72" s="150"/>
      <c r="CK72" s="150"/>
      <c r="CL72" s="150"/>
      <c r="CM72" s="151" t="s">
        <v>1031</v>
      </c>
      <c r="CN72" s="150" t="s">
        <v>1130</v>
      </c>
      <c r="CO72" s="150"/>
      <c r="CP72" s="150"/>
      <c r="CQ72" s="150"/>
      <c r="CR72" s="150"/>
      <c r="CS72" s="150"/>
      <c r="CT72" s="150"/>
    </row>
    <row r="73" spans="1:98" s="11" customFormat="1" ht="12.75" customHeight="1">
      <c r="A73" s="310"/>
      <c r="B73" s="308" t="str">
        <f>Parameters!Q72</f>
        <v>N77</v>
      </c>
      <c r="C73" s="309"/>
      <c r="D73" s="495" t="str">
        <f>Parameters!S72</f>
        <v>Rental and leasing activities</v>
      </c>
      <c r="E73" s="496"/>
      <c r="F73" s="224"/>
      <c r="G73" s="379"/>
      <c r="H73" s="225"/>
      <c r="I73" s="379"/>
      <c r="J73" s="225"/>
      <c r="K73" s="379"/>
      <c r="L73" s="225"/>
      <c r="M73" s="379"/>
      <c r="N73" s="225"/>
      <c r="O73" s="379"/>
      <c r="P73" s="225"/>
      <c r="Q73" s="379"/>
      <c r="R73" s="225"/>
      <c r="S73" s="379"/>
      <c r="T73" s="225"/>
      <c r="U73" s="379"/>
      <c r="V73" s="225"/>
      <c r="W73" s="379"/>
      <c r="X73" s="225"/>
      <c r="Y73" s="379"/>
      <c r="Z73" s="225"/>
      <c r="AA73" s="379"/>
      <c r="AB73" s="225"/>
      <c r="AC73" s="379"/>
      <c r="AD73" s="225"/>
      <c r="AE73" s="379"/>
      <c r="AF73" s="165">
        <v>0</v>
      </c>
      <c r="AG73" s="379"/>
      <c r="AH73" s="165">
        <v>0</v>
      </c>
      <c r="AI73" s="379"/>
      <c r="AJ73" s="165">
        <v>0</v>
      </c>
      <c r="AK73" s="379"/>
      <c r="AL73" s="165">
        <v>0</v>
      </c>
      <c r="AM73" s="379"/>
      <c r="AN73" s="165">
        <v>0</v>
      </c>
      <c r="AO73" s="379"/>
      <c r="AP73" s="165">
        <v>0</v>
      </c>
      <c r="AQ73" s="379"/>
      <c r="AR73" s="165">
        <v>0</v>
      </c>
      <c r="AS73" s="379"/>
      <c r="AT73" s="165">
        <v>0</v>
      </c>
      <c r="AU73" s="379"/>
      <c r="AV73" s="165">
        <v>0</v>
      </c>
      <c r="AW73" s="379"/>
      <c r="AX73" s="165">
        <v>0</v>
      </c>
      <c r="AY73" s="379"/>
      <c r="AZ73" s="165">
        <v>0</v>
      </c>
      <c r="BA73" s="379"/>
      <c r="BB73" s="165">
        <v>0</v>
      </c>
      <c r="BC73" s="379"/>
      <c r="BD73" s="165">
        <v>0</v>
      </c>
      <c r="BE73" s="379"/>
      <c r="BF73" s="165">
        <v>0</v>
      </c>
      <c r="BG73" s="379"/>
      <c r="BH73" s="225"/>
      <c r="BI73" s="184"/>
      <c r="CJ73" s="150"/>
      <c r="CK73" s="150"/>
      <c r="CL73" s="150"/>
      <c r="CM73" s="151" t="s">
        <v>1035</v>
      </c>
      <c r="CN73" s="150" t="s">
        <v>1130</v>
      </c>
      <c r="CO73" s="150"/>
      <c r="CP73" s="150"/>
      <c r="CQ73" s="150"/>
      <c r="CR73" s="150"/>
      <c r="CS73" s="150"/>
      <c r="CT73" s="150"/>
    </row>
    <row r="74" spans="1:98" s="11" customFormat="1" ht="12.75" customHeight="1">
      <c r="A74" s="310"/>
      <c r="B74" s="308" t="str">
        <f>Parameters!Q73</f>
        <v>N78</v>
      </c>
      <c r="C74" s="309"/>
      <c r="D74" s="495" t="str">
        <f>Parameters!S73</f>
        <v>Employment activities</v>
      </c>
      <c r="E74" s="496"/>
      <c r="F74" s="224"/>
      <c r="G74" s="379"/>
      <c r="H74" s="225"/>
      <c r="I74" s="379"/>
      <c r="J74" s="225"/>
      <c r="K74" s="379"/>
      <c r="L74" s="225"/>
      <c r="M74" s="379"/>
      <c r="N74" s="225"/>
      <c r="O74" s="379"/>
      <c r="P74" s="225"/>
      <c r="Q74" s="379"/>
      <c r="R74" s="225"/>
      <c r="S74" s="379"/>
      <c r="T74" s="225"/>
      <c r="U74" s="379"/>
      <c r="V74" s="225"/>
      <c r="W74" s="379"/>
      <c r="X74" s="225"/>
      <c r="Y74" s="379"/>
      <c r="Z74" s="225"/>
      <c r="AA74" s="379"/>
      <c r="AB74" s="225"/>
      <c r="AC74" s="379"/>
      <c r="AD74" s="225"/>
      <c r="AE74" s="379"/>
      <c r="AF74" s="165">
        <v>0</v>
      </c>
      <c r="AG74" s="379"/>
      <c r="AH74" s="165">
        <v>0</v>
      </c>
      <c r="AI74" s="379"/>
      <c r="AJ74" s="165">
        <v>0</v>
      </c>
      <c r="AK74" s="379"/>
      <c r="AL74" s="165">
        <v>0</v>
      </c>
      <c r="AM74" s="379"/>
      <c r="AN74" s="165">
        <v>0</v>
      </c>
      <c r="AO74" s="379"/>
      <c r="AP74" s="165">
        <v>0</v>
      </c>
      <c r="AQ74" s="379"/>
      <c r="AR74" s="165">
        <v>0</v>
      </c>
      <c r="AS74" s="379"/>
      <c r="AT74" s="165">
        <v>0</v>
      </c>
      <c r="AU74" s="379"/>
      <c r="AV74" s="165">
        <v>0</v>
      </c>
      <c r="AW74" s="379"/>
      <c r="AX74" s="165">
        <v>0</v>
      </c>
      <c r="AY74" s="379"/>
      <c r="AZ74" s="165">
        <v>0</v>
      </c>
      <c r="BA74" s="379"/>
      <c r="BB74" s="165">
        <v>0</v>
      </c>
      <c r="BC74" s="379"/>
      <c r="BD74" s="165">
        <v>0</v>
      </c>
      <c r="BE74" s="379"/>
      <c r="BF74" s="165">
        <v>0</v>
      </c>
      <c r="BG74" s="379"/>
      <c r="BH74" s="225"/>
      <c r="BI74" s="184"/>
      <c r="CJ74" s="150"/>
      <c r="CK74" s="150"/>
      <c r="CL74" s="150"/>
      <c r="CM74" s="151" t="s">
        <v>1039</v>
      </c>
      <c r="CN74" s="150" t="s">
        <v>1130</v>
      </c>
      <c r="CO74" s="150"/>
      <c r="CP74" s="150"/>
      <c r="CQ74" s="150"/>
      <c r="CR74" s="150"/>
      <c r="CS74" s="150"/>
      <c r="CT74" s="150"/>
    </row>
    <row r="75" spans="1:98" s="11" customFormat="1" ht="12.75" customHeight="1">
      <c r="A75" s="310"/>
      <c r="B75" s="308" t="str">
        <f>Parameters!Q74</f>
        <v>N79</v>
      </c>
      <c r="C75" s="309"/>
      <c r="D75" s="495" t="str">
        <f>Parameters!S74</f>
        <v>Travel agency, tour operator reservation service and related activities</v>
      </c>
      <c r="E75" s="496"/>
      <c r="F75" s="224"/>
      <c r="G75" s="379"/>
      <c r="H75" s="225"/>
      <c r="I75" s="379"/>
      <c r="J75" s="225"/>
      <c r="K75" s="379"/>
      <c r="L75" s="225"/>
      <c r="M75" s="379"/>
      <c r="N75" s="225"/>
      <c r="O75" s="379"/>
      <c r="P75" s="225"/>
      <c r="Q75" s="379"/>
      <c r="R75" s="225"/>
      <c r="S75" s="379"/>
      <c r="T75" s="225"/>
      <c r="U75" s="379"/>
      <c r="V75" s="225"/>
      <c r="W75" s="379"/>
      <c r="X75" s="225"/>
      <c r="Y75" s="379"/>
      <c r="Z75" s="225"/>
      <c r="AA75" s="379"/>
      <c r="AB75" s="225"/>
      <c r="AC75" s="379"/>
      <c r="AD75" s="225"/>
      <c r="AE75" s="379"/>
      <c r="AF75" s="165">
        <v>0</v>
      </c>
      <c r="AG75" s="379"/>
      <c r="AH75" s="165">
        <v>0</v>
      </c>
      <c r="AI75" s="379"/>
      <c r="AJ75" s="165">
        <v>0</v>
      </c>
      <c r="AK75" s="379"/>
      <c r="AL75" s="165">
        <v>0</v>
      </c>
      <c r="AM75" s="379"/>
      <c r="AN75" s="165">
        <v>0</v>
      </c>
      <c r="AO75" s="379"/>
      <c r="AP75" s="165">
        <v>0</v>
      </c>
      <c r="AQ75" s="379"/>
      <c r="AR75" s="165">
        <v>0</v>
      </c>
      <c r="AS75" s="379"/>
      <c r="AT75" s="165">
        <v>0</v>
      </c>
      <c r="AU75" s="379"/>
      <c r="AV75" s="165">
        <v>0</v>
      </c>
      <c r="AW75" s="379"/>
      <c r="AX75" s="165">
        <v>0</v>
      </c>
      <c r="AY75" s="379"/>
      <c r="AZ75" s="165">
        <v>0</v>
      </c>
      <c r="BA75" s="379"/>
      <c r="BB75" s="165">
        <v>0</v>
      </c>
      <c r="BC75" s="379"/>
      <c r="BD75" s="165">
        <v>0</v>
      </c>
      <c r="BE75" s="379"/>
      <c r="BF75" s="165">
        <v>0</v>
      </c>
      <c r="BG75" s="379"/>
      <c r="BH75" s="225"/>
      <c r="BI75" s="184"/>
      <c r="CJ75" s="150"/>
      <c r="CK75" s="150"/>
      <c r="CL75" s="150"/>
      <c r="CM75" s="151" t="s">
        <v>1043</v>
      </c>
      <c r="CN75" s="150" t="s">
        <v>1130</v>
      </c>
      <c r="CO75" s="150"/>
      <c r="CP75" s="150"/>
      <c r="CQ75" s="150"/>
      <c r="CR75" s="150"/>
      <c r="CS75" s="150"/>
      <c r="CT75" s="150"/>
    </row>
    <row r="76" spans="1:98" s="11" customFormat="1">
      <c r="A76" s="310"/>
      <c r="B76" s="308" t="str">
        <f>Parameters!Q75</f>
        <v>N80-N82</v>
      </c>
      <c r="C76" s="309"/>
      <c r="D76" s="495" t="str">
        <f>Parameters!S75</f>
        <v>Security and investigation, service and landscape, office administrative and support activities</v>
      </c>
      <c r="E76" s="497"/>
      <c r="F76" s="224"/>
      <c r="G76" s="379"/>
      <c r="H76" s="225"/>
      <c r="I76" s="379"/>
      <c r="J76" s="225"/>
      <c r="K76" s="379"/>
      <c r="L76" s="225"/>
      <c r="M76" s="379"/>
      <c r="N76" s="225"/>
      <c r="O76" s="379"/>
      <c r="P76" s="225"/>
      <c r="Q76" s="379"/>
      <c r="R76" s="225"/>
      <c r="S76" s="379"/>
      <c r="T76" s="225"/>
      <c r="U76" s="379"/>
      <c r="V76" s="225"/>
      <c r="W76" s="379"/>
      <c r="X76" s="225"/>
      <c r="Y76" s="379"/>
      <c r="Z76" s="225"/>
      <c r="AA76" s="379"/>
      <c r="AB76" s="225"/>
      <c r="AC76" s="379"/>
      <c r="AD76" s="225"/>
      <c r="AE76" s="379"/>
      <c r="AF76" s="165">
        <v>0</v>
      </c>
      <c r="AG76" s="379"/>
      <c r="AH76" s="165">
        <v>0</v>
      </c>
      <c r="AI76" s="379"/>
      <c r="AJ76" s="165">
        <v>0</v>
      </c>
      <c r="AK76" s="379"/>
      <c r="AL76" s="165">
        <v>0</v>
      </c>
      <c r="AM76" s="379"/>
      <c r="AN76" s="165">
        <v>0</v>
      </c>
      <c r="AO76" s="379"/>
      <c r="AP76" s="165">
        <v>0</v>
      </c>
      <c r="AQ76" s="379"/>
      <c r="AR76" s="165">
        <v>0</v>
      </c>
      <c r="AS76" s="379"/>
      <c r="AT76" s="165">
        <v>0</v>
      </c>
      <c r="AU76" s="379"/>
      <c r="AV76" s="165">
        <v>0</v>
      </c>
      <c r="AW76" s="379"/>
      <c r="AX76" s="165">
        <v>0</v>
      </c>
      <c r="AY76" s="379"/>
      <c r="AZ76" s="165">
        <v>0</v>
      </c>
      <c r="BA76" s="379"/>
      <c r="BB76" s="165">
        <v>0</v>
      </c>
      <c r="BC76" s="379"/>
      <c r="BD76" s="165">
        <v>0</v>
      </c>
      <c r="BE76" s="379"/>
      <c r="BF76" s="165">
        <v>0</v>
      </c>
      <c r="BG76" s="379"/>
      <c r="BH76" s="225"/>
      <c r="BI76" s="184"/>
      <c r="CJ76" s="150"/>
      <c r="CK76" s="150"/>
      <c r="CL76" s="150"/>
      <c r="CM76" s="151" t="s">
        <v>1143</v>
      </c>
      <c r="CN76" s="150" t="s">
        <v>1130</v>
      </c>
      <c r="CO76" s="150"/>
      <c r="CP76" s="150"/>
      <c r="CQ76" s="150"/>
      <c r="CR76" s="150"/>
      <c r="CS76" s="150"/>
      <c r="CT76" s="150"/>
    </row>
    <row r="77" spans="1:98" s="11" customFormat="1" ht="12.75" customHeight="1">
      <c r="A77" s="25"/>
      <c r="B77" s="87" t="str">
        <f>Parameters!Q76</f>
        <v>O</v>
      </c>
      <c r="C77" s="88"/>
      <c r="D77" s="498" t="str">
        <f>Parameters!S76</f>
        <v>Public administration and defence; compulsory social security</v>
      </c>
      <c r="E77" s="499"/>
      <c r="F77" s="222"/>
      <c r="G77" s="379"/>
      <c r="H77" s="223"/>
      <c r="I77" s="379"/>
      <c r="J77" s="223"/>
      <c r="K77" s="379"/>
      <c r="L77" s="223"/>
      <c r="M77" s="379"/>
      <c r="N77" s="223"/>
      <c r="O77" s="379"/>
      <c r="P77" s="223"/>
      <c r="Q77" s="379"/>
      <c r="R77" s="223"/>
      <c r="S77" s="379"/>
      <c r="T77" s="223"/>
      <c r="U77" s="379"/>
      <c r="V77" s="223"/>
      <c r="W77" s="379"/>
      <c r="X77" s="223"/>
      <c r="Y77" s="379"/>
      <c r="Z77" s="223"/>
      <c r="AA77" s="379"/>
      <c r="AB77" s="223"/>
      <c r="AC77" s="379"/>
      <c r="AD77" s="223"/>
      <c r="AE77" s="379"/>
      <c r="AF77" s="164">
        <v>7471.6091194999999</v>
      </c>
      <c r="AG77" s="379"/>
      <c r="AH77" s="164">
        <v>8872.5655526999999</v>
      </c>
      <c r="AI77" s="379"/>
      <c r="AJ77" s="164">
        <v>10721.1356688</v>
      </c>
      <c r="AK77" s="379"/>
      <c r="AL77" s="164">
        <v>12476.3242751</v>
      </c>
      <c r="AM77" s="379"/>
      <c r="AN77" s="164">
        <v>13809.6052843</v>
      </c>
      <c r="AO77" s="379"/>
      <c r="AP77" s="164">
        <v>15064.619872699999</v>
      </c>
      <c r="AQ77" s="379"/>
      <c r="AR77" s="164">
        <v>16121.583971</v>
      </c>
      <c r="AS77" s="379"/>
      <c r="AT77" s="164">
        <v>17180.400187300002</v>
      </c>
      <c r="AU77" s="379"/>
      <c r="AV77" s="164">
        <v>17538.481686700001</v>
      </c>
      <c r="AW77" s="379"/>
      <c r="AX77" s="164">
        <v>17667.8674316</v>
      </c>
      <c r="AY77" s="379"/>
      <c r="AZ77" s="164">
        <v>17456.591162699999</v>
      </c>
      <c r="BA77" s="379"/>
      <c r="BB77" s="164">
        <v>16885.4883309</v>
      </c>
      <c r="BC77" s="379"/>
      <c r="BD77" s="164">
        <v>16129.083143100001</v>
      </c>
      <c r="BE77" s="379"/>
      <c r="BF77" s="164">
        <v>15302.8327873</v>
      </c>
      <c r="BG77" s="379"/>
      <c r="BH77" s="223"/>
      <c r="BI77" s="184"/>
      <c r="CJ77" s="150"/>
      <c r="CK77" s="150"/>
      <c r="CL77" s="150"/>
      <c r="CM77" s="151" t="s">
        <v>1051</v>
      </c>
      <c r="CN77" s="150" t="s">
        <v>1130</v>
      </c>
      <c r="CO77" s="150"/>
      <c r="CP77" s="150"/>
      <c r="CQ77" s="150"/>
      <c r="CR77" s="150"/>
      <c r="CS77" s="150"/>
      <c r="CT77" s="150"/>
    </row>
    <row r="78" spans="1:98" s="11" customFormat="1" ht="12.75" customHeight="1">
      <c r="A78" s="25"/>
      <c r="B78" s="87" t="str">
        <f>Parameters!Q77</f>
        <v>P</v>
      </c>
      <c r="C78" s="88"/>
      <c r="D78" s="498" t="str">
        <f>Parameters!S77</f>
        <v>Education</v>
      </c>
      <c r="E78" s="499"/>
      <c r="F78" s="222"/>
      <c r="G78" s="379"/>
      <c r="H78" s="223"/>
      <c r="I78" s="379"/>
      <c r="J78" s="223"/>
      <c r="K78" s="379"/>
      <c r="L78" s="223"/>
      <c r="M78" s="379"/>
      <c r="N78" s="223"/>
      <c r="O78" s="379"/>
      <c r="P78" s="223"/>
      <c r="Q78" s="379"/>
      <c r="R78" s="223"/>
      <c r="S78" s="379"/>
      <c r="T78" s="223"/>
      <c r="U78" s="379"/>
      <c r="V78" s="223"/>
      <c r="W78" s="379"/>
      <c r="X78" s="223"/>
      <c r="Y78" s="379"/>
      <c r="Z78" s="223"/>
      <c r="AA78" s="379"/>
      <c r="AB78" s="223"/>
      <c r="AC78" s="379"/>
      <c r="AD78" s="223"/>
      <c r="AE78" s="379"/>
      <c r="AF78" s="164">
        <v>7471.6091194999999</v>
      </c>
      <c r="AG78" s="379"/>
      <c r="AH78" s="164">
        <v>8872.5655526999999</v>
      </c>
      <c r="AI78" s="379"/>
      <c r="AJ78" s="164">
        <v>10721.1356688</v>
      </c>
      <c r="AK78" s="379"/>
      <c r="AL78" s="164">
        <v>12476.3242751</v>
      </c>
      <c r="AM78" s="379"/>
      <c r="AN78" s="164">
        <v>13809.6052843</v>
      </c>
      <c r="AO78" s="379"/>
      <c r="AP78" s="164">
        <v>15064.619872699999</v>
      </c>
      <c r="AQ78" s="379"/>
      <c r="AR78" s="164">
        <v>16121.583971</v>
      </c>
      <c r="AS78" s="379"/>
      <c r="AT78" s="164">
        <v>17180.400187300002</v>
      </c>
      <c r="AU78" s="379"/>
      <c r="AV78" s="164">
        <v>17538.481686700001</v>
      </c>
      <c r="AW78" s="379"/>
      <c r="AX78" s="164">
        <v>17667.8674316</v>
      </c>
      <c r="AY78" s="379"/>
      <c r="AZ78" s="164">
        <v>17456.591162699999</v>
      </c>
      <c r="BA78" s="379"/>
      <c r="BB78" s="164">
        <v>16885.4883309</v>
      </c>
      <c r="BC78" s="379"/>
      <c r="BD78" s="164">
        <v>16129.083143100001</v>
      </c>
      <c r="BE78" s="379"/>
      <c r="BF78" s="164">
        <v>15302.8327873</v>
      </c>
      <c r="BG78" s="379"/>
      <c r="BH78" s="223"/>
      <c r="BI78" s="184"/>
      <c r="CJ78" s="150"/>
      <c r="CK78" s="150"/>
      <c r="CL78" s="150"/>
      <c r="CM78" s="151" t="s">
        <v>271</v>
      </c>
      <c r="CN78" s="150" t="s">
        <v>1130</v>
      </c>
      <c r="CO78" s="150"/>
      <c r="CP78" s="150"/>
      <c r="CQ78" s="150"/>
      <c r="CR78" s="150"/>
      <c r="CS78" s="150"/>
      <c r="CT78" s="150"/>
    </row>
    <row r="79" spans="1:98" s="11" customFormat="1" ht="12.75" customHeight="1">
      <c r="A79" s="25"/>
      <c r="B79" s="87" t="str">
        <f>Parameters!Q78</f>
        <v>Q</v>
      </c>
      <c r="C79" s="88"/>
      <c r="D79" s="498" t="str">
        <f>Parameters!S78</f>
        <v>Human health and social work activities</v>
      </c>
      <c r="E79" s="499"/>
      <c r="F79" s="222"/>
      <c r="G79" s="379"/>
      <c r="H79" s="223"/>
      <c r="I79" s="379"/>
      <c r="J79" s="223"/>
      <c r="K79" s="379"/>
      <c r="L79" s="223"/>
      <c r="M79" s="379"/>
      <c r="N79" s="223"/>
      <c r="O79" s="379"/>
      <c r="P79" s="223"/>
      <c r="Q79" s="379"/>
      <c r="R79" s="223"/>
      <c r="S79" s="379"/>
      <c r="T79" s="223"/>
      <c r="U79" s="379"/>
      <c r="V79" s="223"/>
      <c r="W79" s="379"/>
      <c r="X79" s="223"/>
      <c r="Y79" s="379"/>
      <c r="Z79" s="223"/>
      <c r="AA79" s="379"/>
      <c r="AB79" s="223"/>
      <c r="AC79" s="379"/>
      <c r="AD79" s="223"/>
      <c r="AE79" s="379"/>
      <c r="AF79" s="164">
        <v>21732.0732173</v>
      </c>
      <c r="AG79" s="379"/>
      <c r="AH79" s="164">
        <v>25982.929360499998</v>
      </c>
      <c r="AI79" s="379"/>
      <c r="AJ79" s="164">
        <v>31559.0277523</v>
      </c>
      <c r="AK79" s="379"/>
      <c r="AL79" s="164">
        <v>36884.384083999998</v>
      </c>
      <c r="AM79" s="379"/>
      <c r="AN79" s="164">
        <v>40941.033257800002</v>
      </c>
      <c r="AO79" s="379"/>
      <c r="AP79" s="164">
        <v>44799.735869099997</v>
      </c>
      <c r="AQ79" s="379"/>
      <c r="AR79" s="164">
        <v>48061.108727500003</v>
      </c>
      <c r="AS79" s="379"/>
      <c r="AT79" s="164">
        <v>51257.999184799999</v>
      </c>
      <c r="AU79" s="379"/>
      <c r="AV79" s="164">
        <v>52395.289481699998</v>
      </c>
      <c r="AW79" s="379"/>
      <c r="AX79" s="164">
        <v>52933.475211899997</v>
      </c>
      <c r="AY79" s="379"/>
      <c r="AZ79" s="164">
        <v>52302.509369699997</v>
      </c>
      <c r="BA79" s="379"/>
      <c r="BB79" s="164">
        <v>50590.876816000004</v>
      </c>
      <c r="BC79" s="379"/>
      <c r="BD79" s="164">
        <v>48386.064036000003</v>
      </c>
      <c r="BE79" s="379"/>
      <c r="BF79" s="164">
        <v>45907.051907499997</v>
      </c>
      <c r="BG79" s="379"/>
      <c r="BH79" s="223"/>
      <c r="BI79" s="184"/>
      <c r="CJ79" s="150"/>
      <c r="CK79" s="150"/>
      <c r="CL79" s="150"/>
      <c r="CM79" s="151" t="s">
        <v>1059</v>
      </c>
      <c r="CN79" s="150" t="s">
        <v>1130</v>
      </c>
      <c r="CO79" s="150"/>
      <c r="CP79" s="150"/>
      <c r="CQ79" s="150"/>
      <c r="CR79" s="150"/>
      <c r="CS79" s="150"/>
      <c r="CT79" s="150"/>
    </row>
    <row r="80" spans="1:98" s="11" customFormat="1" ht="12.75" customHeight="1">
      <c r="A80" s="310"/>
      <c r="B80" s="308" t="str">
        <f>Parameters!Q79</f>
        <v>Q86</v>
      </c>
      <c r="C80" s="309"/>
      <c r="D80" s="495" t="str">
        <f>Parameters!S79</f>
        <v>Human health activities</v>
      </c>
      <c r="E80" s="497"/>
      <c r="F80" s="224"/>
      <c r="G80" s="379"/>
      <c r="H80" s="225"/>
      <c r="I80" s="379"/>
      <c r="J80" s="225"/>
      <c r="K80" s="379"/>
      <c r="L80" s="225"/>
      <c r="M80" s="379"/>
      <c r="N80" s="225"/>
      <c r="O80" s="379"/>
      <c r="P80" s="225"/>
      <c r="Q80" s="379"/>
      <c r="R80" s="225"/>
      <c r="S80" s="379"/>
      <c r="T80" s="225"/>
      <c r="U80" s="379"/>
      <c r="V80" s="225"/>
      <c r="W80" s="379"/>
      <c r="X80" s="225"/>
      <c r="Y80" s="379"/>
      <c r="Z80" s="225"/>
      <c r="AA80" s="379"/>
      <c r="AB80" s="225"/>
      <c r="AC80" s="379"/>
      <c r="AD80" s="225"/>
      <c r="AE80" s="379"/>
      <c r="AF80" s="165">
        <v>14791.494600399999</v>
      </c>
      <c r="AG80" s="379"/>
      <c r="AH80" s="165">
        <v>17604.076253300002</v>
      </c>
      <c r="AI80" s="379"/>
      <c r="AJ80" s="165">
        <v>21307.966327300001</v>
      </c>
      <c r="AK80" s="379"/>
      <c r="AL80" s="165">
        <v>24831.631787999999</v>
      </c>
      <c r="AM80" s="379"/>
      <c r="AN80" s="165">
        <v>27510.815302899999</v>
      </c>
      <c r="AO80" s="379"/>
      <c r="AP80" s="165">
        <v>30041.656688499999</v>
      </c>
      <c r="AQ80" s="379"/>
      <c r="AR80" s="165">
        <v>32175.692688800002</v>
      </c>
      <c r="AS80" s="379"/>
      <c r="AT80" s="165">
        <v>34297.866735099997</v>
      </c>
      <c r="AU80" s="379"/>
      <c r="AV80" s="165">
        <v>35028.034065</v>
      </c>
      <c r="AW80" s="379"/>
      <c r="AX80" s="165">
        <v>35320.147630200001</v>
      </c>
      <c r="AY80" s="379"/>
      <c r="AZ80" s="165">
        <v>34898.230297100003</v>
      </c>
      <c r="BA80" s="379"/>
      <c r="BB80" s="165">
        <v>33756.401511099997</v>
      </c>
      <c r="BC80" s="379"/>
      <c r="BD80" s="165">
        <v>32257.902869199999</v>
      </c>
      <c r="BE80" s="379"/>
      <c r="BF80" s="165">
        <v>30605.344158200001</v>
      </c>
      <c r="BG80" s="379"/>
      <c r="BH80" s="225"/>
      <c r="BI80" s="184"/>
      <c r="CJ80" s="150"/>
      <c r="CK80" s="150"/>
      <c r="CL80" s="150"/>
      <c r="CM80" s="151" t="s">
        <v>1063</v>
      </c>
      <c r="CN80" s="150" t="s">
        <v>1130</v>
      </c>
      <c r="CO80" s="150"/>
      <c r="CP80" s="150"/>
      <c r="CQ80" s="150"/>
      <c r="CR80" s="150"/>
      <c r="CS80" s="150"/>
      <c r="CT80" s="150"/>
    </row>
    <row r="81" spans="1:98" s="11" customFormat="1" ht="12.75" customHeight="1">
      <c r="A81" s="310"/>
      <c r="B81" s="308" t="str">
        <f>Parameters!Q80</f>
        <v>Q87_Q88</v>
      </c>
      <c r="C81" s="309"/>
      <c r="D81" s="495" t="str">
        <f>Parameters!S80</f>
        <v>Residential care activities and social work activities without accommodation</v>
      </c>
      <c r="E81" s="497"/>
      <c r="F81" s="224"/>
      <c r="G81" s="379"/>
      <c r="H81" s="225"/>
      <c r="I81" s="379"/>
      <c r="J81" s="225"/>
      <c r="K81" s="379"/>
      <c r="L81" s="225"/>
      <c r="M81" s="379"/>
      <c r="N81" s="225"/>
      <c r="O81" s="379"/>
      <c r="P81" s="225"/>
      <c r="Q81" s="379"/>
      <c r="R81" s="225"/>
      <c r="S81" s="379"/>
      <c r="T81" s="225"/>
      <c r="U81" s="379"/>
      <c r="V81" s="225"/>
      <c r="W81" s="379"/>
      <c r="X81" s="225"/>
      <c r="Y81" s="379"/>
      <c r="Z81" s="225"/>
      <c r="AA81" s="379"/>
      <c r="AB81" s="225"/>
      <c r="AC81" s="379"/>
      <c r="AD81" s="225"/>
      <c r="AE81" s="379"/>
      <c r="AF81" s="165">
        <v>6940.5786170000001</v>
      </c>
      <c r="AG81" s="379"/>
      <c r="AH81" s="165">
        <v>8378.8531072999995</v>
      </c>
      <c r="AI81" s="379"/>
      <c r="AJ81" s="165">
        <v>10251.061425</v>
      </c>
      <c r="AK81" s="379"/>
      <c r="AL81" s="165">
        <v>12052.752296000001</v>
      </c>
      <c r="AM81" s="379"/>
      <c r="AN81" s="165">
        <v>13430.217954899999</v>
      </c>
      <c r="AO81" s="379"/>
      <c r="AP81" s="165">
        <v>14758.0791806</v>
      </c>
      <c r="AQ81" s="379"/>
      <c r="AR81" s="165">
        <v>15885.416038699999</v>
      </c>
      <c r="AS81" s="379"/>
      <c r="AT81" s="165">
        <v>16960.132449699999</v>
      </c>
      <c r="AU81" s="379"/>
      <c r="AV81" s="165">
        <v>17367.255416700002</v>
      </c>
      <c r="AW81" s="379"/>
      <c r="AX81" s="165">
        <v>17613.327581599999</v>
      </c>
      <c r="AY81" s="379"/>
      <c r="AZ81" s="165">
        <v>17404.279072699999</v>
      </c>
      <c r="BA81" s="379"/>
      <c r="BB81" s="165">
        <v>16834.475304899999</v>
      </c>
      <c r="BC81" s="379"/>
      <c r="BD81" s="165">
        <v>16128.1611667</v>
      </c>
      <c r="BE81" s="379"/>
      <c r="BF81" s="165">
        <v>15301.7077493</v>
      </c>
      <c r="BG81" s="379"/>
      <c r="BH81" s="225"/>
      <c r="BI81" s="184"/>
      <c r="CJ81" s="157"/>
      <c r="CK81" s="150"/>
      <c r="CL81" s="157"/>
      <c r="CM81" s="151" t="s">
        <v>1144</v>
      </c>
      <c r="CN81" s="150" t="s">
        <v>1130</v>
      </c>
      <c r="CO81" s="157"/>
      <c r="CP81" s="157"/>
      <c r="CQ81" s="157"/>
      <c r="CR81" s="157"/>
      <c r="CS81" s="157"/>
      <c r="CT81" s="157"/>
    </row>
    <row r="82" spans="1:98" s="11" customFormat="1" ht="12.75" customHeight="1">
      <c r="A82" s="25"/>
      <c r="B82" s="87" t="str">
        <f>Parameters!Q81</f>
        <v>R</v>
      </c>
      <c r="C82" s="88"/>
      <c r="D82" s="498" t="str">
        <f>Parameters!S81</f>
        <v>Arts, entertainment and recreation</v>
      </c>
      <c r="E82" s="499"/>
      <c r="F82" s="222"/>
      <c r="G82" s="379"/>
      <c r="H82" s="223"/>
      <c r="I82" s="379"/>
      <c r="J82" s="223"/>
      <c r="K82" s="379"/>
      <c r="L82" s="223"/>
      <c r="M82" s="379"/>
      <c r="N82" s="223"/>
      <c r="O82" s="379"/>
      <c r="P82" s="223"/>
      <c r="Q82" s="379"/>
      <c r="R82" s="223"/>
      <c r="S82" s="379"/>
      <c r="T82" s="223"/>
      <c r="U82" s="379"/>
      <c r="V82" s="223"/>
      <c r="W82" s="379"/>
      <c r="X82" s="223"/>
      <c r="Y82" s="379"/>
      <c r="Z82" s="223"/>
      <c r="AA82" s="379"/>
      <c r="AB82" s="223"/>
      <c r="AC82" s="379"/>
      <c r="AD82" s="223"/>
      <c r="AE82" s="379"/>
      <c r="AF82" s="164">
        <v>22830.716052</v>
      </c>
      <c r="AG82" s="379"/>
      <c r="AH82" s="164">
        <v>21960.6665827</v>
      </c>
      <c r="AI82" s="379"/>
      <c r="AJ82" s="164">
        <v>22356.656476299999</v>
      </c>
      <c r="AK82" s="379"/>
      <c r="AL82" s="164">
        <v>21406.485770300002</v>
      </c>
      <c r="AM82" s="379"/>
      <c r="AN82" s="164">
        <v>20207.181391300001</v>
      </c>
      <c r="AO82" s="379"/>
      <c r="AP82" s="164">
        <v>18260.906664400001</v>
      </c>
      <c r="AQ82" s="379"/>
      <c r="AR82" s="164">
        <v>16967.934689999998</v>
      </c>
      <c r="AS82" s="379"/>
      <c r="AT82" s="164">
        <v>19576.954802600001</v>
      </c>
      <c r="AU82" s="379"/>
      <c r="AV82" s="164">
        <v>22307.6951008</v>
      </c>
      <c r="AW82" s="379"/>
      <c r="AX82" s="164">
        <v>23917.372796600001</v>
      </c>
      <c r="AY82" s="379"/>
      <c r="AZ82" s="164">
        <v>22336.325328499999</v>
      </c>
      <c r="BA82" s="379"/>
      <c r="BB82" s="164">
        <v>20229.027479100001</v>
      </c>
      <c r="BC82" s="379"/>
      <c r="BD82" s="164">
        <v>18021.6854967</v>
      </c>
      <c r="BE82" s="379"/>
      <c r="BF82" s="164">
        <v>16662.776560400001</v>
      </c>
      <c r="BG82" s="379"/>
      <c r="BH82" s="223"/>
      <c r="BI82" s="184"/>
      <c r="CJ82" s="157"/>
      <c r="CK82" s="150"/>
      <c r="CL82" s="157"/>
      <c r="CM82" s="151" t="s">
        <v>1070</v>
      </c>
      <c r="CN82" s="150" t="s">
        <v>1130</v>
      </c>
      <c r="CO82" s="157"/>
      <c r="CP82" s="157"/>
      <c r="CQ82" s="157"/>
      <c r="CR82" s="157"/>
      <c r="CS82" s="157"/>
      <c r="CT82" s="157"/>
    </row>
    <row r="83" spans="1:98" s="11" customFormat="1" ht="25.5" customHeight="1">
      <c r="A83" s="310"/>
      <c r="B83" s="308" t="str">
        <f>Parameters!Q82</f>
        <v>R90-R92</v>
      </c>
      <c r="C83" s="309"/>
      <c r="D83" s="495" t="str">
        <f>Parameters!S82</f>
        <v>Creative, arts and entertainment activities; libraries, archives, museums and other cultural activities; gambling and betting activities</v>
      </c>
      <c r="E83" s="497"/>
      <c r="F83" s="224"/>
      <c r="G83" s="379"/>
      <c r="H83" s="225"/>
      <c r="I83" s="379"/>
      <c r="J83" s="225"/>
      <c r="K83" s="379"/>
      <c r="L83" s="225"/>
      <c r="M83" s="379"/>
      <c r="N83" s="225"/>
      <c r="O83" s="379"/>
      <c r="P83" s="225"/>
      <c r="Q83" s="379"/>
      <c r="R83" s="225"/>
      <c r="S83" s="379"/>
      <c r="T83" s="225"/>
      <c r="U83" s="379"/>
      <c r="V83" s="225"/>
      <c r="W83" s="379"/>
      <c r="X83" s="225"/>
      <c r="Y83" s="379"/>
      <c r="Z83" s="225"/>
      <c r="AA83" s="379"/>
      <c r="AB83" s="225"/>
      <c r="AC83" s="379"/>
      <c r="AD83" s="225"/>
      <c r="AE83" s="379"/>
      <c r="AF83" s="165">
        <v>0</v>
      </c>
      <c r="AG83" s="379"/>
      <c r="AH83" s="165">
        <v>0</v>
      </c>
      <c r="AI83" s="379"/>
      <c r="AJ83" s="165">
        <v>0</v>
      </c>
      <c r="AK83" s="379"/>
      <c r="AL83" s="165">
        <v>0</v>
      </c>
      <c r="AM83" s="379"/>
      <c r="AN83" s="165">
        <v>0</v>
      </c>
      <c r="AO83" s="379"/>
      <c r="AP83" s="165">
        <v>0</v>
      </c>
      <c r="AQ83" s="379"/>
      <c r="AR83" s="165">
        <v>0</v>
      </c>
      <c r="AS83" s="379"/>
      <c r="AT83" s="165">
        <v>0</v>
      </c>
      <c r="AU83" s="379"/>
      <c r="AV83" s="165">
        <v>0</v>
      </c>
      <c r="AW83" s="379"/>
      <c r="AX83" s="165">
        <v>0</v>
      </c>
      <c r="AY83" s="379"/>
      <c r="AZ83" s="165">
        <v>0</v>
      </c>
      <c r="BA83" s="379"/>
      <c r="BB83" s="165">
        <v>0</v>
      </c>
      <c r="BC83" s="379"/>
      <c r="BD83" s="165">
        <v>0</v>
      </c>
      <c r="BE83" s="379"/>
      <c r="BF83" s="165">
        <v>0</v>
      </c>
      <c r="BG83" s="379"/>
      <c r="BH83" s="225"/>
      <c r="BI83" s="184"/>
      <c r="CJ83" s="157"/>
      <c r="CK83" s="150"/>
      <c r="CL83" s="157"/>
      <c r="CM83" s="151" t="s">
        <v>1145</v>
      </c>
      <c r="CN83" s="150" t="s">
        <v>1130</v>
      </c>
      <c r="CO83" s="157"/>
      <c r="CP83" s="157"/>
      <c r="CQ83" s="157"/>
      <c r="CR83" s="157"/>
      <c r="CS83" s="157"/>
      <c r="CT83" s="157"/>
    </row>
    <row r="84" spans="1:98" s="11" customFormat="1" ht="12.75" customHeight="1">
      <c r="A84" s="310"/>
      <c r="B84" s="308" t="str">
        <f>Parameters!Q83</f>
        <v>R93</v>
      </c>
      <c r="C84" s="309"/>
      <c r="D84" s="495" t="str">
        <f>Parameters!S83</f>
        <v>Sports activities and amusement and recreation activities</v>
      </c>
      <c r="E84" s="497"/>
      <c r="F84" s="224"/>
      <c r="G84" s="379"/>
      <c r="H84" s="225"/>
      <c r="I84" s="379"/>
      <c r="J84" s="225"/>
      <c r="K84" s="379"/>
      <c r="L84" s="225"/>
      <c r="M84" s="379"/>
      <c r="N84" s="225"/>
      <c r="O84" s="379"/>
      <c r="P84" s="225"/>
      <c r="Q84" s="379"/>
      <c r="R84" s="225"/>
      <c r="S84" s="379"/>
      <c r="T84" s="225"/>
      <c r="U84" s="379"/>
      <c r="V84" s="225"/>
      <c r="W84" s="379"/>
      <c r="X84" s="225"/>
      <c r="Y84" s="379"/>
      <c r="Z84" s="225"/>
      <c r="AA84" s="379"/>
      <c r="AB84" s="225"/>
      <c r="AC84" s="379"/>
      <c r="AD84" s="225"/>
      <c r="AE84" s="379"/>
      <c r="AF84" s="165">
        <v>22830.716052</v>
      </c>
      <c r="AG84" s="379"/>
      <c r="AH84" s="165">
        <v>21960.6665827</v>
      </c>
      <c r="AI84" s="379"/>
      <c r="AJ84" s="165">
        <v>22356.656476299999</v>
      </c>
      <c r="AK84" s="379"/>
      <c r="AL84" s="165">
        <v>21406.485770300002</v>
      </c>
      <c r="AM84" s="379"/>
      <c r="AN84" s="165">
        <v>20207.181391300001</v>
      </c>
      <c r="AO84" s="379"/>
      <c r="AP84" s="165">
        <v>18260.906664400001</v>
      </c>
      <c r="AQ84" s="379"/>
      <c r="AR84" s="165">
        <v>16967.934689999998</v>
      </c>
      <c r="AS84" s="379"/>
      <c r="AT84" s="165">
        <v>19576.954802600001</v>
      </c>
      <c r="AU84" s="379"/>
      <c r="AV84" s="165">
        <v>22307.6951008</v>
      </c>
      <c r="AW84" s="379"/>
      <c r="AX84" s="165">
        <v>23917.372796600001</v>
      </c>
      <c r="AY84" s="379"/>
      <c r="AZ84" s="165">
        <v>22336.325328499999</v>
      </c>
      <c r="BA84" s="379"/>
      <c r="BB84" s="165">
        <v>20229.027479100001</v>
      </c>
      <c r="BC84" s="379"/>
      <c r="BD84" s="165">
        <v>18021.6854967</v>
      </c>
      <c r="BE84" s="379"/>
      <c r="BF84" s="165">
        <v>16662.776560400001</v>
      </c>
      <c r="BG84" s="379"/>
      <c r="BH84" s="225"/>
      <c r="BI84" s="184"/>
      <c r="CJ84" s="157"/>
      <c r="CK84" s="150"/>
      <c r="CL84" s="157"/>
      <c r="CM84" s="151" t="s">
        <v>1074</v>
      </c>
      <c r="CN84" s="150" t="s">
        <v>1130</v>
      </c>
      <c r="CO84" s="157"/>
      <c r="CP84" s="157"/>
      <c r="CQ84" s="157"/>
      <c r="CR84" s="157"/>
      <c r="CS84" s="157"/>
      <c r="CT84" s="157"/>
    </row>
    <row r="85" spans="1:98" s="11" customFormat="1" ht="12.75" customHeight="1">
      <c r="A85" s="25"/>
      <c r="B85" s="87" t="str">
        <f>Parameters!Q84</f>
        <v>S</v>
      </c>
      <c r="C85" s="88"/>
      <c r="D85" s="498" t="str">
        <f>Parameters!S84</f>
        <v>Other service activities</v>
      </c>
      <c r="E85" s="499"/>
      <c r="F85" s="222"/>
      <c r="G85" s="379"/>
      <c r="H85" s="223"/>
      <c r="I85" s="379"/>
      <c r="J85" s="223"/>
      <c r="K85" s="379"/>
      <c r="L85" s="223"/>
      <c r="M85" s="379"/>
      <c r="N85" s="223"/>
      <c r="O85" s="379"/>
      <c r="P85" s="223"/>
      <c r="Q85" s="379"/>
      <c r="R85" s="223"/>
      <c r="S85" s="379"/>
      <c r="T85" s="223"/>
      <c r="U85" s="379"/>
      <c r="V85" s="223"/>
      <c r="W85" s="379"/>
      <c r="X85" s="223"/>
      <c r="Y85" s="379"/>
      <c r="Z85" s="223"/>
      <c r="AA85" s="379"/>
      <c r="AB85" s="223"/>
      <c r="AC85" s="379"/>
      <c r="AD85" s="223"/>
      <c r="AE85" s="379"/>
      <c r="AF85" s="164">
        <v>151.71917120000001</v>
      </c>
      <c r="AG85" s="379"/>
      <c r="AH85" s="164">
        <v>141.05835490000001</v>
      </c>
      <c r="AI85" s="379"/>
      <c r="AJ85" s="164">
        <v>134.309483</v>
      </c>
      <c r="AK85" s="379"/>
      <c r="AL85" s="164">
        <v>121.0171045</v>
      </c>
      <c r="AM85" s="379"/>
      <c r="AN85" s="164">
        <v>108.39526650000001</v>
      </c>
      <c r="AO85" s="379"/>
      <c r="AP85" s="164">
        <v>87.583056799999994</v>
      </c>
      <c r="AQ85" s="379"/>
      <c r="AR85" s="164">
        <v>67.476549199999994</v>
      </c>
      <c r="AS85" s="379"/>
      <c r="AT85" s="164">
        <v>62.933642200000001</v>
      </c>
      <c r="AU85" s="379"/>
      <c r="AV85" s="164">
        <v>48.924507599999998</v>
      </c>
      <c r="AW85" s="379"/>
      <c r="AX85" s="164">
        <v>15.58372</v>
      </c>
      <c r="AY85" s="379"/>
      <c r="AZ85" s="164">
        <v>14.94594</v>
      </c>
      <c r="BA85" s="379"/>
      <c r="BB85" s="164">
        <v>14.575150799999999</v>
      </c>
      <c r="BC85" s="379"/>
      <c r="BD85" s="164">
        <v>0.26342179999999998</v>
      </c>
      <c r="BE85" s="379"/>
      <c r="BF85" s="164">
        <v>0.32070419999999999</v>
      </c>
      <c r="BG85" s="379"/>
      <c r="BH85" s="223"/>
      <c r="BI85" s="184"/>
      <c r="CJ85" s="157"/>
      <c r="CK85" s="150"/>
      <c r="CL85" s="157"/>
      <c r="CM85" s="151" t="s">
        <v>1076</v>
      </c>
      <c r="CN85" s="150" t="s">
        <v>1130</v>
      </c>
      <c r="CO85" s="157"/>
      <c r="CP85" s="157"/>
      <c r="CQ85" s="157"/>
      <c r="CR85" s="157"/>
      <c r="CS85" s="157"/>
      <c r="CT85" s="157"/>
    </row>
    <row r="86" spans="1:98" s="10" customFormat="1" ht="12.75" customHeight="1">
      <c r="A86" s="310"/>
      <c r="B86" s="308" t="str">
        <f>Parameters!Q85</f>
        <v>S94</v>
      </c>
      <c r="C86" s="309"/>
      <c r="D86" s="495" t="str">
        <f>Parameters!S85</f>
        <v>Activities of membership organisations</v>
      </c>
      <c r="E86" s="496"/>
      <c r="F86" s="224"/>
      <c r="G86" s="379"/>
      <c r="H86" s="225"/>
      <c r="I86" s="379"/>
      <c r="J86" s="225"/>
      <c r="K86" s="379"/>
      <c r="L86" s="225"/>
      <c r="M86" s="379"/>
      <c r="N86" s="225"/>
      <c r="O86" s="379"/>
      <c r="P86" s="225"/>
      <c r="Q86" s="379"/>
      <c r="R86" s="225"/>
      <c r="S86" s="379"/>
      <c r="T86" s="225"/>
      <c r="U86" s="379"/>
      <c r="V86" s="225"/>
      <c r="W86" s="379"/>
      <c r="X86" s="225"/>
      <c r="Y86" s="379"/>
      <c r="Z86" s="225"/>
      <c r="AA86" s="379"/>
      <c r="AB86" s="225"/>
      <c r="AC86" s="379"/>
      <c r="AD86" s="225"/>
      <c r="AE86" s="379"/>
      <c r="AF86" s="165">
        <v>75.859585600000003</v>
      </c>
      <c r="AG86" s="379"/>
      <c r="AH86" s="165">
        <v>70.529177500000003</v>
      </c>
      <c r="AI86" s="379"/>
      <c r="AJ86" s="165">
        <v>67.1547415</v>
      </c>
      <c r="AK86" s="379"/>
      <c r="AL86" s="165">
        <v>60.508552299999998</v>
      </c>
      <c r="AM86" s="379"/>
      <c r="AN86" s="165">
        <v>54.1976333</v>
      </c>
      <c r="AO86" s="379"/>
      <c r="AP86" s="165">
        <v>43.791528399999997</v>
      </c>
      <c r="AQ86" s="379"/>
      <c r="AR86" s="165">
        <v>33.738274599999997</v>
      </c>
      <c r="AS86" s="379"/>
      <c r="AT86" s="165">
        <v>31.466821100000001</v>
      </c>
      <c r="AU86" s="379"/>
      <c r="AV86" s="165">
        <v>24.462253799999999</v>
      </c>
      <c r="AW86" s="379"/>
      <c r="AX86" s="165">
        <v>7.7918599999999998</v>
      </c>
      <c r="AY86" s="379"/>
      <c r="AZ86" s="165">
        <v>7.4729700000000001</v>
      </c>
      <c r="BA86" s="379"/>
      <c r="BB86" s="165">
        <v>7.2875753999999997</v>
      </c>
      <c r="BC86" s="379"/>
      <c r="BD86" s="165">
        <v>0.13171089999999999</v>
      </c>
      <c r="BE86" s="379"/>
      <c r="BF86" s="165">
        <v>0.1603521</v>
      </c>
      <c r="BG86" s="379"/>
      <c r="BH86" s="225"/>
      <c r="BI86" s="184"/>
      <c r="CJ86" s="157"/>
      <c r="CK86" s="150"/>
      <c r="CL86" s="157"/>
      <c r="CM86" s="151" t="s">
        <v>1078</v>
      </c>
      <c r="CN86" s="150" t="s">
        <v>1130</v>
      </c>
      <c r="CO86" s="157"/>
      <c r="CP86" s="157"/>
      <c r="CQ86" s="157"/>
      <c r="CR86" s="157"/>
      <c r="CS86" s="157"/>
      <c r="CT86" s="157"/>
    </row>
    <row r="87" spans="1:98" s="10" customFormat="1" ht="12.75" customHeight="1">
      <c r="A87" s="310"/>
      <c r="B87" s="308" t="str">
        <f>Parameters!Q86</f>
        <v>S95</v>
      </c>
      <c r="C87" s="309"/>
      <c r="D87" s="495" t="str">
        <f>Parameters!S86</f>
        <v>Repair of computers and personal and household goods</v>
      </c>
      <c r="E87" s="497"/>
      <c r="F87" s="224"/>
      <c r="G87" s="379"/>
      <c r="H87" s="225"/>
      <c r="I87" s="379"/>
      <c r="J87" s="225"/>
      <c r="K87" s="379"/>
      <c r="L87" s="225"/>
      <c r="M87" s="379"/>
      <c r="N87" s="225"/>
      <c r="O87" s="379"/>
      <c r="P87" s="225"/>
      <c r="Q87" s="379"/>
      <c r="R87" s="225"/>
      <c r="S87" s="379"/>
      <c r="T87" s="225"/>
      <c r="U87" s="379"/>
      <c r="V87" s="225"/>
      <c r="W87" s="379"/>
      <c r="X87" s="225"/>
      <c r="Y87" s="379"/>
      <c r="Z87" s="225"/>
      <c r="AA87" s="379"/>
      <c r="AB87" s="225"/>
      <c r="AC87" s="379"/>
      <c r="AD87" s="225"/>
      <c r="AE87" s="379"/>
      <c r="AF87" s="165">
        <v>0</v>
      </c>
      <c r="AG87" s="379"/>
      <c r="AH87" s="165">
        <v>0</v>
      </c>
      <c r="AI87" s="379"/>
      <c r="AJ87" s="165">
        <v>0</v>
      </c>
      <c r="AK87" s="379"/>
      <c r="AL87" s="165">
        <v>0</v>
      </c>
      <c r="AM87" s="379"/>
      <c r="AN87" s="165">
        <v>0</v>
      </c>
      <c r="AO87" s="379"/>
      <c r="AP87" s="165">
        <v>0</v>
      </c>
      <c r="AQ87" s="379"/>
      <c r="AR87" s="165">
        <v>0</v>
      </c>
      <c r="AS87" s="379"/>
      <c r="AT87" s="165">
        <v>0</v>
      </c>
      <c r="AU87" s="379"/>
      <c r="AV87" s="165">
        <v>0</v>
      </c>
      <c r="AW87" s="379"/>
      <c r="AX87" s="165">
        <v>0</v>
      </c>
      <c r="AY87" s="379"/>
      <c r="AZ87" s="165">
        <v>0</v>
      </c>
      <c r="BA87" s="379"/>
      <c r="BB87" s="165">
        <v>0</v>
      </c>
      <c r="BC87" s="379"/>
      <c r="BD87" s="165">
        <v>0</v>
      </c>
      <c r="BE87" s="379"/>
      <c r="BF87" s="165">
        <v>0</v>
      </c>
      <c r="BG87" s="379"/>
      <c r="BH87" s="225"/>
      <c r="BI87" s="184"/>
      <c r="CJ87" s="157"/>
      <c r="CK87" s="150"/>
      <c r="CL87" s="157"/>
      <c r="CM87" s="151" t="s">
        <v>1080</v>
      </c>
      <c r="CN87" s="150" t="s">
        <v>1130</v>
      </c>
      <c r="CO87" s="157"/>
      <c r="CP87" s="157"/>
      <c r="CQ87" s="157"/>
      <c r="CR87" s="157"/>
      <c r="CS87" s="157"/>
      <c r="CT87" s="157"/>
    </row>
    <row r="88" spans="1:98" s="10" customFormat="1" ht="12.75" customHeight="1">
      <c r="A88" s="310"/>
      <c r="B88" s="308" t="str">
        <f>Parameters!Q87</f>
        <v>S96</v>
      </c>
      <c r="C88" s="309"/>
      <c r="D88" s="495" t="str">
        <f>Parameters!S87</f>
        <v>Other personal service activities</v>
      </c>
      <c r="E88" s="497"/>
      <c r="F88" s="224"/>
      <c r="G88" s="379"/>
      <c r="H88" s="225"/>
      <c r="I88" s="379"/>
      <c r="J88" s="225"/>
      <c r="K88" s="379"/>
      <c r="L88" s="225"/>
      <c r="M88" s="379"/>
      <c r="N88" s="225"/>
      <c r="O88" s="379"/>
      <c r="P88" s="225"/>
      <c r="Q88" s="379"/>
      <c r="R88" s="225"/>
      <c r="S88" s="379"/>
      <c r="T88" s="225"/>
      <c r="U88" s="379"/>
      <c r="V88" s="225"/>
      <c r="W88" s="379"/>
      <c r="X88" s="225"/>
      <c r="Y88" s="379"/>
      <c r="Z88" s="225"/>
      <c r="AA88" s="379"/>
      <c r="AB88" s="225"/>
      <c r="AC88" s="379"/>
      <c r="AD88" s="225"/>
      <c r="AE88" s="379"/>
      <c r="AF88" s="165">
        <v>75.859585600000003</v>
      </c>
      <c r="AG88" s="379"/>
      <c r="AH88" s="165">
        <v>70.529177500000003</v>
      </c>
      <c r="AI88" s="379"/>
      <c r="AJ88" s="165">
        <v>67.1547415</v>
      </c>
      <c r="AK88" s="379"/>
      <c r="AL88" s="165">
        <v>60.508552299999998</v>
      </c>
      <c r="AM88" s="379"/>
      <c r="AN88" s="165">
        <v>54.1976333</v>
      </c>
      <c r="AO88" s="379"/>
      <c r="AP88" s="165">
        <v>43.791528399999997</v>
      </c>
      <c r="AQ88" s="379"/>
      <c r="AR88" s="165">
        <v>33.738274599999997</v>
      </c>
      <c r="AS88" s="379"/>
      <c r="AT88" s="165">
        <v>31.466821100000001</v>
      </c>
      <c r="AU88" s="379"/>
      <c r="AV88" s="165">
        <v>24.462253799999999</v>
      </c>
      <c r="AW88" s="379"/>
      <c r="AX88" s="165">
        <v>7.7918599999999998</v>
      </c>
      <c r="AY88" s="379"/>
      <c r="AZ88" s="165">
        <v>7.4729700000000001</v>
      </c>
      <c r="BA88" s="379"/>
      <c r="BB88" s="165">
        <v>7.2875753999999997</v>
      </c>
      <c r="BC88" s="379"/>
      <c r="BD88" s="165">
        <v>0.13171089999999999</v>
      </c>
      <c r="BE88" s="379"/>
      <c r="BF88" s="165">
        <v>0.1603521</v>
      </c>
      <c r="BG88" s="379"/>
      <c r="BH88" s="225"/>
      <c r="BI88" s="184"/>
      <c r="CJ88" s="157"/>
      <c r="CK88" s="150"/>
      <c r="CL88" s="157"/>
      <c r="CM88" s="151" t="s">
        <v>1082</v>
      </c>
      <c r="CN88" s="150" t="s">
        <v>1130</v>
      </c>
      <c r="CO88" s="157"/>
      <c r="CP88" s="157"/>
      <c r="CQ88" s="157"/>
      <c r="CR88" s="157"/>
      <c r="CS88" s="157"/>
      <c r="CT88" s="157"/>
    </row>
    <row r="89" spans="1:98" s="10" customFormat="1" ht="30.75" customHeight="1">
      <c r="A89" s="25"/>
      <c r="B89" s="87" t="str">
        <f>Parameters!Q88</f>
        <v>T</v>
      </c>
      <c r="C89" s="88"/>
      <c r="D89" s="498" t="str">
        <f>Parameters!S88</f>
        <v>Activities of households as employers; undifferentiated goods- and services-producing activities of households for own use</v>
      </c>
      <c r="E89" s="499"/>
      <c r="F89" s="222"/>
      <c r="G89" s="379"/>
      <c r="H89" s="231"/>
      <c r="I89" s="379"/>
      <c r="J89" s="231"/>
      <c r="K89" s="379"/>
      <c r="L89" s="231"/>
      <c r="M89" s="379"/>
      <c r="N89" s="231"/>
      <c r="O89" s="379"/>
      <c r="P89" s="231"/>
      <c r="Q89" s="379"/>
      <c r="R89" s="231"/>
      <c r="S89" s="379"/>
      <c r="T89" s="231"/>
      <c r="U89" s="379"/>
      <c r="V89" s="231"/>
      <c r="W89" s="379"/>
      <c r="X89" s="231"/>
      <c r="Y89" s="379"/>
      <c r="Z89" s="231"/>
      <c r="AA89" s="379"/>
      <c r="AB89" s="231"/>
      <c r="AC89" s="379"/>
      <c r="AD89" s="231"/>
      <c r="AE89" s="379"/>
      <c r="AF89" s="169">
        <v>0</v>
      </c>
      <c r="AG89" s="379"/>
      <c r="AH89" s="169">
        <v>0</v>
      </c>
      <c r="AI89" s="379"/>
      <c r="AJ89" s="169">
        <v>0</v>
      </c>
      <c r="AK89" s="379"/>
      <c r="AL89" s="169">
        <v>0</v>
      </c>
      <c r="AM89" s="379"/>
      <c r="AN89" s="169">
        <v>0</v>
      </c>
      <c r="AO89" s="379"/>
      <c r="AP89" s="169">
        <v>0</v>
      </c>
      <c r="AQ89" s="379"/>
      <c r="AR89" s="169">
        <v>0</v>
      </c>
      <c r="AS89" s="379"/>
      <c r="AT89" s="169">
        <v>0</v>
      </c>
      <c r="AU89" s="379"/>
      <c r="AV89" s="164">
        <v>0</v>
      </c>
      <c r="AW89" s="379"/>
      <c r="AX89" s="164">
        <v>0</v>
      </c>
      <c r="AY89" s="379"/>
      <c r="AZ89" s="164">
        <v>0</v>
      </c>
      <c r="BA89" s="379"/>
      <c r="BB89" s="164">
        <v>0</v>
      </c>
      <c r="BC89" s="379"/>
      <c r="BD89" s="164">
        <v>0</v>
      </c>
      <c r="BE89" s="379"/>
      <c r="BF89" s="164">
        <v>0</v>
      </c>
      <c r="BG89" s="379"/>
      <c r="BH89" s="223"/>
      <c r="BI89" s="184"/>
      <c r="CJ89" s="157"/>
      <c r="CK89" s="150"/>
      <c r="CL89" s="157"/>
      <c r="CM89" s="151" t="s">
        <v>647</v>
      </c>
      <c r="CN89" s="150" t="s">
        <v>1130</v>
      </c>
      <c r="CO89" s="157"/>
      <c r="CP89" s="157"/>
      <c r="CQ89" s="157"/>
      <c r="CR89" s="157"/>
      <c r="CS89" s="157"/>
      <c r="CT89" s="157"/>
    </row>
    <row r="90" spans="1:98" s="10" customFormat="1" ht="17.25" customHeight="1" thickBot="1">
      <c r="A90" s="25"/>
      <c r="B90" s="98" t="str">
        <f>Parameters!Q89</f>
        <v>U</v>
      </c>
      <c r="C90" s="14"/>
      <c r="D90" s="500" t="str">
        <f>Parameters!S89</f>
        <v>Activities of extraterritorial organisations and bodies</v>
      </c>
      <c r="E90" s="501"/>
      <c r="F90" s="222"/>
      <c r="G90" s="379"/>
      <c r="H90" s="223"/>
      <c r="I90" s="379"/>
      <c r="J90" s="223"/>
      <c r="K90" s="379"/>
      <c r="L90" s="223"/>
      <c r="M90" s="379"/>
      <c r="N90" s="223"/>
      <c r="O90" s="379"/>
      <c r="P90" s="223"/>
      <c r="Q90" s="379"/>
      <c r="R90" s="223"/>
      <c r="S90" s="379"/>
      <c r="T90" s="223"/>
      <c r="U90" s="379"/>
      <c r="V90" s="223"/>
      <c r="W90" s="379"/>
      <c r="X90" s="223"/>
      <c r="Y90" s="379"/>
      <c r="Z90" s="223"/>
      <c r="AA90" s="379"/>
      <c r="AB90" s="223"/>
      <c r="AC90" s="379"/>
      <c r="AD90" s="223"/>
      <c r="AE90" s="379"/>
      <c r="AF90" s="164">
        <v>0</v>
      </c>
      <c r="AG90" s="379" t="s">
        <v>422</v>
      </c>
      <c r="AH90" s="164">
        <v>0</v>
      </c>
      <c r="AI90" s="379" t="s">
        <v>422</v>
      </c>
      <c r="AJ90" s="164">
        <v>0</v>
      </c>
      <c r="AK90" s="379" t="s">
        <v>422</v>
      </c>
      <c r="AL90" s="164">
        <v>0</v>
      </c>
      <c r="AM90" s="379" t="s">
        <v>422</v>
      </c>
      <c r="AN90" s="164">
        <v>0</v>
      </c>
      <c r="AO90" s="379" t="s">
        <v>422</v>
      </c>
      <c r="AP90" s="164">
        <v>0</v>
      </c>
      <c r="AQ90" s="379" t="s">
        <v>422</v>
      </c>
      <c r="AR90" s="164">
        <v>0</v>
      </c>
      <c r="AS90" s="379" t="s">
        <v>422</v>
      </c>
      <c r="AT90" s="164">
        <v>0</v>
      </c>
      <c r="AU90" s="379" t="s">
        <v>422</v>
      </c>
      <c r="AV90" s="164">
        <v>0</v>
      </c>
      <c r="AW90" s="379" t="s">
        <v>422</v>
      </c>
      <c r="AX90" s="164">
        <v>0</v>
      </c>
      <c r="AY90" s="379" t="s">
        <v>422</v>
      </c>
      <c r="AZ90" s="164">
        <v>0</v>
      </c>
      <c r="BA90" s="379" t="s">
        <v>422</v>
      </c>
      <c r="BB90" s="164">
        <v>0</v>
      </c>
      <c r="BC90" s="379" t="s">
        <v>422</v>
      </c>
      <c r="BD90" s="164">
        <v>0</v>
      </c>
      <c r="BE90" s="379" t="s">
        <v>422</v>
      </c>
      <c r="BF90" s="164">
        <v>0</v>
      </c>
      <c r="BG90" s="379" t="s">
        <v>422</v>
      </c>
      <c r="BH90" s="223"/>
      <c r="BI90" s="184"/>
      <c r="CJ90" s="157"/>
      <c r="CK90" s="150"/>
      <c r="CL90" s="157"/>
      <c r="CM90" s="151" t="s">
        <v>1085</v>
      </c>
      <c r="CN90" s="150" t="s">
        <v>1130</v>
      </c>
      <c r="CO90" s="157"/>
      <c r="CP90" s="157"/>
      <c r="CQ90" s="157"/>
      <c r="CR90" s="157"/>
      <c r="CS90" s="157"/>
      <c r="CT90" s="157"/>
    </row>
    <row r="91" spans="1:98" ht="45" customHeight="1">
      <c r="A91" s="66"/>
      <c r="B91" s="492" t="s">
        <v>571</v>
      </c>
      <c r="C91" s="502"/>
      <c r="D91" s="502"/>
      <c r="E91" s="503"/>
      <c r="F91" s="232"/>
      <c r="G91" s="181"/>
      <c r="H91" s="233"/>
      <c r="I91" s="181"/>
      <c r="J91" s="233"/>
      <c r="K91" s="181"/>
      <c r="L91" s="233"/>
      <c r="M91" s="181"/>
      <c r="N91" s="233"/>
      <c r="O91" s="181"/>
      <c r="P91" s="233"/>
      <c r="Q91" s="181"/>
      <c r="R91" s="233"/>
      <c r="S91" s="181"/>
      <c r="T91" s="233"/>
      <c r="U91" s="181"/>
      <c r="V91" s="233"/>
      <c r="W91" s="181"/>
      <c r="X91" s="233"/>
      <c r="Y91" s="181"/>
      <c r="Z91" s="233"/>
      <c r="AA91" s="181"/>
      <c r="AB91" s="233"/>
      <c r="AC91" s="181"/>
      <c r="AD91" s="233"/>
      <c r="AE91" s="181"/>
      <c r="AF91" s="170">
        <v>166401.59227359999</v>
      </c>
      <c r="AG91" s="181"/>
      <c r="AH91" s="170">
        <v>175532.27107399999</v>
      </c>
      <c r="AI91" s="181"/>
      <c r="AJ91" s="170">
        <v>192405.47883579999</v>
      </c>
      <c r="AK91" s="181"/>
      <c r="AL91" s="170">
        <v>217116.3061364</v>
      </c>
      <c r="AM91" s="181"/>
      <c r="AN91" s="170">
        <v>234099.45908910001</v>
      </c>
      <c r="AO91" s="181"/>
      <c r="AP91" s="170">
        <v>240954.08881630001</v>
      </c>
      <c r="AQ91" s="181"/>
      <c r="AR91" s="170">
        <v>248324.3044845</v>
      </c>
      <c r="AS91" s="181"/>
      <c r="AT91" s="170">
        <v>252171.59099130001</v>
      </c>
      <c r="AU91" s="181"/>
      <c r="AV91" s="171">
        <v>252835.8174767</v>
      </c>
      <c r="AW91" s="181"/>
      <c r="AX91" s="171">
        <v>244053.2373985</v>
      </c>
      <c r="AY91" s="181"/>
      <c r="AZ91" s="171">
        <v>233152.35465270001</v>
      </c>
      <c r="BA91" s="181"/>
      <c r="BB91" s="171">
        <v>226065.7347034</v>
      </c>
      <c r="BC91" s="181"/>
      <c r="BD91" s="171">
        <v>208481.981516</v>
      </c>
      <c r="BE91" s="181"/>
      <c r="BF91" s="171">
        <v>172847.7907292</v>
      </c>
      <c r="BG91" s="181"/>
      <c r="BH91" s="234"/>
      <c r="BI91" s="183"/>
      <c r="CJ91" s="157"/>
      <c r="CK91" s="150"/>
      <c r="CL91" s="157"/>
      <c r="CM91" s="151" t="s">
        <v>1088</v>
      </c>
      <c r="CN91" s="150" t="s">
        <v>1130</v>
      </c>
      <c r="CO91" s="157"/>
      <c r="CP91" s="157"/>
      <c r="CQ91" s="157"/>
      <c r="CR91" s="157"/>
      <c r="CS91" s="157"/>
      <c r="CT91" s="157"/>
    </row>
    <row r="92" spans="1:98">
      <c r="A92" s="66"/>
      <c r="B92" s="3"/>
      <c r="C92" s="99"/>
      <c r="D92" s="488" t="s">
        <v>572</v>
      </c>
      <c r="E92" s="489"/>
      <c r="F92" s="235"/>
      <c r="G92" s="379"/>
      <c r="H92" s="236"/>
      <c r="I92" s="379"/>
      <c r="J92" s="236"/>
      <c r="K92" s="379"/>
      <c r="L92" s="236"/>
      <c r="M92" s="379"/>
      <c r="N92" s="236"/>
      <c r="O92" s="379"/>
      <c r="P92" s="236"/>
      <c r="Q92" s="379"/>
      <c r="R92" s="236"/>
      <c r="S92" s="379"/>
      <c r="T92" s="236"/>
      <c r="U92" s="379"/>
      <c r="V92" s="236"/>
      <c r="W92" s="379"/>
      <c r="X92" s="236"/>
      <c r="Y92" s="379"/>
      <c r="Z92" s="236"/>
      <c r="AA92" s="379"/>
      <c r="AB92" s="236"/>
      <c r="AC92" s="379"/>
      <c r="AD92" s="236"/>
      <c r="AE92" s="379"/>
      <c r="AF92" s="172">
        <v>0</v>
      </c>
      <c r="AG92" s="379"/>
      <c r="AH92" s="172">
        <v>0</v>
      </c>
      <c r="AI92" s="379"/>
      <c r="AJ92" s="172">
        <v>0</v>
      </c>
      <c r="AK92" s="379"/>
      <c r="AL92" s="172">
        <v>0</v>
      </c>
      <c r="AM92" s="379"/>
      <c r="AN92" s="172">
        <v>0</v>
      </c>
      <c r="AO92" s="379"/>
      <c r="AP92" s="172">
        <v>0</v>
      </c>
      <c r="AQ92" s="379"/>
      <c r="AR92" s="172">
        <v>0</v>
      </c>
      <c r="AS92" s="379"/>
      <c r="AT92" s="172">
        <v>0</v>
      </c>
      <c r="AU92" s="379"/>
      <c r="AV92" s="173">
        <v>0</v>
      </c>
      <c r="AW92" s="379"/>
      <c r="AX92" s="173">
        <v>0</v>
      </c>
      <c r="AY92" s="379"/>
      <c r="AZ92" s="173">
        <v>0</v>
      </c>
      <c r="BA92" s="379"/>
      <c r="BB92" s="173">
        <v>0</v>
      </c>
      <c r="BC92" s="379"/>
      <c r="BD92" s="173">
        <v>0</v>
      </c>
      <c r="BE92" s="379"/>
      <c r="BF92" s="173">
        <v>0</v>
      </c>
      <c r="BG92" s="379"/>
      <c r="BH92" s="237"/>
      <c r="BI92" s="184"/>
      <c r="CJ92" s="157"/>
      <c r="CK92" s="150"/>
      <c r="CL92" s="157"/>
      <c r="CM92" s="151" t="s">
        <v>1146</v>
      </c>
      <c r="CN92" s="150" t="s">
        <v>1130</v>
      </c>
      <c r="CO92" s="157"/>
      <c r="CP92" s="157"/>
      <c r="CQ92" s="157"/>
      <c r="CR92" s="157"/>
      <c r="CS92" s="157"/>
      <c r="CT92" s="157"/>
    </row>
    <row r="93" spans="1:98">
      <c r="A93" s="314"/>
      <c r="B93" s="3"/>
      <c r="C93" s="99"/>
      <c r="D93" s="488" t="s">
        <v>573</v>
      </c>
      <c r="E93" s="489"/>
      <c r="F93" s="235"/>
      <c r="G93" s="379"/>
      <c r="H93" s="236"/>
      <c r="I93" s="379"/>
      <c r="J93" s="236"/>
      <c r="K93" s="379"/>
      <c r="L93" s="236"/>
      <c r="M93" s="379"/>
      <c r="N93" s="236"/>
      <c r="O93" s="379"/>
      <c r="P93" s="236"/>
      <c r="Q93" s="379"/>
      <c r="R93" s="236"/>
      <c r="S93" s="379"/>
      <c r="T93" s="236"/>
      <c r="U93" s="379"/>
      <c r="V93" s="236"/>
      <c r="W93" s="379"/>
      <c r="X93" s="236"/>
      <c r="Y93" s="379"/>
      <c r="Z93" s="236"/>
      <c r="AA93" s="379"/>
      <c r="AB93" s="236"/>
      <c r="AC93" s="379"/>
      <c r="AD93" s="236"/>
      <c r="AE93" s="379"/>
      <c r="AF93" s="172">
        <v>0</v>
      </c>
      <c r="AG93" s="379"/>
      <c r="AH93" s="172">
        <v>0</v>
      </c>
      <c r="AI93" s="379"/>
      <c r="AJ93" s="172">
        <v>0</v>
      </c>
      <c r="AK93" s="379"/>
      <c r="AL93" s="172">
        <v>0</v>
      </c>
      <c r="AM93" s="379"/>
      <c r="AN93" s="172">
        <v>0</v>
      </c>
      <c r="AO93" s="379"/>
      <c r="AP93" s="172">
        <v>0</v>
      </c>
      <c r="AQ93" s="379"/>
      <c r="AR93" s="172">
        <v>0</v>
      </c>
      <c r="AS93" s="379"/>
      <c r="AT93" s="172">
        <v>0</v>
      </c>
      <c r="AU93" s="379"/>
      <c r="AV93" s="173">
        <v>0</v>
      </c>
      <c r="AW93" s="379"/>
      <c r="AX93" s="173">
        <v>0</v>
      </c>
      <c r="AY93" s="379"/>
      <c r="AZ93" s="173">
        <v>0</v>
      </c>
      <c r="BA93" s="379"/>
      <c r="BB93" s="173">
        <v>0</v>
      </c>
      <c r="BC93" s="379"/>
      <c r="BD93" s="173">
        <v>0</v>
      </c>
      <c r="BE93" s="379"/>
      <c r="BF93" s="173">
        <v>0</v>
      </c>
      <c r="BG93" s="379"/>
      <c r="BH93" s="237"/>
      <c r="BI93" s="184"/>
      <c r="CJ93" s="157"/>
      <c r="CK93" s="150"/>
      <c r="CL93" s="157"/>
      <c r="CM93" s="151" t="s">
        <v>1094</v>
      </c>
      <c r="CN93" s="150" t="s">
        <v>1130</v>
      </c>
      <c r="CO93" s="157"/>
      <c r="CP93" s="157"/>
      <c r="CQ93" s="157"/>
      <c r="CR93" s="157"/>
      <c r="CS93" s="157"/>
      <c r="CT93" s="157"/>
    </row>
    <row r="94" spans="1:98" ht="15" customHeight="1" thickBot="1">
      <c r="A94" s="314"/>
      <c r="B94" s="4"/>
      <c r="C94" s="2"/>
      <c r="D94" s="490" t="s">
        <v>574</v>
      </c>
      <c r="E94" s="491"/>
      <c r="F94" s="238"/>
      <c r="G94" s="182"/>
      <c r="H94" s="239"/>
      <c r="I94" s="182"/>
      <c r="J94" s="239"/>
      <c r="K94" s="182"/>
      <c r="L94" s="239"/>
      <c r="M94" s="182"/>
      <c r="N94" s="239"/>
      <c r="O94" s="182"/>
      <c r="P94" s="239"/>
      <c r="Q94" s="182"/>
      <c r="R94" s="239"/>
      <c r="S94" s="182"/>
      <c r="T94" s="239"/>
      <c r="U94" s="182"/>
      <c r="V94" s="239"/>
      <c r="W94" s="182"/>
      <c r="X94" s="239"/>
      <c r="Y94" s="182"/>
      <c r="Z94" s="239"/>
      <c r="AA94" s="182"/>
      <c r="AB94" s="239"/>
      <c r="AC94" s="182"/>
      <c r="AD94" s="239"/>
      <c r="AE94" s="182"/>
      <c r="AF94" s="174">
        <v>166401.59227359999</v>
      </c>
      <c r="AG94" s="182"/>
      <c r="AH94" s="174">
        <v>175532.27107399999</v>
      </c>
      <c r="AI94" s="182"/>
      <c r="AJ94" s="174">
        <v>192405.47883579999</v>
      </c>
      <c r="AK94" s="182"/>
      <c r="AL94" s="174">
        <v>217116.3061364</v>
      </c>
      <c r="AM94" s="182"/>
      <c r="AN94" s="174">
        <v>234099.45908910001</v>
      </c>
      <c r="AO94" s="182"/>
      <c r="AP94" s="174">
        <v>240954.08881630001</v>
      </c>
      <c r="AQ94" s="182"/>
      <c r="AR94" s="174">
        <v>248324.3044845</v>
      </c>
      <c r="AS94" s="182"/>
      <c r="AT94" s="174">
        <v>252171.59099130001</v>
      </c>
      <c r="AU94" s="182"/>
      <c r="AV94" s="175">
        <v>252835.8174767</v>
      </c>
      <c r="AW94" s="182"/>
      <c r="AX94" s="175">
        <v>244053.2373985</v>
      </c>
      <c r="AY94" s="182"/>
      <c r="AZ94" s="175">
        <v>233152.35465270001</v>
      </c>
      <c r="BA94" s="182"/>
      <c r="BB94" s="175">
        <v>226065.7347034</v>
      </c>
      <c r="BC94" s="182"/>
      <c r="BD94" s="175">
        <v>208481.981516</v>
      </c>
      <c r="BE94" s="182"/>
      <c r="BF94" s="175">
        <v>172847.7907292</v>
      </c>
      <c r="BG94" s="182"/>
      <c r="BH94" s="240"/>
      <c r="BI94" s="185"/>
      <c r="CJ94" s="157"/>
      <c r="CK94" s="150"/>
      <c r="CL94" s="157"/>
      <c r="CM94" s="151" t="s">
        <v>1097</v>
      </c>
      <c r="CN94" s="150" t="s">
        <v>1130</v>
      </c>
      <c r="CO94" s="157"/>
      <c r="CP94" s="157"/>
      <c r="CQ94" s="157"/>
      <c r="CR94" s="157"/>
      <c r="CS94" s="157"/>
      <c r="CT94" s="157"/>
    </row>
    <row r="95" spans="1:98" ht="55.5" customHeight="1">
      <c r="A95" s="314"/>
      <c r="B95" s="556" t="s">
        <v>1171</v>
      </c>
      <c r="C95" s="557"/>
      <c r="D95" s="557"/>
      <c r="E95" s="558"/>
      <c r="F95" s="235"/>
      <c r="G95" s="379"/>
      <c r="H95" s="236"/>
      <c r="I95" s="379"/>
      <c r="J95" s="236"/>
      <c r="K95" s="379"/>
      <c r="L95" s="236"/>
      <c r="M95" s="379"/>
      <c r="N95" s="236"/>
      <c r="O95" s="379"/>
      <c r="P95" s="236"/>
      <c r="Q95" s="379"/>
      <c r="R95" s="236"/>
      <c r="S95" s="379"/>
      <c r="T95" s="236"/>
      <c r="U95" s="379"/>
      <c r="V95" s="236"/>
      <c r="W95" s="379"/>
      <c r="X95" s="236"/>
      <c r="Y95" s="379"/>
      <c r="Z95" s="236"/>
      <c r="AA95" s="379"/>
      <c r="AB95" s="236"/>
      <c r="AC95" s="379"/>
      <c r="AD95" s="236"/>
      <c r="AE95" s="379"/>
      <c r="AF95" s="172">
        <v>709200.17484410002</v>
      </c>
      <c r="AG95" s="379"/>
      <c r="AH95" s="172">
        <v>783756.05064210005</v>
      </c>
      <c r="AI95" s="379"/>
      <c r="AJ95" s="172">
        <v>855116.51757420006</v>
      </c>
      <c r="AK95" s="379"/>
      <c r="AL95" s="172">
        <v>922784.75367110001</v>
      </c>
      <c r="AM95" s="379"/>
      <c r="AN95" s="172">
        <v>979486.71801179997</v>
      </c>
      <c r="AO95" s="379"/>
      <c r="AP95" s="172">
        <v>1067641.1469966001</v>
      </c>
      <c r="AQ95" s="379"/>
      <c r="AR95" s="172">
        <v>1027614.4745563</v>
      </c>
      <c r="AS95" s="379"/>
      <c r="AT95" s="172">
        <v>909400.02892399998</v>
      </c>
      <c r="AU95" s="379"/>
      <c r="AV95" s="173">
        <v>950310.4303598</v>
      </c>
      <c r="AW95" s="379"/>
      <c r="AX95" s="173">
        <v>972586.04371560004</v>
      </c>
      <c r="AY95" s="379"/>
      <c r="AZ95" s="173">
        <v>939463.25696110004</v>
      </c>
      <c r="BA95" s="379"/>
      <c r="BB95" s="173">
        <v>874497.63961319998</v>
      </c>
      <c r="BC95" s="379"/>
      <c r="BD95" s="173">
        <v>749796.45268250001</v>
      </c>
      <c r="BE95" s="379"/>
      <c r="BF95" s="173">
        <v>628422.63154800003</v>
      </c>
      <c r="BG95" s="379"/>
      <c r="BH95" s="237"/>
      <c r="BI95" s="184"/>
      <c r="CJ95" s="157"/>
      <c r="CK95" s="150"/>
      <c r="CL95" s="157"/>
      <c r="CM95" s="151" t="s">
        <v>1148</v>
      </c>
      <c r="CN95" s="150" t="s">
        <v>1130</v>
      </c>
      <c r="CO95" s="157"/>
      <c r="CP95" s="157"/>
      <c r="CQ95" s="157"/>
      <c r="CR95" s="157"/>
      <c r="CS95" s="157"/>
      <c r="CT95" s="157"/>
    </row>
    <row r="96" spans="1:98" ht="17.25" customHeight="1">
      <c r="A96" s="317"/>
      <c r="B96" s="200">
        <v>2</v>
      </c>
      <c r="C96" s="101"/>
      <c r="D96" s="482" t="s">
        <v>576</v>
      </c>
      <c r="E96" s="483"/>
      <c r="F96" s="235"/>
      <c r="G96" s="379"/>
      <c r="H96" s="236"/>
      <c r="I96" s="379"/>
      <c r="J96" s="236"/>
      <c r="K96" s="379"/>
      <c r="L96" s="236"/>
      <c r="M96" s="379"/>
      <c r="N96" s="236"/>
      <c r="O96" s="379"/>
      <c r="P96" s="236"/>
      <c r="Q96" s="379"/>
      <c r="R96" s="236"/>
      <c r="S96" s="379"/>
      <c r="T96" s="236"/>
      <c r="U96" s="379"/>
      <c r="V96" s="236"/>
      <c r="W96" s="379"/>
      <c r="X96" s="236"/>
      <c r="Y96" s="379"/>
      <c r="Z96" s="236"/>
      <c r="AA96" s="379"/>
      <c r="AB96" s="236"/>
      <c r="AC96" s="379"/>
      <c r="AD96" s="236"/>
      <c r="AE96" s="379"/>
      <c r="AF96" s="172">
        <v>0</v>
      </c>
      <c r="AG96" s="379"/>
      <c r="AH96" s="172">
        <v>0</v>
      </c>
      <c r="AI96" s="379"/>
      <c r="AJ96" s="172">
        <v>0</v>
      </c>
      <c r="AK96" s="379"/>
      <c r="AL96" s="172">
        <v>0</v>
      </c>
      <c r="AM96" s="379"/>
      <c r="AN96" s="172">
        <v>0</v>
      </c>
      <c r="AO96" s="379"/>
      <c r="AP96" s="172">
        <v>0</v>
      </c>
      <c r="AQ96" s="379"/>
      <c r="AR96" s="172">
        <v>0</v>
      </c>
      <c r="AS96" s="379"/>
      <c r="AT96" s="172">
        <v>0</v>
      </c>
      <c r="AU96" s="379"/>
      <c r="AV96" s="173">
        <v>0</v>
      </c>
      <c r="AW96" s="379"/>
      <c r="AX96" s="173">
        <v>0</v>
      </c>
      <c r="AY96" s="379"/>
      <c r="AZ96" s="173">
        <v>0</v>
      </c>
      <c r="BA96" s="379"/>
      <c r="BB96" s="173">
        <v>0</v>
      </c>
      <c r="BC96" s="379"/>
      <c r="BD96" s="173">
        <v>0</v>
      </c>
      <c r="BE96" s="379"/>
      <c r="BF96" s="173">
        <v>0</v>
      </c>
      <c r="BG96" s="379"/>
      <c r="BH96" s="237"/>
      <c r="BI96" s="184"/>
      <c r="CJ96" s="157"/>
      <c r="CK96" s="150"/>
      <c r="CL96" s="157"/>
      <c r="CM96" s="151" t="s">
        <v>1148</v>
      </c>
      <c r="CN96" s="157" t="s">
        <v>1149</v>
      </c>
      <c r="CO96" s="157"/>
      <c r="CP96" s="157"/>
      <c r="CQ96" s="157"/>
      <c r="CR96" s="157"/>
      <c r="CS96" s="157"/>
      <c r="CT96" s="157"/>
    </row>
    <row r="97" spans="1:98" ht="12.75" customHeight="1">
      <c r="A97" s="317"/>
      <c r="B97" s="201">
        <v>2.1</v>
      </c>
      <c r="C97" s="102"/>
      <c r="D97" s="480" t="s">
        <v>577</v>
      </c>
      <c r="E97" s="481"/>
      <c r="F97" s="224"/>
      <c r="G97" s="379"/>
      <c r="H97" s="228"/>
      <c r="I97" s="379"/>
      <c r="J97" s="228"/>
      <c r="K97" s="379"/>
      <c r="L97" s="228"/>
      <c r="M97" s="379"/>
      <c r="N97" s="228"/>
      <c r="O97" s="379"/>
      <c r="P97" s="228"/>
      <c r="Q97" s="379"/>
      <c r="R97" s="228"/>
      <c r="S97" s="379"/>
      <c r="T97" s="228"/>
      <c r="U97" s="379"/>
      <c r="V97" s="228"/>
      <c r="W97" s="379"/>
      <c r="X97" s="228"/>
      <c r="Y97" s="379"/>
      <c r="Z97" s="228"/>
      <c r="AA97" s="379"/>
      <c r="AB97" s="228"/>
      <c r="AC97" s="379"/>
      <c r="AD97" s="228"/>
      <c r="AE97" s="379"/>
      <c r="AF97" s="167">
        <v>0</v>
      </c>
      <c r="AG97" s="379"/>
      <c r="AH97" s="167">
        <v>0</v>
      </c>
      <c r="AI97" s="379"/>
      <c r="AJ97" s="167">
        <v>0</v>
      </c>
      <c r="AK97" s="379"/>
      <c r="AL97" s="167">
        <v>0</v>
      </c>
      <c r="AM97" s="379"/>
      <c r="AN97" s="167">
        <v>0</v>
      </c>
      <c r="AO97" s="379"/>
      <c r="AP97" s="167">
        <v>0</v>
      </c>
      <c r="AQ97" s="379"/>
      <c r="AR97" s="167">
        <v>0</v>
      </c>
      <c r="AS97" s="379"/>
      <c r="AT97" s="167">
        <v>0</v>
      </c>
      <c r="AU97" s="379"/>
      <c r="AV97" s="165">
        <v>0</v>
      </c>
      <c r="AW97" s="379"/>
      <c r="AX97" s="165">
        <v>0</v>
      </c>
      <c r="AY97" s="379"/>
      <c r="AZ97" s="165">
        <v>0</v>
      </c>
      <c r="BA97" s="379"/>
      <c r="BB97" s="165">
        <v>0</v>
      </c>
      <c r="BC97" s="379"/>
      <c r="BD97" s="165">
        <v>0</v>
      </c>
      <c r="BE97" s="379"/>
      <c r="BF97" s="165">
        <v>0</v>
      </c>
      <c r="BG97" s="379"/>
      <c r="BH97" s="225"/>
      <c r="BI97" s="184"/>
      <c r="CJ97" s="157"/>
      <c r="CK97" s="150"/>
      <c r="CL97" s="157"/>
      <c r="CM97" s="151" t="s">
        <v>1148</v>
      </c>
      <c r="CN97" s="157" t="s">
        <v>1150</v>
      </c>
      <c r="CO97" s="157"/>
      <c r="CP97" s="157"/>
      <c r="CQ97" s="157"/>
      <c r="CR97" s="157"/>
      <c r="CS97" s="157"/>
      <c r="CT97" s="157"/>
    </row>
    <row r="98" spans="1:98" ht="12.75" customHeight="1">
      <c r="A98" s="317"/>
      <c r="B98" s="201">
        <v>2.2000000000000002</v>
      </c>
      <c r="C98" s="102"/>
      <c r="D98" s="480" t="s">
        <v>578</v>
      </c>
      <c r="E98" s="481"/>
      <c r="F98" s="224"/>
      <c r="G98" s="379"/>
      <c r="H98" s="228"/>
      <c r="I98" s="379"/>
      <c r="J98" s="228"/>
      <c r="K98" s="379"/>
      <c r="L98" s="228"/>
      <c r="M98" s="379"/>
      <c r="N98" s="228"/>
      <c r="O98" s="379"/>
      <c r="P98" s="228"/>
      <c r="Q98" s="379"/>
      <c r="R98" s="228"/>
      <c r="S98" s="379"/>
      <c r="T98" s="228"/>
      <c r="U98" s="379"/>
      <c r="V98" s="228"/>
      <c r="W98" s="379"/>
      <c r="X98" s="228"/>
      <c r="Y98" s="379"/>
      <c r="Z98" s="228"/>
      <c r="AA98" s="379"/>
      <c r="AB98" s="228"/>
      <c r="AC98" s="379"/>
      <c r="AD98" s="228"/>
      <c r="AE98" s="379"/>
      <c r="AF98" s="167">
        <v>0</v>
      </c>
      <c r="AG98" s="379"/>
      <c r="AH98" s="167">
        <v>0</v>
      </c>
      <c r="AI98" s="379"/>
      <c r="AJ98" s="167">
        <v>0</v>
      </c>
      <c r="AK98" s="379"/>
      <c r="AL98" s="167">
        <v>0</v>
      </c>
      <c r="AM98" s="379"/>
      <c r="AN98" s="167">
        <v>0</v>
      </c>
      <c r="AO98" s="379"/>
      <c r="AP98" s="167">
        <v>0</v>
      </c>
      <c r="AQ98" s="379"/>
      <c r="AR98" s="167">
        <v>0</v>
      </c>
      <c r="AS98" s="379"/>
      <c r="AT98" s="167">
        <v>0</v>
      </c>
      <c r="AU98" s="379"/>
      <c r="AV98" s="165">
        <v>0</v>
      </c>
      <c r="AW98" s="379"/>
      <c r="AX98" s="165">
        <v>0</v>
      </c>
      <c r="AY98" s="379"/>
      <c r="AZ98" s="165">
        <v>0</v>
      </c>
      <c r="BA98" s="379"/>
      <c r="BB98" s="165">
        <v>0</v>
      </c>
      <c r="BC98" s="379"/>
      <c r="BD98" s="165">
        <v>0</v>
      </c>
      <c r="BE98" s="379"/>
      <c r="BF98" s="165">
        <v>0</v>
      </c>
      <c r="BG98" s="379"/>
      <c r="BH98" s="225"/>
      <c r="BI98" s="184"/>
      <c r="CJ98" s="157"/>
      <c r="CK98" s="150"/>
      <c r="CL98" s="157"/>
      <c r="CM98" s="151" t="s">
        <v>1148</v>
      </c>
      <c r="CN98" s="157" t="s">
        <v>1151</v>
      </c>
      <c r="CO98" s="157"/>
      <c r="CP98" s="157"/>
      <c r="CQ98" s="157"/>
      <c r="CR98" s="157"/>
      <c r="CS98" s="157"/>
      <c r="CT98" s="157"/>
    </row>
    <row r="99" spans="1:98" ht="12.75" customHeight="1">
      <c r="A99" s="317"/>
      <c r="B99" s="201">
        <v>2.2999999999999998</v>
      </c>
      <c r="C99" s="102"/>
      <c r="D99" s="480" t="s">
        <v>579</v>
      </c>
      <c r="E99" s="481"/>
      <c r="F99" s="224"/>
      <c r="G99" s="379"/>
      <c r="H99" s="228"/>
      <c r="I99" s="379"/>
      <c r="J99" s="228"/>
      <c r="K99" s="379"/>
      <c r="L99" s="228"/>
      <c r="M99" s="379"/>
      <c r="N99" s="228"/>
      <c r="O99" s="379"/>
      <c r="P99" s="228"/>
      <c r="Q99" s="379"/>
      <c r="R99" s="228"/>
      <c r="S99" s="379"/>
      <c r="T99" s="228"/>
      <c r="U99" s="379"/>
      <c r="V99" s="228"/>
      <c r="W99" s="379"/>
      <c r="X99" s="228"/>
      <c r="Y99" s="379"/>
      <c r="Z99" s="228"/>
      <c r="AA99" s="379"/>
      <c r="AB99" s="228"/>
      <c r="AC99" s="379"/>
      <c r="AD99" s="228"/>
      <c r="AE99" s="379"/>
      <c r="AF99" s="167">
        <v>0</v>
      </c>
      <c r="AG99" s="379"/>
      <c r="AH99" s="167">
        <v>0</v>
      </c>
      <c r="AI99" s="379"/>
      <c r="AJ99" s="167">
        <v>0</v>
      </c>
      <c r="AK99" s="379"/>
      <c r="AL99" s="167">
        <v>0</v>
      </c>
      <c r="AM99" s="379"/>
      <c r="AN99" s="167">
        <v>0</v>
      </c>
      <c r="AO99" s="379"/>
      <c r="AP99" s="167">
        <v>0</v>
      </c>
      <c r="AQ99" s="379"/>
      <c r="AR99" s="167">
        <v>0</v>
      </c>
      <c r="AS99" s="379"/>
      <c r="AT99" s="167">
        <v>0</v>
      </c>
      <c r="AU99" s="379"/>
      <c r="AV99" s="165">
        <v>0</v>
      </c>
      <c r="AW99" s="379"/>
      <c r="AX99" s="165">
        <v>0</v>
      </c>
      <c r="AY99" s="379"/>
      <c r="AZ99" s="165">
        <v>0</v>
      </c>
      <c r="BA99" s="379"/>
      <c r="BB99" s="165">
        <v>0</v>
      </c>
      <c r="BC99" s="379"/>
      <c r="BD99" s="165">
        <v>0</v>
      </c>
      <c r="BE99" s="379"/>
      <c r="BF99" s="165">
        <v>0</v>
      </c>
      <c r="BG99" s="379"/>
      <c r="BH99" s="225"/>
      <c r="BI99" s="184"/>
      <c r="CJ99" s="157"/>
      <c r="CK99" s="150"/>
      <c r="CL99" s="157"/>
      <c r="CM99" s="151" t="s">
        <v>1148</v>
      </c>
      <c r="CN99" s="157" t="s">
        <v>1152</v>
      </c>
      <c r="CO99" s="157"/>
      <c r="CP99" s="157"/>
      <c r="CQ99" s="157"/>
      <c r="CR99" s="157"/>
      <c r="CS99" s="157"/>
      <c r="CT99" s="157"/>
    </row>
    <row r="100" spans="1:98" ht="12.75" customHeight="1">
      <c r="A100" s="317"/>
      <c r="B100" s="201">
        <v>2.4</v>
      </c>
      <c r="C100" s="102"/>
      <c r="D100" s="480" t="s">
        <v>580</v>
      </c>
      <c r="E100" s="481"/>
      <c r="F100" s="224"/>
      <c r="G100" s="379"/>
      <c r="H100" s="228"/>
      <c r="I100" s="379"/>
      <c r="J100" s="228"/>
      <c r="K100" s="379"/>
      <c r="L100" s="228"/>
      <c r="M100" s="379"/>
      <c r="N100" s="228"/>
      <c r="O100" s="379"/>
      <c r="P100" s="228"/>
      <c r="Q100" s="379"/>
      <c r="R100" s="228"/>
      <c r="S100" s="379"/>
      <c r="T100" s="228"/>
      <c r="U100" s="379"/>
      <c r="V100" s="228"/>
      <c r="W100" s="379"/>
      <c r="X100" s="228"/>
      <c r="Y100" s="379"/>
      <c r="Z100" s="228"/>
      <c r="AA100" s="379"/>
      <c r="AB100" s="228"/>
      <c r="AC100" s="379"/>
      <c r="AD100" s="228"/>
      <c r="AE100" s="379"/>
      <c r="AF100" s="167">
        <v>0</v>
      </c>
      <c r="AG100" s="379"/>
      <c r="AH100" s="167">
        <v>0</v>
      </c>
      <c r="AI100" s="379"/>
      <c r="AJ100" s="167">
        <v>0</v>
      </c>
      <c r="AK100" s="379"/>
      <c r="AL100" s="167">
        <v>0</v>
      </c>
      <c r="AM100" s="379"/>
      <c r="AN100" s="167">
        <v>0</v>
      </c>
      <c r="AO100" s="379"/>
      <c r="AP100" s="167">
        <v>0</v>
      </c>
      <c r="AQ100" s="379"/>
      <c r="AR100" s="167">
        <v>0</v>
      </c>
      <c r="AS100" s="379"/>
      <c r="AT100" s="167">
        <v>0</v>
      </c>
      <c r="AU100" s="379"/>
      <c r="AV100" s="165">
        <v>0</v>
      </c>
      <c r="AW100" s="379"/>
      <c r="AX100" s="165">
        <v>0</v>
      </c>
      <c r="AY100" s="379"/>
      <c r="AZ100" s="165">
        <v>0</v>
      </c>
      <c r="BA100" s="379"/>
      <c r="BB100" s="165">
        <v>0</v>
      </c>
      <c r="BC100" s="379"/>
      <c r="BD100" s="165">
        <v>0</v>
      </c>
      <c r="BE100" s="379"/>
      <c r="BF100" s="165">
        <v>0</v>
      </c>
      <c r="BG100" s="379"/>
      <c r="BH100" s="225"/>
      <c r="BI100" s="184"/>
      <c r="CJ100" s="157"/>
      <c r="CK100" s="150"/>
      <c r="CL100" s="157"/>
      <c r="CM100" s="151" t="s">
        <v>1148</v>
      </c>
      <c r="CN100" s="157" t="s">
        <v>1153</v>
      </c>
      <c r="CO100" s="157"/>
      <c r="CP100" s="157"/>
      <c r="CQ100" s="157"/>
      <c r="CR100" s="157"/>
      <c r="CS100" s="157"/>
      <c r="CT100" s="157"/>
    </row>
    <row r="101" spans="1:98" ht="19.5" customHeight="1">
      <c r="A101" s="317"/>
      <c r="B101" s="200">
        <v>3</v>
      </c>
      <c r="C101" s="101"/>
      <c r="D101" s="482" t="s">
        <v>581</v>
      </c>
      <c r="E101" s="483"/>
      <c r="F101" s="235"/>
      <c r="G101" s="379"/>
      <c r="H101" s="236"/>
      <c r="I101" s="379"/>
      <c r="J101" s="236"/>
      <c r="K101" s="379"/>
      <c r="L101" s="236"/>
      <c r="M101" s="379"/>
      <c r="N101" s="236"/>
      <c r="O101" s="379"/>
      <c r="P101" s="236"/>
      <c r="Q101" s="379"/>
      <c r="R101" s="236"/>
      <c r="S101" s="379"/>
      <c r="T101" s="236"/>
      <c r="U101" s="379"/>
      <c r="V101" s="236"/>
      <c r="W101" s="379"/>
      <c r="X101" s="236"/>
      <c r="Y101" s="379"/>
      <c r="Z101" s="236"/>
      <c r="AA101" s="379"/>
      <c r="AB101" s="236"/>
      <c r="AC101" s="379"/>
      <c r="AD101" s="236"/>
      <c r="AE101" s="379"/>
      <c r="AF101" s="172">
        <v>0</v>
      </c>
      <c r="AG101" s="379"/>
      <c r="AH101" s="172">
        <v>0</v>
      </c>
      <c r="AI101" s="379"/>
      <c r="AJ101" s="172">
        <v>0</v>
      </c>
      <c r="AK101" s="379"/>
      <c r="AL101" s="172">
        <v>0</v>
      </c>
      <c r="AM101" s="379"/>
      <c r="AN101" s="172">
        <v>0</v>
      </c>
      <c r="AO101" s="379"/>
      <c r="AP101" s="172">
        <v>0</v>
      </c>
      <c r="AQ101" s="379"/>
      <c r="AR101" s="172">
        <v>0</v>
      </c>
      <c r="AS101" s="379"/>
      <c r="AT101" s="172">
        <v>0</v>
      </c>
      <c r="AU101" s="379"/>
      <c r="AV101" s="173">
        <v>0</v>
      </c>
      <c r="AW101" s="379"/>
      <c r="AX101" s="173">
        <v>0</v>
      </c>
      <c r="AY101" s="379"/>
      <c r="AZ101" s="173">
        <v>0</v>
      </c>
      <c r="BA101" s="379"/>
      <c r="BB101" s="173">
        <v>0</v>
      </c>
      <c r="BC101" s="379"/>
      <c r="BD101" s="173">
        <v>0</v>
      </c>
      <c r="BE101" s="379"/>
      <c r="BF101" s="173">
        <v>0</v>
      </c>
      <c r="BG101" s="379"/>
      <c r="BH101" s="237"/>
      <c r="BI101" s="184"/>
      <c r="CJ101" s="157"/>
      <c r="CK101" s="150"/>
      <c r="CL101" s="157"/>
      <c r="CM101" s="151" t="s">
        <v>1148</v>
      </c>
      <c r="CN101" s="157" t="s">
        <v>1154</v>
      </c>
      <c r="CO101" s="157"/>
      <c r="CP101" s="157"/>
      <c r="CQ101" s="157"/>
      <c r="CR101" s="157"/>
      <c r="CS101" s="157"/>
      <c r="CT101" s="157"/>
    </row>
    <row r="102" spans="1:98" ht="12.75" customHeight="1">
      <c r="A102" s="317"/>
      <c r="B102" s="201">
        <v>3.1</v>
      </c>
      <c r="C102" s="102"/>
      <c r="D102" s="480" t="s">
        <v>582</v>
      </c>
      <c r="E102" s="481"/>
      <c r="F102" s="224"/>
      <c r="G102" s="379"/>
      <c r="H102" s="228"/>
      <c r="I102" s="379"/>
      <c r="J102" s="228"/>
      <c r="K102" s="379"/>
      <c r="L102" s="228"/>
      <c r="M102" s="379"/>
      <c r="N102" s="228"/>
      <c r="O102" s="379"/>
      <c r="P102" s="228"/>
      <c r="Q102" s="379"/>
      <c r="R102" s="228"/>
      <c r="S102" s="379"/>
      <c r="T102" s="228"/>
      <c r="U102" s="379"/>
      <c r="V102" s="228"/>
      <c r="W102" s="379"/>
      <c r="X102" s="228"/>
      <c r="Y102" s="379"/>
      <c r="Z102" s="228"/>
      <c r="AA102" s="379"/>
      <c r="AB102" s="228"/>
      <c r="AC102" s="379"/>
      <c r="AD102" s="228"/>
      <c r="AE102" s="379"/>
      <c r="AF102" s="167">
        <v>0</v>
      </c>
      <c r="AG102" s="379"/>
      <c r="AH102" s="167">
        <v>0</v>
      </c>
      <c r="AI102" s="379"/>
      <c r="AJ102" s="167">
        <v>0</v>
      </c>
      <c r="AK102" s="379"/>
      <c r="AL102" s="167">
        <v>0</v>
      </c>
      <c r="AM102" s="379"/>
      <c r="AN102" s="167">
        <v>0</v>
      </c>
      <c r="AO102" s="379"/>
      <c r="AP102" s="167">
        <v>0</v>
      </c>
      <c r="AQ102" s="379"/>
      <c r="AR102" s="167">
        <v>0</v>
      </c>
      <c r="AS102" s="379"/>
      <c r="AT102" s="167">
        <v>0</v>
      </c>
      <c r="AU102" s="379"/>
      <c r="AV102" s="165">
        <v>0</v>
      </c>
      <c r="AW102" s="379"/>
      <c r="AX102" s="165">
        <v>0</v>
      </c>
      <c r="AY102" s="379"/>
      <c r="AZ102" s="165">
        <v>0</v>
      </c>
      <c r="BA102" s="379"/>
      <c r="BB102" s="165">
        <v>0</v>
      </c>
      <c r="BC102" s="379"/>
      <c r="BD102" s="165">
        <v>0</v>
      </c>
      <c r="BE102" s="379"/>
      <c r="BF102" s="165">
        <v>0</v>
      </c>
      <c r="BG102" s="379"/>
      <c r="BH102" s="225"/>
      <c r="BI102" s="184"/>
      <c r="CJ102" s="157"/>
      <c r="CK102" s="150"/>
      <c r="CL102" s="157"/>
      <c r="CM102" s="151" t="s">
        <v>1148</v>
      </c>
      <c r="CN102" s="157" t="s">
        <v>1155</v>
      </c>
      <c r="CO102" s="157"/>
      <c r="CP102" s="157"/>
      <c r="CQ102" s="157"/>
      <c r="CR102" s="157"/>
      <c r="CS102" s="157"/>
      <c r="CT102" s="157"/>
    </row>
    <row r="103" spans="1:98" ht="12.75" customHeight="1">
      <c r="A103" s="317"/>
      <c r="B103" s="201">
        <v>3.2</v>
      </c>
      <c r="C103" s="102"/>
      <c r="D103" s="480" t="s">
        <v>583</v>
      </c>
      <c r="E103" s="481"/>
      <c r="F103" s="224"/>
      <c r="G103" s="379"/>
      <c r="H103" s="228"/>
      <c r="I103" s="379"/>
      <c r="J103" s="228"/>
      <c r="K103" s="379"/>
      <c r="L103" s="228"/>
      <c r="M103" s="379"/>
      <c r="N103" s="228"/>
      <c r="O103" s="379"/>
      <c r="P103" s="228"/>
      <c r="Q103" s="379"/>
      <c r="R103" s="228"/>
      <c r="S103" s="379"/>
      <c r="T103" s="228"/>
      <c r="U103" s="379"/>
      <c r="V103" s="228"/>
      <c r="W103" s="379"/>
      <c r="X103" s="228"/>
      <c r="Y103" s="379"/>
      <c r="Z103" s="228"/>
      <c r="AA103" s="379"/>
      <c r="AB103" s="228"/>
      <c r="AC103" s="379"/>
      <c r="AD103" s="228"/>
      <c r="AE103" s="379"/>
      <c r="AF103" s="167">
        <v>0</v>
      </c>
      <c r="AG103" s="379"/>
      <c r="AH103" s="167">
        <v>0</v>
      </c>
      <c r="AI103" s="379"/>
      <c r="AJ103" s="167">
        <v>0</v>
      </c>
      <c r="AK103" s="379"/>
      <c r="AL103" s="167">
        <v>0</v>
      </c>
      <c r="AM103" s="379"/>
      <c r="AN103" s="167">
        <v>0</v>
      </c>
      <c r="AO103" s="379"/>
      <c r="AP103" s="167">
        <v>0</v>
      </c>
      <c r="AQ103" s="379"/>
      <c r="AR103" s="167">
        <v>0</v>
      </c>
      <c r="AS103" s="379"/>
      <c r="AT103" s="167">
        <v>0</v>
      </c>
      <c r="AU103" s="379"/>
      <c r="AV103" s="165">
        <v>0</v>
      </c>
      <c r="AW103" s="379"/>
      <c r="AX103" s="165">
        <v>0</v>
      </c>
      <c r="AY103" s="379"/>
      <c r="AZ103" s="165">
        <v>0</v>
      </c>
      <c r="BA103" s="379"/>
      <c r="BB103" s="165">
        <v>0</v>
      </c>
      <c r="BC103" s="379"/>
      <c r="BD103" s="165">
        <v>0</v>
      </c>
      <c r="BE103" s="379"/>
      <c r="BF103" s="165">
        <v>0</v>
      </c>
      <c r="BG103" s="379"/>
      <c r="BH103" s="225"/>
      <c r="BI103" s="184"/>
      <c r="CJ103" s="157"/>
      <c r="CK103" s="150"/>
      <c r="CL103" s="157"/>
      <c r="CM103" s="151" t="s">
        <v>1148</v>
      </c>
      <c r="CN103" s="157" t="s">
        <v>1156</v>
      </c>
      <c r="CO103" s="157"/>
      <c r="CP103" s="157"/>
      <c r="CQ103" s="157"/>
      <c r="CR103" s="157"/>
      <c r="CS103" s="157"/>
      <c r="CT103" s="157"/>
    </row>
    <row r="104" spans="1:98" ht="12.75" customHeight="1">
      <c r="A104" s="317"/>
      <c r="B104" s="201">
        <v>3.3</v>
      </c>
      <c r="C104" s="102"/>
      <c r="D104" s="480" t="s">
        <v>584</v>
      </c>
      <c r="E104" s="481"/>
      <c r="F104" s="224"/>
      <c r="G104" s="379"/>
      <c r="H104" s="228"/>
      <c r="I104" s="379"/>
      <c r="J104" s="228"/>
      <c r="K104" s="379"/>
      <c r="L104" s="228"/>
      <c r="M104" s="379"/>
      <c r="N104" s="228"/>
      <c r="O104" s="379"/>
      <c r="P104" s="228"/>
      <c r="Q104" s="379"/>
      <c r="R104" s="228"/>
      <c r="S104" s="379"/>
      <c r="T104" s="228"/>
      <c r="U104" s="379"/>
      <c r="V104" s="228"/>
      <c r="W104" s="379"/>
      <c r="X104" s="228"/>
      <c r="Y104" s="379"/>
      <c r="Z104" s="228"/>
      <c r="AA104" s="379"/>
      <c r="AB104" s="228"/>
      <c r="AC104" s="379"/>
      <c r="AD104" s="228"/>
      <c r="AE104" s="379"/>
      <c r="AF104" s="167">
        <v>0</v>
      </c>
      <c r="AG104" s="379"/>
      <c r="AH104" s="167">
        <v>0</v>
      </c>
      <c r="AI104" s="379"/>
      <c r="AJ104" s="167">
        <v>0</v>
      </c>
      <c r="AK104" s="379"/>
      <c r="AL104" s="167">
        <v>0</v>
      </c>
      <c r="AM104" s="379"/>
      <c r="AN104" s="167">
        <v>0</v>
      </c>
      <c r="AO104" s="379"/>
      <c r="AP104" s="167">
        <v>0</v>
      </c>
      <c r="AQ104" s="379"/>
      <c r="AR104" s="167">
        <v>0</v>
      </c>
      <c r="AS104" s="379"/>
      <c r="AT104" s="167">
        <v>0</v>
      </c>
      <c r="AU104" s="379"/>
      <c r="AV104" s="165">
        <v>0</v>
      </c>
      <c r="AW104" s="379"/>
      <c r="AX104" s="165">
        <v>0</v>
      </c>
      <c r="AY104" s="379"/>
      <c r="AZ104" s="165">
        <v>0</v>
      </c>
      <c r="BA104" s="379"/>
      <c r="BB104" s="165">
        <v>0</v>
      </c>
      <c r="BC104" s="379"/>
      <c r="BD104" s="165">
        <v>0</v>
      </c>
      <c r="BE104" s="379"/>
      <c r="BF104" s="165">
        <v>0</v>
      </c>
      <c r="BG104" s="379"/>
      <c r="BH104" s="225"/>
      <c r="BI104" s="184"/>
      <c r="CJ104" s="157"/>
      <c r="CK104" s="150"/>
      <c r="CL104" s="157"/>
      <c r="CM104" s="151" t="s">
        <v>1148</v>
      </c>
      <c r="CN104" s="157" t="s">
        <v>1157</v>
      </c>
      <c r="CO104" s="157"/>
      <c r="CP104" s="157"/>
      <c r="CQ104" s="157"/>
      <c r="CR104" s="157"/>
      <c r="CS104" s="157"/>
      <c r="CT104" s="157"/>
    </row>
    <row r="105" spans="1:98" ht="17.25" customHeight="1">
      <c r="A105" s="317"/>
      <c r="B105" s="200">
        <v>4</v>
      </c>
      <c r="C105" s="101"/>
      <c r="D105" s="482" t="s">
        <v>585</v>
      </c>
      <c r="E105" s="483"/>
      <c r="F105" s="235"/>
      <c r="G105" s="379"/>
      <c r="H105" s="236"/>
      <c r="I105" s="379"/>
      <c r="J105" s="236"/>
      <c r="K105" s="379"/>
      <c r="L105" s="236"/>
      <c r="M105" s="379"/>
      <c r="N105" s="236"/>
      <c r="O105" s="379"/>
      <c r="P105" s="236"/>
      <c r="Q105" s="379"/>
      <c r="R105" s="236"/>
      <c r="S105" s="379"/>
      <c r="T105" s="236"/>
      <c r="U105" s="379"/>
      <c r="V105" s="236"/>
      <c r="W105" s="379"/>
      <c r="X105" s="236"/>
      <c r="Y105" s="379"/>
      <c r="Z105" s="236"/>
      <c r="AA105" s="379"/>
      <c r="AB105" s="236"/>
      <c r="AC105" s="379"/>
      <c r="AD105" s="236"/>
      <c r="AE105" s="379"/>
      <c r="AF105" s="172">
        <v>30200.409136392875</v>
      </c>
      <c r="AG105" s="379" t="s">
        <v>506</v>
      </c>
      <c r="AH105" s="172">
        <v>35298.479982235469</v>
      </c>
      <c r="AI105" s="379" t="s">
        <v>506</v>
      </c>
      <c r="AJ105" s="172">
        <v>39044.884699883638</v>
      </c>
      <c r="AK105" s="379" t="s">
        <v>506</v>
      </c>
      <c r="AL105" s="172">
        <v>42874.055611945223</v>
      </c>
      <c r="AM105" s="379" t="s">
        <v>506</v>
      </c>
      <c r="AN105" s="172">
        <v>48847.640253101825</v>
      </c>
      <c r="AO105" s="379" t="s">
        <v>506</v>
      </c>
      <c r="AP105" s="172">
        <v>50841.254107319983</v>
      </c>
      <c r="AQ105" s="379" t="s">
        <v>506</v>
      </c>
      <c r="AR105" s="172">
        <v>54101.517786558368</v>
      </c>
      <c r="AS105" s="379" t="s">
        <v>506</v>
      </c>
      <c r="AT105" s="172">
        <v>54666.99873733602</v>
      </c>
      <c r="AU105" s="379" t="s">
        <v>506</v>
      </c>
      <c r="AV105" s="173">
        <v>55735.189315599971</v>
      </c>
      <c r="AW105" s="379" t="s">
        <v>506</v>
      </c>
      <c r="AX105" s="173">
        <v>56651.598824262153</v>
      </c>
      <c r="AY105" s="379" t="s">
        <v>506</v>
      </c>
      <c r="AZ105" s="173">
        <v>57136.025084021268</v>
      </c>
      <c r="BA105" s="379" t="s">
        <v>506</v>
      </c>
      <c r="BB105" s="173">
        <v>60018.221822517691</v>
      </c>
      <c r="BC105" s="379" t="s">
        <v>506</v>
      </c>
      <c r="BD105" s="173">
        <v>58871.570879469393</v>
      </c>
      <c r="BE105" s="379" t="s">
        <v>506</v>
      </c>
      <c r="BF105" s="173">
        <v>50371.956337507581</v>
      </c>
      <c r="BG105" s="379" t="s">
        <v>506</v>
      </c>
      <c r="BH105" s="237"/>
      <c r="BI105" s="184"/>
      <c r="CJ105" s="157"/>
      <c r="CK105" s="150"/>
      <c r="CL105" s="157"/>
      <c r="CM105" s="151" t="s">
        <v>1148</v>
      </c>
      <c r="CN105" s="157" t="s">
        <v>1158</v>
      </c>
      <c r="CO105" s="157"/>
      <c r="CP105" s="157"/>
      <c r="CQ105" s="157"/>
      <c r="CR105" s="157"/>
      <c r="CS105" s="157"/>
      <c r="CT105" s="157"/>
    </row>
    <row r="106" spans="1:98" ht="32.25" customHeight="1">
      <c r="A106" s="317"/>
      <c r="B106" s="200">
        <v>5</v>
      </c>
      <c r="C106" s="101"/>
      <c r="D106" s="484" t="s">
        <v>1178</v>
      </c>
      <c r="E106" s="485"/>
      <c r="F106" s="222"/>
      <c r="G106" s="379"/>
      <c r="H106" s="231"/>
      <c r="I106" s="379"/>
      <c r="J106" s="231"/>
      <c r="K106" s="379"/>
      <c r="L106" s="231"/>
      <c r="M106" s="379"/>
      <c r="N106" s="231"/>
      <c r="O106" s="379"/>
      <c r="P106" s="231"/>
      <c r="Q106" s="379"/>
      <c r="R106" s="231"/>
      <c r="S106" s="379"/>
      <c r="T106" s="231"/>
      <c r="U106" s="379"/>
      <c r="V106" s="231"/>
      <c r="W106" s="379"/>
      <c r="X106" s="231"/>
      <c r="Y106" s="379"/>
      <c r="Z106" s="231"/>
      <c r="AA106" s="379"/>
      <c r="AB106" s="231"/>
      <c r="AC106" s="379"/>
      <c r="AD106" s="231"/>
      <c r="AE106" s="379"/>
      <c r="AF106" s="169">
        <v>739400.5839804929</v>
      </c>
      <c r="AG106" s="379"/>
      <c r="AH106" s="169">
        <v>819054.53062433552</v>
      </c>
      <c r="AI106" s="379"/>
      <c r="AJ106" s="169">
        <v>894161.4022740837</v>
      </c>
      <c r="AK106" s="379"/>
      <c r="AL106" s="169">
        <v>965658.80928304524</v>
      </c>
      <c r="AM106" s="379"/>
      <c r="AN106" s="169">
        <v>1028334.3582649018</v>
      </c>
      <c r="AO106" s="379"/>
      <c r="AP106" s="169">
        <v>1118482.4011039201</v>
      </c>
      <c r="AQ106" s="379"/>
      <c r="AR106" s="169">
        <v>1081715.9923428583</v>
      </c>
      <c r="AS106" s="379"/>
      <c r="AT106" s="169">
        <v>964067.027661336</v>
      </c>
      <c r="AU106" s="379"/>
      <c r="AV106" s="164">
        <v>1006045.6196754</v>
      </c>
      <c r="AW106" s="379"/>
      <c r="AX106" s="164">
        <v>1029237.6425398622</v>
      </c>
      <c r="AY106" s="379"/>
      <c r="AZ106" s="164">
        <v>996599.2820451213</v>
      </c>
      <c r="BA106" s="379"/>
      <c r="BB106" s="164">
        <v>934515.86143571767</v>
      </c>
      <c r="BC106" s="379"/>
      <c r="BD106" s="164">
        <v>808668.0235619694</v>
      </c>
      <c r="BE106" s="379"/>
      <c r="BF106" s="164">
        <v>678794.58788550762</v>
      </c>
      <c r="BG106" s="379"/>
      <c r="BH106" s="223"/>
      <c r="BI106" s="184"/>
      <c r="CJ106" s="157"/>
      <c r="CK106" s="150"/>
      <c r="CL106" s="157"/>
      <c r="CM106" s="151" t="s">
        <v>1148</v>
      </c>
      <c r="CN106" s="157" t="s">
        <v>1160</v>
      </c>
      <c r="CO106" s="157"/>
      <c r="CP106" s="157"/>
      <c r="CQ106" s="157"/>
      <c r="CR106" s="157"/>
      <c r="CS106" s="157"/>
      <c r="CT106" s="157"/>
    </row>
    <row r="107" spans="1:98" ht="21" customHeight="1" thickBot="1">
      <c r="A107" s="317"/>
      <c r="B107" s="64"/>
      <c r="C107" s="65"/>
      <c r="D107" s="486" t="s">
        <v>587</v>
      </c>
      <c r="E107" s="487"/>
      <c r="F107" s="241"/>
      <c r="G107" s="194"/>
      <c r="H107" s="242"/>
      <c r="I107" s="194"/>
      <c r="J107" s="242"/>
      <c r="K107" s="194"/>
      <c r="L107" s="242"/>
      <c r="M107" s="194"/>
      <c r="N107" s="242"/>
      <c r="O107" s="194"/>
      <c r="P107" s="242"/>
      <c r="Q107" s="194"/>
      <c r="R107" s="242"/>
      <c r="S107" s="194"/>
      <c r="T107" s="242"/>
      <c r="U107" s="194"/>
      <c r="V107" s="242"/>
      <c r="W107" s="194"/>
      <c r="X107" s="242"/>
      <c r="Y107" s="194"/>
      <c r="Z107" s="242"/>
      <c r="AA107" s="194"/>
      <c r="AB107" s="242"/>
      <c r="AC107" s="194"/>
      <c r="AD107" s="242"/>
      <c r="AE107" s="194"/>
      <c r="AF107" s="104">
        <v>2023</v>
      </c>
      <c r="AG107" s="194"/>
      <c r="AH107" s="104">
        <v>2023</v>
      </c>
      <c r="AI107" s="194"/>
      <c r="AJ107" s="104">
        <v>2023</v>
      </c>
      <c r="AK107" s="194"/>
      <c r="AL107" s="104">
        <v>2023</v>
      </c>
      <c r="AM107" s="194"/>
      <c r="AN107" s="104">
        <v>2023</v>
      </c>
      <c r="AO107" s="194"/>
      <c r="AP107" s="104">
        <v>2023</v>
      </c>
      <c r="AQ107" s="194"/>
      <c r="AR107" s="104">
        <v>2023</v>
      </c>
      <c r="AS107" s="194"/>
      <c r="AT107" s="104">
        <v>2023</v>
      </c>
      <c r="AU107" s="194"/>
      <c r="AV107" s="104">
        <v>2023</v>
      </c>
      <c r="AW107" s="194"/>
      <c r="AX107" s="105">
        <v>2023</v>
      </c>
      <c r="AY107" s="194"/>
      <c r="AZ107" s="105">
        <v>2023</v>
      </c>
      <c r="BA107" s="194"/>
      <c r="BB107" s="105">
        <v>2023</v>
      </c>
      <c r="BC107" s="194"/>
      <c r="BD107" s="105">
        <v>2023</v>
      </c>
      <c r="BE107" s="194"/>
      <c r="BF107" s="105">
        <v>2023</v>
      </c>
      <c r="BG107" s="194"/>
      <c r="BH107" s="243"/>
      <c r="BI107" s="195"/>
      <c r="CJ107" s="157"/>
      <c r="CK107" s="150"/>
      <c r="CL107" s="157"/>
      <c r="CM107" s="159"/>
      <c r="CN107" s="157"/>
      <c r="CO107" s="157"/>
      <c r="CP107" s="157"/>
      <c r="CQ107" s="157"/>
      <c r="CR107" s="157"/>
      <c r="CS107" s="157"/>
      <c r="CT107" s="157"/>
    </row>
    <row r="108" spans="1:98">
      <c r="CJ108" s="160"/>
      <c r="CK108" s="155"/>
      <c r="CL108" s="160"/>
      <c r="CM108" s="161"/>
      <c r="CN108" s="160"/>
      <c r="CO108" s="160"/>
      <c r="CP108" s="160"/>
      <c r="CQ108" s="160"/>
      <c r="CR108" s="160"/>
      <c r="CS108" s="160"/>
      <c r="CT108" s="160"/>
    </row>
    <row r="109" spans="1:98">
      <c r="B109" s="202" t="s">
        <v>1161</v>
      </c>
      <c r="CJ109" s="160"/>
      <c r="CK109" s="155"/>
      <c r="CL109" s="160"/>
      <c r="CM109" s="161"/>
      <c r="CN109" s="160"/>
      <c r="CO109" s="160"/>
      <c r="CP109" s="160"/>
      <c r="CQ109" s="160"/>
      <c r="CR109" s="160"/>
      <c r="CS109" s="160"/>
      <c r="CT109" s="160"/>
    </row>
    <row r="110" spans="1:98">
      <c r="B110" s="203">
        <v>1</v>
      </c>
      <c r="C110" t="s">
        <v>1162</v>
      </c>
      <c r="CJ110" s="160"/>
      <c r="CK110" s="155"/>
      <c r="CL110" s="160"/>
      <c r="CM110" s="161"/>
      <c r="CN110" s="160"/>
      <c r="CO110" s="160"/>
      <c r="CP110" s="160"/>
      <c r="CQ110" s="160"/>
      <c r="CR110" s="160"/>
      <c r="CS110" s="160"/>
      <c r="CT110" s="160"/>
    </row>
    <row r="111" spans="1:98">
      <c r="B111" s="203"/>
      <c r="CJ111" s="160"/>
      <c r="CK111" s="155"/>
      <c r="CL111" s="160"/>
      <c r="CM111" s="161"/>
      <c r="CN111" s="160"/>
      <c r="CO111" s="160"/>
      <c r="CP111" s="160"/>
      <c r="CQ111" s="160"/>
      <c r="CR111" s="160"/>
      <c r="CS111" s="160"/>
      <c r="CT111" s="160"/>
    </row>
    <row r="112" spans="1:98">
      <c r="B112">
        <v>2.1</v>
      </c>
      <c r="C112" s="36" t="s">
        <v>1163</v>
      </c>
      <c r="CJ112" s="160"/>
      <c r="CK112" s="155"/>
      <c r="CL112" s="160"/>
      <c r="CM112" s="161"/>
      <c r="CN112" s="160"/>
      <c r="CO112" s="160"/>
      <c r="CP112" s="160"/>
      <c r="CQ112" s="160"/>
      <c r="CR112" s="160"/>
      <c r="CS112" s="160"/>
      <c r="CT112" s="160"/>
    </row>
    <row r="113" spans="2:98">
      <c r="B113">
        <v>2.2000000000000002</v>
      </c>
      <c r="C113" s="36" t="s">
        <v>1164</v>
      </c>
      <c r="CJ113" s="160"/>
      <c r="CK113" s="155"/>
      <c r="CL113" s="160"/>
      <c r="CM113" s="161"/>
      <c r="CN113" s="160"/>
      <c r="CO113" s="160"/>
      <c r="CP113" s="160"/>
      <c r="CQ113" s="160"/>
      <c r="CR113" s="160"/>
      <c r="CS113" s="160"/>
      <c r="CT113" s="160"/>
    </row>
    <row r="114" spans="2:98">
      <c r="B114">
        <v>2.2999999999999998</v>
      </c>
      <c r="C114" s="36" t="s">
        <v>1165</v>
      </c>
      <c r="CJ114" s="160"/>
      <c r="CK114" s="155"/>
      <c r="CL114" s="160"/>
      <c r="CM114" s="161"/>
      <c r="CN114" s="160"/>
      <c r="CO114" s="160"/>
      <c r="CP114" s="160"/>
      <c r="CQ114" s="160"/>
      <c r="CR114" s="160"/>
      <c r="CS114" s="160"/>
      <c r="CT114" s="160"/>
    </row>
    <row r="115" spans="2:98">
      <c r="B115">
        <v>2.4</v>
      </c>
      <c r="C115" s="36" t="s">
        <v>1166</v>
      </c>
      <c r="CJ115" s="160"/>
      <c r="CK115" s="155"/>
      <c r="CL115" s="160"/>
      <c r="CM115" s="161"/>
      <c r="CN115" s="160"/>
      <c r="CO115" s="160"/>
      <c r="CP115" s="160"/>
      <c r="CQ115" s="160"/>
      <c r="CR115" s="160"/>
      <c r="CS115" s="160"/>
      <c r="CT115" s="160"/>
    </row>
    <row r="116" spans="2:98">
      <c r="CJ116" s="160"/>
      <c r="CK116" s="155"/>
      <c r="CL116" s="160"/>
      <c r="CM116" s="161"/>
      <c r="CN116" s="160"/>
      <c r="CO116" s="160"/>
      <c r="CP116" s="160"/>
      <c r="CQ116" s="160"/>
      <c r="CR116" s="160"/>
      <c r="CS116" s="160"/>
      <c r="CT116" s="160"/>
    </row>
    <row r="117" spans="2:98">
      <c r="B117">
        <v>3.1</v>
      </c>
      <c r="C117" s="36" t="s">
        <v>1167</v>
      </c>
      <c r="CJ117" s="160"/>
      <c r="CK117" s="155"/>
      <c r="CL117" s="160"/>
      <c r="CM117" s="161"/>
      <c r="CN117" s="160"/>
      <c r="CO117" s="160"/>
      <c r="CP117" s="160"/>
      <c r="CQ117" s="160"/>
      <c r="CR117" s="160"/>
      <c r="CS117" s="160"/>
      <c r="CT117" s="160"/>
    </row>
    <row r="118" spans="2:98">
      <c r="B118">
        <v>3.2</v>
      </c>
      <c r="C118" s="36" t="s">
        <v>1168</v>
      </c>
      <c r="CJ118" s="160"/>
      <c r="CK118" s="155"/>
      <c r="CL118" s="160"/>
      <c r="CM118" s="161"/>
      <c r="CN118" s="160"/>
      <c r="CO118" s="160"/>
      <c r="CP118" s="160"/>
      <c r="CQ118" s="160"/>
      <c r="CR118" s="160"/>
      <c r="CS118" s="160"/>
      <c r="CT118" s="160"/>
    </row>
    <row r="119" spans="2:98">
      <c r="B119">
        <v>3.3</v>
      </c>
      <c r="C119" s="36" t="s">
        <v>1169</v>
      </c>
      <c r="CJ119" s="160"/>
      <c r="CK119" s="155"/>
      <c r="CL119" s="160"/>
      <c r="CM119" s="161"/>
      <c r="CN119" s="160"/>
      <c r="CO119" s="160"/>
      <c r="CP119" s="160"/>
      <c r="CQ119" s="160"/>
      <c r="CR119" s="160"/>
      <c r="CS119" s="160"/>
      <c r="CT119" s="160"/>
    </row>
    <row r="120" spans="2:98">
      <c r="CJ120" s="160"/>
      <c r="CK120" s="155"/>
      <c r="CL120" s="160"/>
      <c r="CM120" s="161"/>
      <c r="CN120" s="160"/>
      <c r="CO120" s="160"/>
      <c r="CP120" s="160"/>
      <c r="CQ120" s="160"/>
      <c r="CR120" s="160"/>
      <c r="CS120" s="160"/>
      <c r="CT120" s="160"/>
    </row>
    <row r="121" spans="2:98">
      <c r="B121" s="203">
        <v>5</v>
      </c>
      <c r="C121" s="36" t="s">
        <v>1170</v>
      </c>
      <c r="CJ121" s="160"/>
      <c r="CK121" s="155"/>
      <c r="CL121" s="160"/>
      <c r="CM121" s="161"/>
      <c r="CN121" s="160"/>
      <c r="CO121" s="160"/>
      <c r="CP121" s="160"/>
      <c r="CQ121" s="160"/>
      <c r="CR121" s="160"/>
      <c r="CS121" s="160"/>
      <c r="CT121" s="160"/>
    </row>
    <row r="122" spans="2:98">
      <c r="CJ122" s="160"/>
      <c r="CK122" s="155"/>
      <c r="CL122" s="160"/>
      <c r="CM122" s="161"/>
      <c r="CN122" s="160"/>
      <c r="CO122" s="160"/>
      <c r="CP122" s="160"/>
      <c r="CQ122" s="160"/>
      <c r="CR122" s="160"/>
      <c r="CS122" s="160"/>
      <c r="CT122" s="160"/>
    </row>
    <row r="123" spans="2:98">
      <c r="CJ123" s="160"/>
      <c r="CK123" s="155"/>
      <c r="CL123" s="160"/>
      <c r="CM123" s="161"/>
      <c r="CN123" s="160"/>
      <c r="CO123" s="160"/>
      <c r="CP123" s="160"/>
      <c r="CQ123" s="160"/>
      <c r="CR123" s="160"/>
      <c r="CS123" s="160"/>
      <c r="CT123" s="160"/>
    </row>
    <row r="124" spans="2:98">
      <c r="CJ124" s="160"/>
      <c r="CK124" s="155"/>
      <c r="CL124" s="160"/>
      <c r="CM124" s="161"/>
      <c r="CN124" s="160"/>
      <c r="CO124" s="160"/>
      <c r="CP124" s="160"/>
      <c r="CQ124" s="160"/>
      <c r="CR124" s="160"/>
      <c r="CS124" s="160"/>
      <c r="CT124" s="160"/>
    </row>
    <row r="125" spans="2:98">
      <c r="CJ125" s="160"/>
      <c r="CK125" s="155"/>
      <c r="CL125" s="160"/>
      <c r="CM125" s="161"/>
      <c r="CN125" s="160"/>
      <c r="CO125" s="160"/>
      <c r="CP125" s="160"/>
      <c r="CQ125" s="160"/>
      <c r="CR125" s="160"/>
      <c r="CS125" s="160"/>
      <c r="CT125" s="160"/>
    </row>
    <row r="126" spans="2:98">
      <c r="CJ126" s="160"/>
      <c r="CK126" s="155"/>
      <c r="CL126" s="160"/>
      <c r="CM126" s="161"/>
      <c r="CN126" s="160"/>
      <c r="CO126" s="160"/>
      <c r="CP126" s="160"/>
      <c r="CQ126" s="160"/>
      <c r="CR126" s="160"/>
      <c r="CS126" s="160"/>
      <c r="CT126" s="160"/>
    </row>
    <row r="127" spans="2:98">
      <c r="CJ127" s="160"/>
      <c r="CK127" s="155"/>
      <c r="CL127" s="160"/>
      <c r="CM127" s="161"/>
      <c r="CN127" s="160"/>
      <c r="CO127" s="160"/>
      <c r="CP127" s="160"/>
      <c r="CQ127" s="160"/>
      <c r="CR127" s="160"/>
      <c r="CS127" s="160"/>
      <c r="CT127" s="160"/>
    </row>
    <row r="128" spans="2:98">
      <c r="CJ128" s="160"/>
      <c r="CK128" s="155"/>
      <c r="CL128" s="160"/>
      <c r="CM128" s="161"/>
      <c r="CN128" s="160"/>
      <c r="CO128" s="160"/>
      <c r="CP128" s="160"/>
      <c r="CQ128" s="160"/>
      <c r="CR128" s="160"/>
      <c r="CS128" s="160"/>
      <c r="CT128" s="160"/>
    </row>
    <row r="129" spans="88:98">
      <c r="CJ129" s="160"/>
      <c r="CK129" s="155"/>
      <c r="CL129" s="160"/>
      <c r="CM129" s="161"/>
      <c r="CN129" s="160"/>
      <c r="CO129" s="160"/>
      <c r="CP129" s="160"/>
      <c r="CQ129" s="160"/>
      <c r="CR129" s="160"/>
      <c r="CS129" s="160"/>
      <c r="CT129" s="160"/>
    </row>
    <row r="130" spans="88:98">
      <c r="CJ130" s="160"/>
      <c r="CK130" s="155"/>
      <c r="CL130" s="160"/>
      <c r="CM130" s="161"/>
      <c r="CN130" s="160"/>
      <c r="CO130" s="160"/>
      <c r="CP130" s="160"/>
      <c r="CQ130" s="160"/>
      <c r="CR130" s="160"/>
      <c r="CS130" s="160"/>
      <c r="CT130" s="160"/>
    </row>
    <row r="131" spans="88:98">
      <c r="CJ131" s="160"/>
      <c r="CK131" s="155"/>
      <c r="CL131" s="160"/>
      <c r="CM131" s="161"/>
      <c r="CN131" s="160"/>
      <c r="CO131" s="160"/>
      <c r="CP131" s="160"/>
      <c r="CQ131" s="160"/>
      <c r="CR131" s="160"/>
      <c r="CS131" s="160"/>
      <c r="CT131" s="160"/>
    </row>
    <row r="132" spans="88:98">
      <c r="CJ132" s="160"/>
      <c r="CK132" s="155"/>
      <c r="CL132" s="160"/>
      <c r="CM132" s="161"/>
      <c r="CN132" s="160"/>
      <c r="CO132" s="160"/>
      <c r="CP132" s="160"/>
      <c r="CQ132" s="160"/>
      <c r="CR132" s="160"/>
      <c r="CS132" s="160"/>
      <c r="CT132" s="160"/>
    </row>
    <row r="133" spans="88:98">
      <c r="CJ133" s="160"/>
      <c r="CK133" s="155"/>
      <c r="CL133" s="160"/>
      <c r="CM133" s="161"/>
      <c r="CN133" s="160"/>
      <c r="CO133" s="160"/>
      <c r="CP133" s="160"/>
      <c r="CQ133" s="160"/>
      <c r="CR133" s="160"/>
      <c r="CS133" s="160"/>
      <c r="CT133" s="160"/>
    </row>
    <row r="134" spans="88:98">
      <c r="CJ134" s="160"/>
      <c r="CK134" s="155"/>
      <c r="CL134" s="160"/>
      <c r="CM134" s="161"/>
      <c r="CN134" s="160"/>
      <c r="CO134" s="160"/>
      <c r="CP134" s="160"/>
      <c r="CQ134" s="160"/>
      <c r="CR134" s="160"/>
      <c r="CS134" s="160"/>
      <c r="CT134" s="160"/>
    </row>
    <row r="135" spans="88:98">
      <c r="CJ135" s="160"/>
      <c r="CK135" s="155"/>
      <c r="CL135" s="160"/>
      <c r="CM135" s="161"/>
      <c r="CN135" s="160"/>
      <c r="CO135" s="160"/>
      <c r="CP135" s="160"/>
      <c r="CQ135" s="160"/>
      <c r="CR135" s="160"/>
      <c r="CS135" s="160"/>
      <c r="CT135" s="160"/>
    </row>
    <row r="136" spans="88:98">
      <c r="CJ136" s="160"/>
      <c r="CK136" s="155"/>
      <c r="CL136" s="160"/>
      <c r="CM136" s="161"/>
      <c r="CN136" s="160"/>
      <c r="CO136" s="160"/>
      <c r="CP136" s="160"/>
      <c r="CQ136" s="160"/>
      <c r="CR136" s="160"/>
      <c r="CS136" s="160"/>
      <c r="CT136" s="160"/>
    </row>
    <row r="137" spans="88:98">
      <c r="CJ137" s="160"/>
      <c r="CK137" s="155"/>
      <c r="CL137" s="160"/>
      <c r="CM137" s="161"/>
      <c r="CN137" s="160"/>
      <c r="CO137" s="160"/>
      <c r="CP137" s="160"/>
      <c r="CQ137" s="160"/>
      <c r="CR137" s="160"/>
      <c r="CS137" s="160"/>
      <c r="CT137" s="160"/>
    </row>
    <row r="138" spans="88:98">
      <c r="CJ138" s="160"/>
      <c r="CK138" s="155"/>
      <c r="CL138" s="160"/>
      <c r="CM138" s="161"/>
      <c r="CN138" s="160"/>
      <c r="CO138" s="160"/>
      <c r="CP138" s="160"/>
      <c r="CQ138" s="160"/>
      <c r="CR138" s="160"/>
      <c r="CS138" s="160"/>
      <c r="CT138" s="160"/>
    </row>
    <row r="139" spans="88:98">
      <c r="CJ139" s="160"/>
      <c r="CK139" s="155"/>
      <c r="CL139" s="160"/>
      <c r="CM139" s="161"/>
      <c r="CN139" s="160"/>
      <c r="CO139" s="160"/>
      <c r="CP139" s="160"/>
      <c r="CQ139" s="160"/>
      <c r="CR139" s="160"/>
      <c r="CS139" s="160"/>
      <c r="CT139" s="160"/>
    </row>
    <row r="140" spans="88:98">
      <c r="CJ140" s="160"/>
      <c r="CK140" s="155"/>
      <c r="CL140" s="160"/>
      <c r="CM140" s="161"/>
      <c r="CN140" s="160"/>
      <c r="CO140" s="160"/>
      <c r="CP140" s="160"/>
      <c r="CQ140" s="160"/>
      <c r="CR140" s="160"/>
      <c r="CS140" s="160"/>
      <c r="CT140" s="160"/>
    </row>
    <row r="141" spans="88:98">
      <c r="CJ141" s="160"/>
      <c r="CK141" s="155"/>
      <c r="CL141" s="160"/>
      <c r="CM141" s="161"/>
      <c r="CN141" s="160"/>
      <c r="CO141" s="160"/>
      <c r="CP141" s="160"/>
      <c r="CQ141" s="160"/>
      <c r="CR141" s="160"/>
      <c r="CS141" s="160"/>
      <c r="CT141" s="160"/>
    </row>
    <row r="142" spans="88:98">
      <c r="CJ142" s="161"/>
      <c r="CK142" s="156"/>
      <c r="CL142" s="161"/>
      <c r="CM142" s="161"/>
      <c r="CN142" s="161"/>
      <c r="CO142" s="161"/>
      <c r="CP142" s="161"/>
      <c r="CQ142" s="161"/>
      <c r="CR142" s="161"/>
      <c r="CS142" s="161"/>
      <c r="CT142" s="161"/>
    </row>
    <row r="143" spans="88:98">
      <c r="CJ143" s="161"/>
      <c r="CK143" s="156"/>
      <c r="CL143" s="161"/>
      <c r="CM143" s="161"/>
      <c r="CN143" s="161"/>
      <c r="CO143" s="161"/>
      <c r="CP143" s="161"/>
      <c r="CQ143" s="161"/>
      <c r="CR143" s="161"/>
      <c r="CS143" s="161"/>
      <c r="CT143" s="161"/>
    </row>
    <row r="144" spans="88:98">
      <c r="CJ144" s="161"/>
      <c r="CK144" s="156"/>
      <c r="CL144" s="161"/>
      <c r="CM144" s="161"/>
      <c r="CN144" s="161"/>
      <c r="CO144" s="161"/>
      <c r="CP144" s="161"/>
      <c r="CQ144" s="161"/>
      <c r="CR144" s="161"/>
      <c r="CS144" s="161"/>
      <c r="CT144" s="161"/>
    </row>
  </sheetData>
  <sheetProtection sheet="1" objects="1" scenarios="1"/>
  <dataConsolidate/>
  <mergeCells count="137">
    <mergeCell ref="CS1:CS3"/>
    <mergeCell ref="CT1:CT3"/>
    <mergeCell ref="CM1:CM3"/>
    <mergeCell ref="CN1:CN3"/>
    <mergeCell ref="CO1:CO3"/>
    <mergeCell ref="CP1:CP3"/>
    <mergeCell ref="CQ1:CQ3"/>
    <mergeCell ref="CR1:CR3"/>
    <mergeCell ref="D104:E104"/>
    <mergeCell ref="D81:E81"/>
    <mergeCell ref="D82:E82"/>
    <mergeCell ref="D83:E83"/>
    <mergeCell ref="D84:E84"/>
    <mergeCell ref="D85:E85"/>
    <mergeCell ref="D74:E74"/>
    <mergeCell ref="D75:E75"/>
    <mergeCell ref="D76:E76"/>
    <mergeCell ref="D77:E77"/>
    <mergeCell ref="D78:E78"/>
    <mergeCell ref="D79:E79"/>
    <mergeCell ref="D68:E68"/>
    <mergeCell ref="D69:E69"/>
    <mergeCell ref="D70:E70"/>
    <mergeCell ref="D71:E71"/>
    <mergeCell ref="D105:E105"/>
    <mergeCell ref="D106:E106"/>
    <mergeCell ref="D107:E107"/>
    <mergeCell ref="CJ1:CJ3"/>
    <mergeCell ref="CL1:CL3"/>
    <mergeCell ref="D98:E98"/>
    <mergeCell ref="D99:E99"/>
    <mergeCell ref="D100:E100"/>
    <mergeCell ref="D101:E101"/>
    <mergeCell ref="D102:E102"/>
    <mergeCell ref="D103:E103"/>
    <mergeCell ref="D92:E92"/>
    <mergeCell ref="D93:E93"/>
    <mergeCell ref="D94:E94"/>
    <mergeCell ref="B95:E95"/>
    <mergeCell ref="D96:E96"/>
    <mergeCell ref="D97:E97"/>
    <mergeCell ref="D86:E86"/>
    <mergeCell ref="D87:E87"/>
    <mergeCell ref="D88:E88"/>
    <mergeCell ref="D89:E89"/>
    <mergeCell ref="D90:E90"/>
    <mergeCell ref="B91:E91"/>
    <mergeCell ref="D80:E80"/>
    <mergeCell ref="D72:E72"/>
    <mergeCell ref="D73:E73"/>
    <mergeCell ref="D62:E62"/>
    <mergeCell ref="D63:E63"/>
    <mergeCell ref="D64:E64"/>
    <mergeCell ref="D65:E65"/>
    <mergeCell ref="D66:E66"/>
    <mergeCell ref="D67:E67"/>
    <mergeCell ref="D56:E56"/>
    <mergeCell ref="D57:E57"/>
    <mergeCell ref="D58:E58"/>
    <mergeCell ref="D59:E59"/>
    <mergeCell ref="D60:E60"/>
    <mergeCell ref="D61:E61"/>
    <mergeCell ref="D50:E50"/>
    <mergeCell ref="D51:E51"/>
    <mergeCell ref="D52:E52"/>
    <mergeCell ref="D53:E53"/>
    <mergeCell ref="D54:E54"/>
    <mergeCell ref="D55:E55"/>
    <mergeCell ref="D44:E44"/>
    <mergeCell ref="D45:E45"/>
    <mergeCell ref="D46:E46"/>
    <mergeCell ref="D47:E47"/>
    <mergeCell ref="D48:E48"/>
    <mergeCell ref="D49:E49"/>
    <mergeCell ref="D38:E38"/>
    <mergeCell ref="D39:E39"/>
    <mergeCell ref="D40:E40"/>
    <mergeCell ref="D41:E41"/>
    <mergeCell ref="D42:E42"/>
    <mergeCell ref="D43:E43"/>
    <mergeCell ref="D32:E32"/>
    <mergeCell ref="D33:E33"/>
    <mergeCell ref="D34:E34"/>
    <mergeCell ref="D35:E35"/>
    <mergeCell ref="D36:E36"/>
    <mergeCell ref="D37:E37"/>
    <mergeCell ref="D26:E26"/>
    <mergeCell ref="D27:E27"/>
    <mergeCell ref="D28:E28"/>
    <mergeCell ref="D29:E29"/>
    <mergeCell ref="D30:E30"/>
    <mergeCell ref="D31:E31"/>
    <mergeCell ref="D20:E20"/>
    <mergeCell ref="D21:E21"/>
    <mergeCell ref="D22:E22"/>
    <mergeCell ref="D23:E23"/>
    <mergeCell ref="D24:E24"/>
    <mergeCell ref="D25:E25"/>
    <mergeCell ref="F1:G3"/>
    <mergeCell ref="H1:I3"/>
    <mergeCell ref="J1:K3"/>
    <mergeCell ref="D14:E14"/>
    <mergeCell ref="D15:E15"/>
    <mergeCell ref="D16:E16"/>
    <mergeCell ref="D17:E17"/>
    <mergeCell ref="D18:E18"/>
    <mergeCell ref="D19:E19"/>
    <mergeCell ref="D8:E8"/>
    <mergeCell ref="D9:E9"/>
    <mergeCell ref="D10:E10"/>
    <mergeCell ref="D11:E11"/>
    <mergeCell ref="D12:E12"/>
    <mergeCell ref="D13:E13"/>
    <mergeCell ref="CK1:CK3"/>
    <mergeCell ref="L1:M3"/>
    <mergeCell ref="N1:O3"/>
    <mergeCell ref="AV3:AW3"/>
    <mergeCell ref="B4:E4"/>
    <mergeCell ref="B5:C5"/>
    <mergeCell ref="D5:E5"/>
    <mergeCell ref="D6:E6"/>
    <mergeCell ref="D7:E7"/>
    <mergeCell ref="AB1:AC3"/>
    <mergeCell ref="AD1:AE3"/>
    <mergeCell ref="AF1:AG3"/>
    <mergeCell ref="AH1:AI3"/>
    <mergeCell ref="AJ1:AK3"/>
    <mergeCell ref="B2:C2"/>
    <mergeCell ref="B3:C3"/>
    <mergeCell ref="D3:E3"/>
    <mergeCell ref="P1:Q3"/>
    <mergeCell ref="R1:S3"/>
    <mergeCell ref="T1:U3"/>
    <mergeCell ref="V1:W3"/>
    <mergeCell ref="X1:Y3"/>
    <mergeCell ref="Z1:AA3"/>
    <mergeCell ref="B1:C1"/>
  </mergeCells>
  <dataValidations count="4">
    <dataValidation allowBlank="1" showErrorMessage="1" sqref="E1" xr:uid="{00000000-0002-0000-1000-000000000000}"/>
    <dataValidation type="textLength" allowBlank="1" showInputMessage="1" showErrorMessage="1" prompt="Please select your country in worksheet &quot;Intro&quot; (for all pollutant sheets)" sqref="D1" xr:uid="{00000000-0002-0000-1000-000001000000}">
      <formula1>2</formula1>
      <formula2>2</formula2>
    </dataValidation>
    <dataValidation type="custom" allowBlank="1" showInputMessage="1" showErrorMessage="1" errorTitle="Wrong data input" error="Data entry is limited to positive values or zero._x000d__x000a_: symbol can be used for not available data." sqref="F5:F95 F101:F104 F106:F107 BH5:BH95 BH101:BH104 BH106:BH107 BF5:BF95 BF101:BF104 BF106:BF107 BD5:BD95 BD101:BD104 BD106:BD107 BB5:BB95 BB101:BB104 BB106:BB107 AZ5:AZ95 AZ101:AZ104 AZ106:AZ107 AX5:AX95 AX101:AX104 AX106:AX107 AV5:AV95 AV101:AV104 AV106:AV107 AT5:AT95 AT101:AT104 AT106:AT107 AR5:AR95 AR101:AR104 AR106:AR107 AP5:AP95 AP101:AP104 AP106:AP107 AN5:AN95 AN101:AN104 AN106:AN107 AL5:AL95 AL101:AL104 AL106:AL107 AJ5:AJ95 AJ101:AJ104 AJ106:AJ107 AH5:AH95 AH101:AH104 AH106:AH107 AF5:AF95 AF101:AF104 AF106:AF107 AD5:AD95 AD101:AD104 AD106:AD107 AB5:AB95 AB101:AB104 AB106:AB107 Z5:Z95 Z101:Z104 Z106:Z107 X5:X95 X101:X104 X106:X107 V5:V95 V101:V104 V106:V107 T5:T95 T101:T104 T106:T107 R5:R95 R101:R104 R106:R107 P5:P95 P101:P104 P106:P107 N5:N95 N101:N104 N106:N107 L5:L95 L101:L104 L106:L107 J5:J95 J101:J104 J106:J107 H5:H95 H101:H104 H106:H107" xr:uid="{908E9BD1-135F-43D3-99A8-41AE199681D6}">
      <formula1>OR(AND(ISNUMBER(F5),F5&gt;=0),F5=":")</formula1>
    </dataValidation>
    <dataValidation type="custom" allowBlank="1" showInputMessage="1" showErrorMessage="1" errorTitle="Wrong data input" error="Data entry is limited to numbers._x000d__x000a_: symbol can be used for not available data." sqref="BH105 BH96:BH100 BF105 BF96:BF100 BD105 BD96:BD100 BB105 BB96:BB100 AZ105 AZ96:AZ100 AX105 AX96:AX100 AV105 AV96:AV100 AT105 AT96:AT100 AR105 AR96:AR100 AP105 AP96:AP100 AN105 AN96:AN100 AL105 AL96:AL100 AJ105 AJ96:AJ100 AH105 AH96:AH100 AF105 AF96:AF100 AD105 AD96:AD100 AB105 AB96:AB100 Z105 Z96:Z100 X105 X96:X100 V105 V96:V100 T105 T96:T100 R105 R96:R100 P105 P96:P100 N105 N96:N100 L105 L96:L100 J105 J96:J100 H105 H96:H100 F105 F96:F100" xr:uid="{E5D20276-F37A-4102-A1AE-00DA83AAA04B}">
      <formula1>OR(ISNUMBER(F96),F96=":")</formula1>
    </dataValidation>
  </dataValidations>
  <printOptions headings="1" gridLines="1"/>
  <pageMargins left="0.2" right="0.39370078740157499" top="0.17" bottom="0.47" header="0" footer="0"/>
  <pageSetup paperSize="9" scale="60" fitToHeight="3" pageOrder="overThenDown" orientation="portrait" r:id="rId1"/>
  <headerFooter alignWithMargins="0">
    <oddFooter>&amp;L&amp;A&amp;C&amp;P&amp;R&amp;F</oddFooter>
  </headerFooter>
  <rowBreaks count="1" manualBreakCount="1">
    <brk id="94" min="1" max="22" man="1"/>
  </rowBreaks>
  <drawing r:id="rId2"/>
  <legacyDrawing r:id="rId3"/>
  <mc:AlternateContent xmlns:mc="http://schemas.openxmlformats.org/markup-compatibility/2006">
    <mc:Choice Requires="x14">
      <controls>
        <mc:AlternateContent xmlns:mc="http://schemas.openxmlformats.org/markup-compatibility/2006">
          <mc:Choice Requires="x14">
            <control shapeId="821249" r:id="rId4" name="Button 1">
              <controlPr defaultSize="0" print="0" autoFill="0" autoPict="0" macro="[0]!CheckThisSheet">
                <anchor moveWithCells="1" sizeWithCells="1">
                  <from>
                    <xdr:col>4</xdr:col>
                    <xdr:colOff>3105150</xdr:colOff>
                    <xdr:row>1</xdr:row>
                    <xdr:rowOff>76200</xdr:rowOff>
                  </from>
                  <to>
                    <xdr:col>4</xdr:col>
                    <xdr:colOff>3810000</xdr:colOff>
                    <xdr:row>2</xdr:row>
                    <xdr:rowOff>304800</xdr:rowOff>
                  </to>
                </anchor>
              </controlPr>
            </control>
          </mc:Choice>
        </mc:AlternateContent>
        <mc:AlternateContent xmlns:mc="http://schemas.openxmlformats.org/markup-compatibility/2006">
          <mc:Choice Requires="x14">
            <control shapeId="821250" r:id="rId5" name="Button 2">
              <controlPr defaultSize="0" print="0" autoFill="0" autoPict="0" macro="[0]!Interface.SetPinkColor">
                <anchor moveWithCells="1" sizeWithCells="1">
                  <from>
                    <xdr:col>4</xdr:col>
                    <xdr:colOff>2914650</xdr:colOff>
                    <xdr:row>3</xdr:row>
                    <xdr:rowOff>76200</xdr:rowOff>
                  </from>
                  <to>
                    <xdr:col>4</xdr:col>
                    <xdr:colOff>3162300</xdr:colOff>
                    <xdr:row>3</xdr:row>
                    <xdr:rowOff>323850</xdr:rowOff>
                  </to>
                </anchor>
              </controlPr>
            </control>
          </mc:Choice>
        </mc:AlternateContent>
        <mc:AlternateContent xmlns:mc="http://schemas.openxmlformats.org/markup-compatibility/2006">
          <mc:Choice Requires="x14">
            <control shapeId="821251" r:id="rId6" name="Button 3">
              <controlPr defaultSize="0" print="0" autoFill="0" autoPict="0" macro="[0]!Interface.SetGreyColor">
                <anchor moveWithCells="1" sizeWithCells="1">
                  <from>
                    <xdr:col>4</xdr:col>
                    <xdr:colOff>3257550</xdr:colOff>
                    <xdr:row>3</xdr:row>
                    <xdr:rowOff>76200</xdr:rowOff>
                  </from>
                  <to>
                    <xdr:col>4</xdr:col>
                    <xdr:colOff>3505200</xdr:colOff>
                    <xdr:row>3</xdr:row>
                    <xdr:rowOff>323850</xdr:rowOff>
                  </to>
                </anchor>
              </controlPr>
            </control>
          </mc:Choice>
        </mc:AlternateContent>
        <mc:AlternateContent xmlns:mc="http://schemas.openxmlformats.org/markup-compatibility/2006">
          <mc:Choice Requires="x14">
            <control shapeId="821252" r:id="rId7" name="Button 4">
              <controlPr defaultSize="0" print="0" autoFill="0" autoPict="0" macro="[0]!Interface.SetBlankColor">
                <anchor moveWithCells="1" sizeWithCells="1">
                  <from>
                    <xdr:col>4</xdr:col>
                    <xdr:colOff>3600450</xdr:colOff>
                    <xdr:row>3</xdr:row>
                    <xdr:rowOff>66675</xdr:rowOff>
                  </from>
                  <to>
                    <xdr:col>4</xdr:col>
                    <xdr:colOff>3838575</xdr:colOff>
                    <xdr:row>3</xdr:row>
                    <xdr:rowOff>323850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MODEL6">
    <tabColor indexed="42"/>
  </sheetPr>
  <dimension ref="A1:CT144"/>
  <sheetViews>
    <sheetView showGridLines="0" showOutlineSymbols="0" zoomScale="80" zoomScaleNormal="80" zoomScaleSheetLayoutView="100" workbookViewId="0">
      <pane xSplit="5" ySplit="4" topLeftCell="AD5" activePane="bottomRight" state="frozen"/>
      <selection pane="topRight" activeCell="AN63" sqref="AN63"/>
      <selection pane="bottomLeft" activeCell="AN63" sqref="AN63"/>
      <selection pane="bottomRight" activeCell="BG105" sqref="BG105"/>
    </sheetView>
  </sheetViews>
  <sheetFormatPr defaultColWidth="9.28515625" defaultRowHeight="12.75" outlineLevelCol="1"/>
  <cols>
    <col min="1" max="1" width="11.7109375" hidden="1" customWidth="1" outlineLevel="1" collapsed="1"/>
    <col min="2" max="2" width="10.28515625" customWidth="1" collapsed="1"/>
    <col min="3" max="3" width="2.7109375" customWidth="1"/>
    <col min="4" max="4" width="10" customWidth="1"/>
    <col min="5" max="5" width="56.7109375" customWidth="1"/>
    <col min="6" max="6" width="15.28515625" customWidth="1"/>
    <col min="7" max="7" width="2.28515625" customWidth="1"/>
    <col min="8" max="8" width="14.7109375" customWidth="1"/>
    <col min="9" max="9" width="2.28515625" customWidth="1"/>
    <col min="10" max="10" width="14.7109375" customWidth="1"/>
    <col min="11" max="11" width="2.28515625" customWidth="1"/>
    <col min="12" max="12" width="14.7109375" customWidth="1"/>
    <col min="13" max="13" width="2.28515625" customWidth="1"/>
    <col min="14" max="14" width="14.7109375" customWidth="1"/>
    <col min="15" max="15" width="2.28515625" customWidth="1"/>
    <col min="16" max="16" width="14.7109375" customWidth="1"/>
    <col min="17" max="17" width="2.28515625" customWidth="1"/>
    <col min="18" max="18" width="14.7109375" customWidth="1"/>
    <col min="19" max="19" width="2.28515625" customWidth="1"/>
    <col min="20" max="20" width="14.7109375" customWidth="1"/>
    <col min="21" max="21" width="2.28515625" customWidth="1"/>
    <col min="22" max="22" width="14.7109375" customWidth="1"/>
    <col min="23" max="23" width="2.28515625" customWidth="1"/>
    <col min="24" max="24" width="14.7109375" customWidth="1"/>
    <col min="25" max="25" width="2.28515625" customWidth="1"/>
    <col min="26" max="26" width="14.7109375" customWidth="1"/>
    <col min="27" max="27" width="2.28515625" customWidth="1"/>
    <col min="28" max="28" width="14.7109375" customWidth="1"/>
    <col min="29" max="29" width="2.28515625" customWidth="1"/>
    <col min="30" max="30" width="14.7109375" customWidth="1"/>
    <col min="31" max="31" width="2.28515625" customWidth="1"/>
    <col min="32" max="32" width="14.7109375" customWidth="1"/>
    <col min="33" max="33" width="2.28515625" customWidth="1"/>
    <col min="34" max="34" width="14.7109375" customWidth="1"/>
    <col min="35" max="35" width="2.28515625" customWidth="1"/>
    <col min="36" max="36" width="14.7109375" customWidth="1"/>
    <col min="37" max="37" width="2.28515625" customWidth="1"/>
    <col min="38" max="38" width="14.7109375" customWidth="1"/>
    <col min="39" max="39" width="2.28515625" customWidth="1"/>
    <col min="40" max="40" width="14.7109375" customWidth="1"/>
    <col min="41" max="41" width="2.28515625" customWidth="1"/>
    <col min="42" max="42" width="14.7109375" customWidth="1"/>
    <col min="43" max="43" width="2.28515625" customWidth="1"/>
    <col min="44" max="44" width="14.7109375" customWidth="1"/>
    <col min="45" max="45" width="2.28515625" customWidth="1"/>
    <col min="46" max="46" width="14.7109375" customWidth="1"/>
    <col min="47" max="47" width="2.28515625" customWidth="1"/>
    <col min="48" max="48" width="14.7109375" customWidth="1"/>
    <col min="49" max="49" width="2.28515625" customWidth="1"/>
    <col min="50" max="50" width="14.7109375" customWidth="1"/>
    <col min="51" max="51" width="2.28515625" customWidth="1"/>
    <col min="52" max="52" width="14.7109375" customWidth="1"/>
    <col min="53" max="53" width="2.28515625" customWidth="1"/>
    <col min="54" max="54" width="14.7109375" customWidth="1"/>
    <col min="55" max="55" width="2.28515625" customWidth="1"/>
    <col min="56" max="56" width="14.7109375" customWidth="1"/>
    <col min="57" max="57" width="2.28515625" customWidth="1"/>
    <col min="58" max="58" width="14.7109375" customWidth="1"/>
    <col min="59" max="59" width="2.28515625" customWidth="1"/>
    <col min="60" max="60" width="14.7109375" customWidth="1"/>
    <col min="61" max="61" width="2.28515625" customWidth="1"/>
    <col min="89" max="89" width="4.7109375" customWidth="1"/>
    <col min="92" max="92" width="12.7109375" customWidth="1"/>
  </cols>
  <sheetData>
    <row r="1" spans="1:98" ht="30" customHeight="1" thickBot="1">
      <c r="A1" t="s">
        <v>562</v>
      </c>
      <c r="B1" s="528" t="s">
        <v>563</v>
      </c>
      <c r="C1" s="529"/>
      <c r="D1" s="204" t="str">
        <f>intro!F7</f>
        <v>NO</v>
      </c>
      <c r="E1" s="15"/>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1"/>
      <c r="AI1" s="521"/>
      <c r="AJ1" s="521"/>
      <c r="AK1" s="521"/>
      <c r="CJ1" s="554" t="s">
        <v>214</v>
      </c>
      <c r="CK1" s="554" t="s">
        <v>218</v>
      </c>
      <c r="CL1" s="554" t="s">
        <v>222</v>
      </c>
      <c r="CM1" s="554" t="s">
        <v>225</v>
      </c>
      <c r="CN1" s="554" t="s">
        <v>1126</v>
      </c>
      <c r="CO1" s="554" t="s">
        <v>234</v>
      </c>
      <c r="CP1" s="554" t="s">
        <v>236</v>
      </c>
      <c r="CQ1" s="554" t="s">
        <v>238</v>
      </c>
      <c r="CR1" s="554" t="s">
        <v>259</v>
      </c>
      <c r="CS1" s="554" t="s">
        <v>240</v>
      </c>
      <c r="CT1" s="554" t="s">
        <v>242</v>
      </c>
    </row>
    <row r="2" spans="1:98" ht="30" customHeight="1" thickBot="1">
      <c r="B2" s="522" t="s">
        <v>564</v>
      </c>
      <c r="C2" s="523"/>
      <c r="D2" s="7" t="s">
        <v>64</v>
      </c>
      <c r="E2" s="297" t="s">
        <v>672</v>
      </c>
      <c r="F2" s="521"/>
      <c r="G2" s="521"/>
      <c r="H2" s="521"/>
      <c r="I2" s="521"/>
      <c r="J2" s="521"/>
      <c r="K2" s="521"/>
      <c r="L2" s="521"/>
      <c r="M2" s="521"/>
      <c r="N2" s="521"/>
      <c r="O2" s="521"/>
      <c r="P2" s="521"/>
      <c r="Q2" s="521"/>
      <c r="R2" s="521"/>
      <c r="S2" s="521"/>
      <c r="T2" s="521"/>
      <c r="U2" s="521"/>
      <c r="V2" s="521"/>
      <c r="W2" s="521"/>
      <c r="X2" s="521"/>
      <c r="Y2" s="521"/>
      <c r="Z2" s="521"/>
      <c r="AA2" s="521"/>
      <c r="AB2" s="521"/>
      <c r="AC2" s="521"/>
      <c r="AD2" s="521"/>
      <c r="AE2" s="521"/>
      <c r="AF2" s="521"/>
      <c r="AG2" s="521"/>
      <c r="AH2" s="521"/>
      <c r="AI2" s="521"/>
      <c r="AJ2" s="521"/>
      <c r="AK2" s="521"/>
      <c r="CJ2" s="554"/>
      <c r="CK2" s="554"/>
      <c r="CL2" s="554"/>
      <c r="CM2" s="554"/>
      <c r="CN2" s="554"/>
      <c r="CO2" s="554"/>
      <c r="CP2" s="554"/>
      <c r="CQ2" s="554"/>
      <c r="CR2" s="554"/>
      <c r="CS2" s="554"/>
      <c r="CT2" s="554"/>
    </row>
    <row r="3" spans="1:98" ht="30" customHeight="1" thickBot="1">
      <c r="A3" s="21" t="s">
        <v>662</v>
      </c>
      <c r="B3" s="524" t="s">
        <v>567</v>
      </c>
      <c r="C3" s="525" t="s">
        <v>568</v>
      </c>
      <c r="D3" s="526" t="s">
        <v>1175</v>
      </c>
      <c r="E3" s="527"/>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1"/>
      <c r="AI3" s="521"/>
      <c r="AJ3" s="521"/>
      <c r="AK3" s="521"/>
      <c r="AV3" s="511"/>
      <c r="AW3" s="511"/>
      <c r="CJ3" s="554"/>
      <c r="CK3" s="554"/>
      <c r="CL3" s="554"/>
      <c r="CM3" s="554"/>
      <c r="CN3" s="554"/>
      <c r="CO3" s="554"/>
      <c r="CP3" s="554"/>
      <c r="CQ3" s="554"/>
      <c r="CR3" s="554"/>
      <c r="CS3" s="554"/>
      <c r="CT3" s="554"/>
    </row>
    <row r="4" spans="1:98" ht="30" customHeight="1" thickBot="1">
      <c r="A4" s="22"/>
      <c r="B4" s="512" t="s">
        <v>570</v>
      </c>
      <c r="C4" s="513"/>
      <c r="D4" s="513"/>
      <c r="E4" s="514"/>
      <c r="F4" s="68">
        <v>1995</v>
      </c>
      <c r="G4" s="298"/>
      <c r="H4" s="1">
        <v>1996</v>
      </c>
      <c r="I4" s="298"/>
      <c r="J4" s="1">
        <v>1997</v>
      </c>
      <c r="K4" s="298"/>
      <c r="L4" s="1">
        <v>1998</v>
      </c>
      <c r="M4" s="298"/>
      <c r="N4" s="1">
        <v>1999</v>
      </c>
      <c r="O4" s="298"/>
      <c r="P4" s="1">
        <v>2000</v>
      </c>
      <c r="Q4" s="298"/>
      <c r="R4" s="1">
        <v>2001</v>
      </c>
      <c r="S4" s="298"/>
      <c r="T4" s="1">
        <v>2002</v>
      </c>
      <c r="U4" s="298"/>
      <c r="V4" s="1">
        <v>2003</v>
      </c>
      <c r="W4" s="298"/>
      <c r="X4" s="1">
        <v>2004</v>
      </c>
      <c r="Y4" s="298"/>
      <c r="Z4" s="1">
        <v>2005</v>
      </c>
      <c r="AA4" s="298"/>
      <c r="AB4" s="1">
        <v>2006</v>
      </c>
      <c r="AC4" s="298"/>
      <c r="AD4" s="1">
        <v>2007</v>
      </c>
      <c r="AE4" s="298"/>
      <c r="AF4" s="1">
        <v>2008</v>
      </c>
      <c r="AG4" s="298"/>
      <c r="AH4" s="1">
        <v>2009</v>
      </c>
      <c r="AI4" s="298"/>
      <c r="AJ4" s="1">
        <v>2010</v>
      </c>
      <c r="AK4" s="298"/>
      <c r="AL4" s="1">
        <v>2011</v>
      </c>
      <c r="AM4" s="298"/>
      <c r="AN4" s="1">
        <v>2012</v>
      </c>
      <c r="AO4" s="298"/>
      <c r="AP4" s="1">
        <v>2013</v>
      </c>
      <c r="AQ4" s="298"/>
      <c r="AR4" s="1">
        <v>2014</v>
      </c>
      <c r="AS4" s="298"/>
      <c r="AT4" s="1">
        <v>2015</v>
      </c>
      <c r="AU4" s="298"/>
      <c r="AV4" s="1">
        <v>2016</v>
      </c>
      <c r="AW4" s="299"/>
      <c r="AX4" s="1">
        <v>2017</v>
      </c>
      <c r="AY4" s="299"/>
      <c r="AZ4" s="1">
        <v>2018</v>
      </c>
      <c r="BA4" s="299"/>
      <c r="BB4" s="148">
        <v>2019</v>
      </c>
      <c r="BC4" s="300"/>
      <c r="BD4" s="180">
        <v>2020</v>
      </c>
      <c r="BE4" s="300"/>
      <c r="BF4" s="180">
        <v>2021</v>
      </c>
      <c r="BG4" s="299"/>
      <c r="BH4" s="67">
        <v>2022</v>
      </c>
      <c r="BI4" s="301"/>
      <c r="CJ4" s="149"/>
      <c r="CK4" s="149"/>
      <c r="CL4" s="149"/>
      <c r="CM4" s="149"/>
      <c r="CN4" s="149"/>
      <c r="CO4" s="149"/>
      <c r="CP4" s="149"/>
      <c r="CQ4" s="149"/>
      <c r="CR4" s="149"/>
      <c r="CS4" s="149"/>
      <c r="CT4" s="149"/>
    </row>
    <row r="5" spans="1:98" s="9" customFormat="1" ht="20.100000000000001" customHeight="1">
      <c r="A5" s="23"/>
      <c r="B5" s="515" t="str">
        <f>Parameters!Q4</f>
        <v>A_U   01-99</v>
      </c>
      <c r="C5" s="516"/>
      <c r="D5" s="517" t="str">
        <f>Parameters!S4</f>
        <v>Total industries</v>
      </c>
      <c r="E5" s="518"/>
      <c r="F5" s="220"/>
      <c r="G5" s="181"/>
      <c r="H5" s="221"/>
      <c r="I5" s="181"/>
      <c r="J5" s="221"/>
      <c r="K5" s="181"/>
      <c r="L5" s="221"/>
      <c r="M5" s="181"/>
      <c r="N5" s="221"/>
      <c r="O5" s="181"/>
      <c r="P5" s="221"/>
      <c r="Q5" s="181"/>
      <c r="R5" s="221"/>
      <c r="S5" s="181"/>
      <c r="T5" s="221"/>
      <c r="U5" s="181"/>
      <c r="V5" s="221"/>
      <c r="W5" s="181"/>
      <c r="X5" s="221"/>
      <c r="Y5" s="181"/>
      <c r="Z5" s="221"/>
      <c r="AA5" s="181"/>
      <c r="AB5" s="221"/>
      <c r="AC5" s="181"/>
      <c r="AD5" s="221"/>
      <c r="AE5" s="181"/>
      <c r="AF5" s="163">
        <v>805399.92</v>
      </c>
      <c r="AG5" s="181"/>
      <c r="AH5" s="163">
        <v>394159.32</v>
      </c>
      <c r="AI5" s="181"/>
      <c r="AJ5" s="163">
        <v>214300.48688370001</v>
      </c>
      <c r="AK5" s="181"/>
      <c r="AL5" s="163">
        <v>236126.56933319999</v>
      </c>
      <c r="AM5" s="181"/>
      <c r="AN5" s="163">
        <v>180255.72113719999</v>
      </c>
      <c r="AO5" s="181"/>
      <c r="AP5" s="163">
        <v>162777.48314570001</v>
      </c>
      <c r="AQ5" s="181"/>
      <c r="AR5" s="163">
        <v>160883.47296350001</v>
      </c>
      <c r="AS5" s="181"/>
      <c r="AT5" s="163">
        <v>131627.6073</v>
      </c>
      <c r="AU5" s="181"/>
      <c r="AV5" s="163">
        <v>167403.85016999999</v>
      </c>
      <c r="AW5" s="181"/>
      <c r="AX5" s="163">
        <v>117750.33297</v>
      </c>
      <c r="AY5" s="181"/>
      <c r="AZ5" s="163">
        <v>133145.63834999999</v>
      </c>
      <c r="BA5" s="181"/>
      <c r="BB5" s="163">
        <v>157411.13544000001</v>
      </c>
      <c r="BC5" s="181"/>
      <c r="BD5" s="163">
        <v>145153.63521000001</v>
      </c>
      <c r="BE5" s="181"/>
      <c r="BF5" s="163">
        <v>222762.73788</v>
      </c>
      <c r="BG5" s="181"/>
      <c r="BH5" s="221"/>
      <c r="BI5" s="183"/>
      <c r="CJ5" s="150" t="s">
        <v>271</v>
      </c>
      <c r="CK5" s="150" t="s">
        <v>219</v>
      </c>
      <c r="CL5" s="150" t="s">
        <v>1128</v>
      </c>
      <c r="CM5" s="150" t="s">
        <v>1129</v>
      </c>
      <c r="CN5" s="150" t="s">
        <v>1130</v>
      </c>
      <c r="CO5" s="150" t="s">
        <v>64</v>
      </c>
      <c r="CP5" s="150" t="s">
        <v>1131</v>
      </c>
      <c r="CQ5" s="162" t="s">
        <v>662</v>
      </c>
      <c r="CR5" s="162">
        <v>0</v>
      </c>
      <c r="CS5" s="150" t="s">
        <v>1133</v>
      </c>
      <c r="CT5" s="150" t="s">
        <v>1134</v>
      </c>
    </row>
    <row r="6" spans="1:98" s="9" customFormat="1" ht="20.100000000000001" customHeight="1">
      <c r="A6" s="24"/>
      <c r="B6" s="83" t="str">
        <f>Parameters!Q5</f>
        <v>A</v>
      </c>
      <c r="C6" s="305"/>
      <c r="D6" s="519" t="str">
        <f>Parameters!S5</f>
        <v>Agriculture, forestry and fishing</v>
      </c>
      <c r="E6" s="520"/>
      <c r="F6" s="222"/>
      <c r="G6" s="379"/>
      <c r="H6" s="223"/>
      <c r="I6" s="379"/>
      <c r="J6" s="223"/>
      <c r="K6" s="379"/>
      <c r="L6" s="223"/>
      <c r="M6" s="379"/>
      <c r="N6" s="223"/>
      <c r="O6" s="379"/>
      <c r="P6" s="223"/>
      <c r="Q6" s="379"/>
      <c r="R6" s="223"/>
      <c r="S6" s="379"/>
      <c r="T6" s="223"/>
      <c r="U6" s="379"/>
      <c r="V6" s="223"/>
      <c r="W6" s="379"/>
      <c r="X6" s="223"/>
      <c r="Y6" s="379"/>
      <c r="Z6" s="223"/>
      <c r="AA6" s="379"/>
      <c r="AB6" s="223"/>
      <c r="AC6" s="379"/>
      <c r="AD6" s="223"/>
      <c r="AE6" s="379"/>
      <c r="AF6" s="164">
        <v>0</v>
      </c>
      <c r="AG6" s="379"/>
      <c r="AH6" s="164">
        <v>0</v>
      </c>
      <c r="AI6" s="379"/>
      <c r="AJ6" s="164">
        <v>0</v>
      </c>
      <c r="AK6" s="379"/>
      <c r="AL6" s="164">
        <v>0</v>
      </c>
      <c r="AM6" s="379"/>
      <c r="AN6" s="164">
        <v>0</v>
      </c>
      <c r="AO6" s="379"/>
      <c r="AP6" s="164">
        <v>0</v>
      </c>
      <c r="AQ6" s="379"/>
      <c r="AR6" s="164">
        <v>0</v>
      </c>
      <c r="AS6" s="379"/>
      <c r="AT6" s="164">
        <v>0</v>
      </c>
      <c r="AU6" s="379"/>
      <c r="AV6" s="164">
        <v>0</v>
      </c>
      <c r="AW6" s="379"/>
      <c r="AX6" s="164">
        <v>0</v>
      </c>
      <c r="AY6" s="379"/>
      <c r="AZ6" s="164">
        <v>0</v>
      </c>
      <c r="BA6" s="379"/>
      <c r="BB6" s="164">
        <v>0</v>
      </c>
      <c r="BC6" s="379"/>
      <c r="BD6" s="164">
        <v>0</v>
      </c>
      <c r="BE6" s="379"/>
      <c r="BF6" s="164">
        <v>0</v>
      </c>
      <c r="BG6" s="379"/>
      <c r="BH6" s="223"/>
      <c r="BI6" s="184"/>
      <c r="CJ6" s="150"/>
      <c r="CK6" s="150"/>
      <c r="CL6" s="150"/>
      <c r="CM6" s="151" t="s">
        <v>206</v>
      </c>
      <c r="CN6" s="150" t="s">
        <v>1130</v>
      </c>
      <c r="CO6" s="150"/>
      <c r="CP6" s="150"/>
      <c r="CQ6" s="150"/>
      <c r="CR6" s="150"/>
      <c r="CS6" s="150"/>
      <c r="CT6" s="150"/>
    </row>
    <row r="7" spans="1:98" s="10" customFormat="1" ht="12.75" customHeight="1">
      <c r="A7" s="307"/>
      <c r="B7" s="308" t="str">
        <f>Parameters!Q6</f>
        <v>A01</v>
      </c>
      <c r="C7" s="309"/>
      <c r="D7" s="495" t="str">
        <f>Parameters!S6</f>
        <v>Crop and animal production, hunting and related service activities</v>
      </c>
      <c r="E7" s="510"/>
      <c r="F7" s="224"/>
      <c r="G7" s="379"/>
      <c r="H7" s="225"/>
      <c r="I7" s="379"/>
      <c r="J7" s="225"/>
      <c r="K7" s="379"/>
      <c r="L7" s="225"/>
      <c r="M7" s="379"/>
      <c r="N7" s="225"/>
      <c r="O7" s="379"/>
      <c r="P7" s="225"/>
      <c r="Q7" s="379"/>
      <c r="R7" s="225"/>
      <c r="S7" s="379"/>
      <c r="T7" s="225"/>
      <c r="U7" s="379"/>
      <c r="V7" s="225"/>
      <c r="W7" s="379"/>
      <c r="X7" s="225"/>
      <c r="Y7" s="379"/>
      <c r="Z7" s="225"/>
      <c r="AA7" s="379"/>
      <c r="AB7" s="225"/>
      <c r="AC7" s="379"/>
      <c r="AD7" s="225"/>
      <c r="AE7" s="379"/>
      <c r="AF7" s="165">
        <v>0</v>
      </c>
      <c r="AG7" s="379"/>
      <c r="AH7" s="165">
        <v>0</v>
      </c>
      <c r="AI7" s="379"/>
      <c r="AJ7" s="165">
        <v>0</v>
      </c>
      <c r="AK7" s="379"/>
      <c r="AL7" s="165">
        <v>0</v>
      </c>
      <c r="AM7" s="379"/>
      <c r="AN7" s="165">
        <v>0</v>
      </c>
      <c r="AO7" s="379"/>
      <c r="AP7" s="165">
        <v>0</v>
      </c>
      <c r="AQ7" s="379"/>
      <c r="AR7" s="165">
        <v>0</v>
      </c>
      <c r="AS7" s="379"/>
      <c r="AT7" s="165">
        <v>0</v>
      </c>
      <c r="AU7" s="379"/>
      <c r="AV7" s="165">
        <v>0</v>
      </c>
      <c r="AW7" s="379"/>
      <c r="AX7" s="165">
        <v>0</v>
      </c>
      <c r="AY7" s="379"/>
      <c r="AZ7" s="165">
        <v>0</v>
      </c>
      <c r="BA7" s="379"/>
      <c r="BB7" s="165">
        <v>0</v>
      </c>
      <c r="BC7" s="379"/>
      <c r="BD7" s="165">
        <v>0</v>
      </c>
      <c r="BE7" s="379"/>
      <c r="BF7" s="165">
        <v>0</v>
      </c>
      <c r="BG7" s="379"/>
      <c r="BH7" s="225"/>
      <c r="BI7" s="184"/>
      <c r="CJ7" s="150"/>
      <c r="CK7" s="150"/>
      <c r="CL7" s="150"/>
      <c r="CM7" s="151" t="s">
        <v>650</v>
      </c>
      <c r="CN7" s="150" t="s">
        <v>1130</v>
      </c>
      <c r="CO7" s="150"/>
      <c r="CP7" s="150"/>
      <c r="CQ7" s="150"/>
      <c r="CR7" s="150"/>
      <c r="CS7" s="150"/>
      <c r="CT7" s="150"/>
    </row>
    <row r="8" spans="1:98" s="11" customFormat="1" ht="12.75" customHeight="1">
      <c r="A8" s="307"/>
      <c r="B8" s="308" t="str">
        <f>Parameters!Q7</f>
        <v>A02</v>
      </c>
      <c r="C8" s="309"/>
      <c r="D8" s="495" t="str">
        <f>Parameters!S7</f>
        <v>Forestry and logging</v>
      </c>
      <c r="E8" s="530"/>
      <c r="F8" s="224"/>
      <c r="G8" s="379"/>
      <c r="H8" s="225"/>
      <c r="I8" s="379"/>
      <c r="J8" s="225"/>
      <c r="K8" s="379"/>
      <c r="L8" s="225"/>
      <c r="M8" s="379"/>
      <c r="N8" s="225"/>
      <c r="O8" s="379"/>
      <c r="P8" s="225"/>
      <c r="Q8" s="379"/>
      <c r="R8" s="225"/>
      <c r="S8" s="379"/>
      <c r="T8" s="225"/>
      <c r="U8" s="379"/>
      <c r="V8" s="225"/>
      <c r="W8" s="379"/>
      <c r="X8" s="225"/>
      <c r="Y8" s="379"/>
      <c r="Z8" s="225"/>
      <c r="AA8" s="379"/>
      <c r="AB8" s="225"/>
      <c r="AC8" s="379"/>
      <c r="AD8" s="225"/>
      <c r="AE8" s="379"/>
      <c r="AF8" s="165">
        <v>0</v>
      </c>
      <c r="AG8" s="379"/>
      <c r="AH8" s="165">
        <v>0</v>
      </c>
      <c r="AI8" s="379"/>
      <c r="AJ8" s="165">
        <v>0</v>
      </c>
      <c r="AK8" s="379"/>
      <c r="AL8" s="165">
        <v>0</v>
      </c>
      <c r="AM8" s="379"/>
      <c r="AN8" s="165">
        <v>0</v>
      </c>
      <c r="AO8" s="379"/>
      <c r="AP8" s="165">
        <v>0</v>
      </c>
      <c r="AQ8" s="379"/>
      <c r="AR8" s="165">
        <v>0</v>
      </c>
      <c r="AS8" s="379"/>
      <c r="AT8" s="165">
        <v>0</v>
      </c>
      <c r="AU8" s="379"/>
      <c r="AV8" s="165">
        <v>0</v>
      </c>
      <c r="AW8" s="379"/>
      <c r="AX8" s="165">
        <v>0</v>
      </c>
      <c r="AY8" s="379"/>
      <c r="AZ8" s="165">
        <v>0</v>
      </c>
      <c r="BA8" s="379"/>
      <c r="BB8" s="165">
        <v>0</v>
      </c>
      <c r="BC8" s="379"/>
      <c r="BD8" s="165">
        <v>0</v>
      </c>
      <c r="BE8" s="379"/>
      <c r="BF8" s="165">
        <v>0</v>
      </c>
      <c r="BG8" s="379"/>
      <c r="BH8" s="225"/>
      <c r="BI8" s="184"/>
      <c r="CJ8" s="150"/>
      <c r="CK8" s="150"/>
      <c r="CL8" s="150"/>
      <c r="CM8" s="151" t="s">
        <v>657</v>
      </c>
      <c r="CN8" s="150" t="s">
        <v>1130</v>
      </c>
      <c r="CO8" s="150"/>
      <c r="CP8" s="150"/>
      <c r="CQ8" s="150"/>
      <c r="CR8" s="150"/>
      <c r="CS8" s="150"/>
      <c r="CT8" s="150"/>
    </row>
    <row r="9" spans="1:98" s="11" customFormat="1" ht="12.75" customHeight="1">
      <c r="A9" s="310"/>
      <c r="B9" s="308" t="str">
        <f>Parameters!Q8</f>
        <v>A03</v>
      </c>
      <c r="C9" s="309"/>
      <c r="D9" s="495" t="str">
        <f>Parameters!S8</f>
        <v>Fishing and aquaculture</v>
      </c>
      <c r="E9" s="497"/>
      <c r="F9" s="224"/>
      <c r="G9" s="379"/>
      <c r="H9" s="225"/>
      <c r="I9" s="379"/>
      <c r="J9" s="225"/>
      <c r="K9" s="379"/>
      <c r="L9" s="225"/>
      <c r="M9" s="379"/>
      <c r="N9" s="225"/>
      <c r="O9" s="379"/>
      <c r="P9" s="225"/>
      <c r="Q9" s="379"/>
      <c r="R9" s="225"/>
      <c r="S9" s="379"/>
      <c r="T9" s="225"/>
      <c r="U9" s="379"/>
      <c r="V9" s="225"/>
      <c r="W9" s="379"/>
      <c r="X9" s="225"/>
      <c r="Y9" s="379"/>
      <c r="Z9" s="225"/>
      <c r="AA9" s="379"/>
      <c r="AB9" s="225"/>
      <c r="AC9" s="379"/>
      <c r="AD9" s="225"/>
      <c r="AE9" s="379"/>
      <c r="AF9" s="165">
        <v>0</v>
      </c>
      <c r="AG9" s="379"/>
      <c r="AH9" s="165">
        <v>0</v>
      </c>
      <c r="AI9" s="379"/>
      <c r="AJ9" s="165">
        <v>0</v>
      </c>
      <c r="AK9" s="379"/>
      <c r="AL9" s="165">
        <v>0</v>
      </c>
      <c r="AM9" s="379"/>
      <c r="AN9" s="165">
        <v>0</v>
      </c>
      <c r="AO9" s="379"/>
      <c r="AP9" s="165">
        <v>0</v>
      </c>
      <c r="AQ9" s="379"/>
      <c r="AR9" s="165">
        <v>0</v>
      </c>
      <c r="AS9" s="379"/>
      <c r="AT9" s="165">
        <v>0</v>
      </c>
      <c r="AU9" s="379"/>
      <c r="AV9" s="165">
        <v>0</v>
      </c>
      <c r="AW9" s="379"/>
      <c r="AX9" s="165">
        <v>0</v>
      </c>
      <c r="AY9" s="379"/>
      <c r="AZ9" s="165">
        <v>0</v>
      </c>
      <c r="BA9" s="379"/>
      <c r="BB9" s="165">
        <v>0</v>
      </c>
      <c r="BC9" s="379"/>
      <c r="BD9" s="165">
        <v>0</v>
      </c>
      <c r="BE9" s="379"/>
      <c r="BF9" s="165">
        <v>0</v>
      </c>
      <c r="BG9" s="379"/>
      <c r="BH9" s="225"/>
      <c r="BI9" s="184"/>
      <c r="CJ9" s="150"/>
      <c r="CK9" s="150"/>
      <c r="CL9" s="150"/>
      <c r="CM9" s="151" t="s">
        <v>665</v>
      </c>
      <c r="CN9" s="150" t="s">
        <v>1130</v>
      </c>
      <c r="CO9" s="150"/>
      <c r="CP9" s="150"/>
      <c r="CQ9" s="150"/>
      <c r="CR9" s="150"/>
      <c r="CS9" s="150"/>
      <c r="CT9" s="150"/>
    </row>
    <row r="10" spans="1:98" s="10" customFormat="1" ht="12.75" customHeight="1">
      <c r="A10" s="25"/>
      <c r="B10" s="87" t="str">
        <f>Parameters!Q9</f>
        <v>B</v>
      </c>
      <c r="C10" s="88"/>
      <c r="D10" s="498" t="str">
        <f>Parameters!S9</f>
        <v>Mining and quarrying</v>
      </c>
      <c r="E10" s="507"/>
      <c r="F10" s="222"/>
      <c r="G10" s="379"/>
      <c r="H10" s="223"/>
      <c r="I10" s="379"/>
      <c r="J10" s="223"/>
      <c r="K10" s="379"/>
      <c r="L10" s="223"/>
      <c r="M10" s="379"/>
      <c r="N10" s="223"/>
      <c r="O10" s="379"/>
      <c r="P10" s="223"/>
      <c r="Q10" s="379"/>
      <c r="R10" s="223"/>
      <c r="S10" s="379"/>
      <c r="T10" s="223"/>
      <c r="U10" s="379"/>
      <c r="V10" s="223"/>
      <c r="W10" s="379"/>
      <c r="X10" s="223"/>
      <c r="Y10" s="379"/>
      <c r="Z10" s="223"/>
      <c r="AA10" s="379"/>
      <c r="AB10" s="223"/>
      <c r="AC10" s="379"/>
      <c r="AD10" s="223"/>
      <c r="AE10" s="379"/>
      <c r="AF10" s="164">
        <v>0</v>
      </c>
      <c r="AG10" s="379"/>
      <c r="AH10" s="164">
        <v>0</v>
      </c>
      <c r="AI10" s="379"/>
      <c r="AJ10" s="164">
        <v>0</v>
      </c>
      <c r="AK10" s="379"/>
      <c r="AL10" s="164">
        <v>0</v>
      </c>
      <c r="AM10" s="379"/>
      <c r="AN10" s="164">
        <v>0</v>
      </c>
      <c r="AO10" s="379"/>
      <c r="AP10" s="164">
        <v>0</v>
      </c>
      <c r="AQ10" s="379"/>
      <c r="AR10" s="164">
        <v>0</v>
      </c>
      <c r="AS10" s="379"/>
      <c r="AT10" s="164">
        <v>0</v>
      </c>
      <c r="AU10" s="379"/>
      <c r="AV10" s="164">
        <v>0</v>
      </c>
      <c r="AW10" s="379"/>
      <c r="AX10" s="164">
        <v>0</v>
      </c>
      <c r="AY10" s="379"/>
      <c r="AZ10" s="164">
        <v>0</v>
      </c>
      <c r="BA10" s="379"/>
      <c r="BB10" s="164">
        <v>0</v>
      </c>
      <c r="BC10" s="379"/>
      <c r="BD10" s="164">
        <v>0</v>
      </c>
      <c r="BE10" s="379"/>
      <c r="BF10" s="164">
        <v>0</v>
      </c>
      <c r="BG10" s="379"/>
      <c r="BH10" s="223"/>
      <c r="BI10" s="184"/>
      <c r="CJ10" s="150"/>
      <c r="CK10" s="150"/>
      <c r="CL10" s="150"/>
      <c r="CM10" s="151" t="s">
        <v>267</v>
      </c>
      <c r="CN10" s="150" t="s">
        <v>1130</v>
      </c>
      <c r="CO10" s="150"/>
      <c r="CP10" s="150"/>
      <c r="CQ10" s="150"/>
      <c r="CR10" s="150"/>
      <c r="CS10" s="150"/>
      <c r="CT10" s="150"/>
    </row>
    <row r="11" spans="1:98" s="10" customFormat="1" ht="12.75" customHeight="1">
      <c r="A11" s="25"/>
      <c r="B11" s="87" t="str">
        <f>Parameters!Q10</f>
        <v>C</v>
      </c>
      <c r="C11" s="88"/>
      <c r="D11" s="498" t="str">
        <f>Parameters!S10</f>
        <v>Manufacturing</v>
      </c>
      <c r="E11" s="499"/>
      <c r="F11" s="222"/>
      <c r="G11" s="379"/>
      <c r="H11" s="223"/>
      <c r="I11" s="379"/>
      <c r="J11" s="223"/>
      <c r="K11" s="379"/>
      <c r="L11" s="223"/>
      <c r="M11" s="379"/>
      <c r="N11" s="223"/>
      <c r="O11" s="379"/>
      <c r="P11" s="223"/>
      <c r="Q11" s="379"/>
      <c r="R11" s="223"/>
      <c r="S11" s="379"/>
      <c r="T11" s="223"/>
      <c r="U11" s="379"/>
      <c r="V11" s="223"/>
      <c r="W11" s="379"/>
      <c r="X11" s="223"/>
      <c r="Y11" s="379"/>
      <c r="Z11" s="223"/>
      <c r="AA11" s="379"/>
      <c r="AB11" s="223"/>
      <c r="AC11" s="379"/>
      <c r="AD11" s="223"/>
      <c r="AE11" s="379"/>
      <c r="AF11" s="164">
        <v>805399.92</v>
      </c>
      <c r="AG11" s="379"/>
      <c r="AH11" s="247">
        <v>394159.32</v>
      </c>
      <c r="AI11" s="379" t="s">
        <v>426</v>
      </c>
      <c r="AJ11" s="247">
        <v>214278.48626169999</v>
      </c>
      <c r="AK11" s="379" t="s">
        <v>426</v>
      </c>
      <c r="AL11" s="164">
        <v>236100.3815816</v>
      </c>
      <c r="AM11" s="379"/>
      <c r="AN11" s="164">
        <v>180230.47026189999</v>
      </c>
      <c r="AO11" s="379"/>
      <c r="AP11" s="164">
        <v>162766.23913490001</v>
      </c>
      <c r="AQ11" s="379"/>
      <c r="AR11" s="164">
        <v>160883.47296350001</v>
      </c>
      <c r="AS11" s="379"/>
      <c r="AT11" s="164">
        <v>131627.6073</v>
      </c>
      <c r="AU11" s="379"/>
      <c r="AV11" s="164">
        <v>167403.85016999999</v>
      </c>
      <c r="AW11" s="379"/>
      <c r="AX11" s="164">
        <v>117750.33297</v>
      </c>
      <c r="AY11" s="379"/>
      <c r="AZ11" s="164">
        <v>133145.63834999999</v>
      </c>
      <c r="BA11" s="379"/>
      <c r="BB11" s="164">
        <v>157411.13544000001</v>
      </c>
      <c r="BC11" s="379"/>
      <c r="BD11" s="164">
        <v>145153.63521000001</v>
      </c>
      <c r="BE11" s="379"/>
      <c r="BF11" s="247">
        <v>222762.73788</v>
      </c>
      <c r="BG11" s="379" t="s">
        <v>498</v>
      </c>
      <c r="BH11" s="223"/>
      <c r="BI11" s="184"/>
      <c r="CJ11" s="150"/>
      <c r="CK11" s="150"/>
      <c r="CL11" s="150"/>
      <c r="CM11" s="151" t="s">
        <v>273</v>
      </c>
      <c r="CN11" s="150" t="s">
        <v>1130</v>
      </c>
      <c r="CO11" s="150"/>
      <c r="CP11" s="150"/>
      <c r="CQ11" s="150"/>
      <c r="CR11" s="150"/>
      <c r="CS11" s="150"/>
      <c r="CT11" s="150"/>
    </row>
    <row r="12" spans="1:98" s="10" customFormat="1" ht="12.75" customHeight="1">
      <c r="A12" s="26"/>
      <c r="B12" s="89" t="str">
        <f>Parameters!Q11</f>
        <v>C10-C12</v>
      </c>
      <c r="C12" s="90"/>
      <c r="D12" s="504" t="str">
        <f>Parameters!S11</f>
        <v>Manufacture of food products, beverages and tobacco
products</v>
      </c>
      <c r="E12" s="505"/>
      <c r="F12" s="226"/>
      <c r="G12" s="379"/>
      <c r="H12" s="227"/>
      <c r="I12" s="379"/>
      <c r="J12" s="227"/>
      <c r="K12" s="379"/>
      <c r="L12" s="227"/>
      <c r="M12" s="379"/>
      <c r="N12" s="227"/>
      <c r="O12" s="379"/>
      <c r="P12" s="227"/>
      <c r="Q12" s="379"/>
      <c r="R12" s="227"/>
      <c r="S12" s="379"/>
      <c r="T12" s="227"/>
      <c r="U12" s="379"/>
      <c r="V12" s="227"/>
      <c r="W12" s="379"/>
      <c r="X12" s="227"/>
      <c r="Y12" s="379"/>
      <c r="Z12" s="227"/>
      <c r="AA12" s="379"/>
      <c r="AB12" s="227"/>
      <c r="AC12" s="379"/>
      <c r="AD12" s="227"/>
      <c r="AE12" s="379"/>
      <c r="AF12" s="166">
        <v>0</v>
      </c>
      <c r="AG12" s="379"/>
      <c r="AH12" s="166">
        <v>0</v>
      </c>
      <c r="AI12" s="379"/>
      <c r="AJ12" s="166">
        <v>0</v>
      </c>
      <c r="AK12" s="379"/>
      <c r="AL12" s="166">
        <v>0</v>
      </c>
      <c r="AM12" s="379"/>
      <c r="AN12" s="166">
        <v>0</v>
      </c>
      <c r="AO12" s="379"/>
      <c r="AP12" s="166">
        <v>0</v>
      </c>
      <c r="AQ12" s="379"/>
      <c r="AR12" s="166">
        <v>0</v>
      </c>
      <c r="AS12" s="379"/>
      <c r="AT12" s="166">
        <v>0</v>
      </c>
      <c r="AU12" s="379"/>
      <c r="AV12" s="166">
        <v>0</v>
      </c>
      <c r="AW12" s="379"/>
      <c r="AX12" s="166">
        <v>0</v>
      </c>
      <c r="AY12" s="379"/>
      <c r="AZ12" s="166">
        <v>0</v>
      </c>
      <c r="BA12" s="379"/>
      <c r="BB12" s="166">
        <v>0</v>
      </c>
      <c r="BC12" s="379"/>
      <c r="BD12" s="166">
        <v>0</v>
      </c>
      <c r="BE12" s="379"/>
      <c r="BF12" s="166">
        <v>0</v>
      </c>
      <c r="BG12" s="379"/>
      <c r="BH12" s="227"/>
      <c r="BI12" s="184"/>
      <c r="CJ12" s="150"/>
      <c r="CK12" s="150"/>
      <c r="CL12" s="150"/>
      <c r="CM12" s="152" t="s">
        <v>1135</v>
      </c>
      <c r="CN12" s="150" t="s">
        <v>1130</v>
      </c>
      <c r="CO12" s="150"/>
      <c r="CP12" s="150"/>
      <c r="CQ12" s="150"/>
      <c r="CR12" s="150"/>
      <c r="CS12" s="150"/>
      <c r="CT12" s="150"/>
    </row>
    <row r="13" spans="1:98" s="10" customFormat="1" ht="12.75" customHeight="1">
      <c r="A13" s="26"/>
      <c r="B13" s="89" t="str">
        <f>Parameters!Q12</f>
        <v>C13-C15</v>
      </c>
      <c r="C13" s="90"/>
      <c r="D13" s="504" t="str">
        <f>Parameters!S12</f>
        <v>Manufacture of textiles, wearing apparel and leather products</v>
      </c>
      <c r="E13" s="506"/>
      <c r="F13" s="226"/>
      <c r="G13" s="379"/>
      <c r="H13" s="227"/>
      <c r="I13" s="379"/>
      <c r="J13" s="227"/>
      <c r="K13" s="379"/>
      <c r="L13" s="227"/>
      <c r="M13" s="379"/>
      <c r="N13" s="227"/>
      <c r="O13" s="379"/>
      <c r="P13" s="227"/>
      <c r="Q13" s="379"/>
      <c r="R13" s="227"/>
      <c r="S13" s="379"/>
      <c r="T13" s="227"/>
      <c r="U13" s="379"/>
      <c r="V13" s="227"/>
      <c r="W13" s="379"/>
      <c r="X13" s="227"/>
      <c r="Y13" s="379"/>
      <c r="Z13" s="227"/>
      <c r="AA13" s="379"/>
      <c r="AB13" s="227"/>
      <c r="AC13" s="379"/>
      <c r="AD13" s="227"/>
      <c r="AE13" s="379"/>
      <c r="AF13" s="166">
        <v>0</v>
      </c>
      <c r="AG13" s="379"/>
      <c r="AH13" s="166">
        <v>0</v>
      </c>
      <c r="AI13" s="379"/>
      <c r="AJ13" s="166">
        <v>0</v>
      </c>
      <c r="AK13" s="379"/>
      <c r="AL13" s="166">
        <v>0</v>
      </c>
      <c r="AM13" s="379"/>
      <c r="AN13" s="166">
        <v>0</v>
      </c>
      <c r="AO13" s="379"/>
      <c r="AP13" s="166">
        <v>0</v>
      </c>
      <c r="AQ13" s="379"/>
      <c r="AR13" s="166">
        <v>0</v>
      </c>
      <c r="AS13" s="379"/>
      <c r="AT13" s="166">
        <v>0</v>
      </c>
      <c r="AU13" s="379"/>
      <c r="AV13" s="166">
        <v>0</v>
      </c>
      <c r="AW13" s="379"/>
      <c r="AX13" s="166">
        <v>0</v>
      </c>
      <c r="AY13" s="379"/>
      <c r="AZ13" s="166">
        <v>0</v>
      </c>
      <c r="BA13" s="379"/>
      <c r="BB13" s="166">
        <v>0</v>
      </c>
      <c r="BC13" s="379"/>
      <c r="BD13" s="166">
        <v>0</v>
      </c>
      <c r="BE13" s="379"/>
      <c r="BF13" s="166">
        <v>0</v>
      </c>
      <c r="BG13" s="379"/>
      <c r="BH13" s="227"/>
      <c r="BI13" s="184"/>
      <c r="CJ13" s="150"/>
      <c r="CK13" s="150"/>
      <c r="CL13" s="150"/>
      <c r="CM13" s="151" t="s">
        <v>1136</v>
      </c>
      <c r="CN13" s="150" t="s">
        <v>1130</v>
      </c>
      <c r="CO13" s="150"/>
      <c r="CP13" s="150"/>
      <c r="CQ13" s="150"/>
      <c r="CR13" s="150"/>
      <c r="CS13" s="150"/>
      <c r="CT13" s="150"/>
    </row>
    <row r="14" spans="1:98" s="10" customFormat="1">
      <c r="A14" s="26"/>
      <c r="B14" s="89" t="str">
        <f>Parameters!Q13</f>
        <v>C16-C18</v>
      </c>
      <c r="C14" s="90"/>
      <c r="D14" s="504" t="str">
        <f>Parameters!S13</f>
        <v>Manufacture of wood, paper, printing and reproduction</v>
      </c>
      <c r="E14" s="506"/>
      <c r="F14" s="252"/>
      <c r="G14" s="380"/>
      <c r="H14" s="253"/>
      <c r="I14" s="380"/>
      <c r="J14" s="253"/>
      <c r="K14" s="380"/>
      <c r="L14" s="253"/>
      <c r="M14" s="380"/>
      <c r="N14" s="253"/>
      <c r="O14" s="380"/>
      <c r="P14" s="253"/>
      <c r="Q14" s="380"/>
      <c r="R14" s="253"/>
      <c r="S14" s="380"/>
      <c r="T14" s="253"/>
      <c r="U14" s="380"/>
      <c r="V14" s="253"/>
      <c r="W14" s="380"/>
      <c r="X14" s="253"/>
      <c r="Y14" s="380"/>
      <c r="Z14" s="253"/>
      <c r="AA14" s="380"/>
      <c r="AB14" s="253"/>
      <c r="AC14" s="380"/>
      <c r="AD14" s="253"/>
      <c r="AE14" s="380"/>
      <c r="AF14" s="253">
        <v>0</v>
      </c>
      <c r="AG14" s="380"/>
      <c r="AH14" s="253">
        <v>0</v>
      </c>
      <c r="AI14" s="380"/>
      <c r="AJ14" s="253">
        <v>0</v>
      </c>
      <c r="AK14" s="380"/>
      <c r="AL14" s="253">
        <v>0</v>
      </c>
      <c r="AM14" s="380"/>
      <c r="AN14" s="253">
        <v>0</v>
      </c>
      <c r="AO14" s="380"/>
      <c r="AP14" s="253">
        <v>0</v>
      </c>
      <c r="AQ14" s="380"/>
      <c r="AR14" s="253">
        <v>0</v>
      </c>
      <c r="AS14" s="380"/>
      <c r="AT14" s="253">
        <v>0</v>
      </c>
      <c r="AU14" s="380"/>
      <c r="AV14" s="253">
        <v>0</v>
      </c>
      <c r="AW14" s="380"/>
      <c r="AX14" s="253">
        <v>0</v>
      </c>
      <c r="AY14" s="380"/>
      <c r="AZ14" s="253">
        <v>0</v>
      </c>
      <c r="BA14" s="380"/>
      <c r="BB14" s="253">
        <v>0</v>
      </c>
      <c r="BC14" s="380"/>
      <c r="BD14" s="253">
        <v>0</v>
      </c>
      <c r="BE14" s="380"/>
      <c r="BF14" s="253">
        <v>0</v>
      </c>
      <c r="BG14" s="380"/>
      <c r="BH14" s="253"/>
      <c r="BI14" s="254"/>
      <c r="CJ14" s="150"/>
      <c r="CK14" s="150"/>
      <c r="CL14" s="150"/>
      <c r="CM14" s="151"/>
      <c r="CN14" s="150"/>
      <c r="CO14" s="150"/>
      <c r="CP14" s="150"/>
      <c r="CQ14" s="150"/>
      <c r="CR14" s="150"/>
      <c r="CS14" s="150"/>
      <c r="CT14" s="150"/>
    </row>
    <row r="15" spans="1:98" s="12" customFormat="1" ht="22.5" customHeight="1">
      <c r="A15" s="310"/>
      <c r="B15" s="308" t="str">
        <f>Parameters!Q14</f>
        <v>C16</v>
      </c>
      <c r="C15" s="94"/>
      <c r="D15" s="495" t="str">
        <f>Parameters!S14</f>
        <v>Manufacture of wood and of products of wood and cork, except furniture; manufacture of articles of straw and plaiting materials</v>
      </c>
      <c r="E15" s="496"/>
      <c r="F15" s="224"/>
      <c r="G15" s="379"/>
      <c r="H15" s="225"/>
      <c r="I15" s="379"/>
      <c r="J15" s="225"/>
      <c r="K15" s="379"/>
      <c r="L15" s="225"/>
      <c r="M15" s="379"/>
      <c r="N15" s="225"/>
      <c r="O15" s="379"/>
      <c r="P15" s="225"/>
      <c r="Q15" s="379"/>
      <c r="R15" s="225"/>
      <c r="S15" s="379"/>
      <c r="T15" s="225"/>
      <c r="U15" s="379"/>
      <c r="V15" s="225"/>
      <c r="W15" s="379"/>
      <c r="X15" s="225"/>
      <c r="Y15" s="379"/>
      <c r="Z15" s="225"/>
      <c r="AA15" s="379"/>
      <c r="AB15" s="225"/>
      <c r="AC15" s="379"/>
      <c r="AD15" s="225"/>
      <c r="AE15" s="379"/>
      <c r="AF15" s="165">
        <v>0</v>
      </c>
      <c r="AG15" s="379"/>
      <c r="AH15" s="165">
        <v>0</v>
      </c>
      <c r="AI15" s="379"/>
      <c r="AJ15" s="165">
        <v>0</v>
      </c>
      <c r="AK15" s="379"/>
      <c r="AL15" s="165">
        <v>0</v>
      </c>
      <c r="AM15" s="379"/>
      <c r="AN15" s="165">
        <v>0</v>
      </c>
      <c r="AO15" s="379"/>
      <c r="AP15" s="165">
        <v>0</v>
      </c>
      <c r="AQ15" s="379"/>
      <c r="AR15" s="165">
        <v>0</v>
      </c>
      <c r="AS15" s="379"/>
      <c r="AT15" s="165">
        <v>0</v>
      </c>
      <c r="AU15" s="379"/>
      <c r="AV15" s="165">
        <v>0</v>
      </c>
      <c r="AW15" s="379"/>
      <c r="AX15" s="165">
        <v>0</v>
      </c>
      <c r="AY15" s="379"/>
      <c r="AZ15" s="165">
        <v>0</v>
      </c>
      <c r="BA15" s="379"/>
      <c r="BB15" s="165">
        <v>0</v>
      </c>
      <c r="BC15" s="379"/>
      <c r="BD15" s="165">
        <v>0</v>
      </c>
      <c r="BE15" s="379"/>
      <c r="BF15" s="165">
        <v>0</v>
      </c>
      <c r="BG15" s="379"/>
      <c r="BH15" s="225"/>
      <c r="BI15" s="184"/>
      <c r="CJ15" s="150"/>
      <c r="CK15" s="150"/>
      <c r="CL15" s="150"/>
      <c r="CM15" s="151" t="s">
        <v>703</v>
      </c>
      <c r="CN15" s="150" t="s">
        <v>1130</v>
      </c>
      <c r="CO15" s="150"/>
      <c r="CP15" s="150"/>
      <c r="CQ15" s="150"/>
      <c r="CR15" s="150"/>
      <c r="CS15" s="150"/>
      <c r="CT15" s="150"/>
    </row>
    <row r="16" spans="1:98" s="11" customFormat="1" ht="12.75" customHeight="1">
      <c r="A16" s="310"/>
      <c r="B16" s="308" t="str">
        <f>Parameters!Q15</f>
        <v>C17</v>
      </c>
      <c r="C16" s="309"/>
      <c r="D16" s="495" t="str">
        <f>Parameters!S15</f>
        <v>Manufacture of paper and paper products</v>
      </c>
      <c r="E16" s="510"/>
      <c r="F16" s="224"/>
      <c r="G16" s="379"/>
      <c r="H16" s="225"/>
      <c r="I16" s="379"/>
      <c r="J16" s="225"/>
      <c r="K16" s="379"/>
      <c r="L16" s="225"/>
      <c r="M16" s="379"/>
      <c r="N16" s="225"/>
      <c r="O16" s="379"/>
      <c r="P16" s="225"/>
      <c r="Q16" s="379"/>
      <c r="R16" s="225"/>
      <c r="S16" s="379"/>
      <c r="T16" s="225"/>
      <c r="U16" s="379"/>
      <c r="V16" s="225"/>
      <c r="W16" s="379"/>
      <c r="X16" s="225"/>
      <c r="Y16" s="379"/>
      <c r="Z16" s="225"/>
      <c r="AA16" s="379"/>
      <c r="AB16" s="225"/>
      <c r="AC16" s="379"/>
      <c r="AD16" s="225"/>
      <c r="AE16" s="379"/>
      <c r="AF16" s="165">
        <v>0</v>
      </c>
      <c r="AG16" s="379"/>
      <c r="AH16" s="165">
        <v>0</v>
      </c>
      <c r="AI16" s="379"/>
      <c r="AJ16" s="165">
        <v>0</v>
      </c>
      <c r="AK16" s="379"/>
      <c r="AL16" s="165">
        <v>0</v>
      </c>
      <c r="AM16" s="379"/>
      <c r="AN16" s="165">
        <v>0</v>
      </c>
      <c r="AO16" s="379"/>
      <c r="AP16" s="165">
        <v>0</v>
      </c>
      <c r="AQ16" s="379"/>
      <c r="AR16" s="165">
        <v>0</v>
      </c>
      <c r="AS16" s="379"/>
      <c r="AT16" s="165">
        <v>0</v>
      </c>
      <c r="AU16" s="379"/>
      <c r="AV16" s="165">
        <v>0</v>
      </c>
      <c r="AW16" s="379"/>
      <c r="AX16" s="165">
        <v>0</v>
      </c>
      <c r="AY16" s="379"/>
      <c r="AZ16" s="165">
        <v>0</v>
      </c>
      <c r="BA16" s="379"/>
      <c r="BB16" s="165">
        <v>0</v>
      </c>
      <c r="BC16" s="379"/>
      <c r="BD16" s="165">
        <v>0</v>
      </c>
      <c r="BE16" s="379"/>
      <c r="BF16" s="165">
        <v>0</v>
      </c>
      <c r="BG16" s="379"/>
      <c r="BH16" s="225"/>
      <c r="BI16" s="184"/>
      <c r="CJ16" s="150"/>
      <c r="CK16" s="150"/>
      <c r="CL16" s="150"/>
      <c r="CM16" s="151" t="s">
        <v>707</v>
      </c>
      <c r="CN16" s="150" t="s">
        <v>1130</v>
      </c>
      <c r="CO16" s="150"/>
      <c r="CP16" s="150"/>
      <c r="CQ16" s="150"/>
      <c r="CR16" s="150"/>
      <c r="CS16" s="150"/>
      <c r="CT16" s="150"/>
    </row>
    <row r="17" spans="1:98" s="11" customFormat="1" ht="12.75" customHeight="1">
      <c r="A17" s="310"/>
      <c r="B17" s="308" t="str">
        <f>Parameters!Q16</f>
        <v>C18</v>
      </c>
      <c r="C17" s="309"/>
      <c r="D17" s="495" t="str">
        <f>Parameters!S16</f>
        <v>Printing and reproduction of recorded media</v>
      </c>
      <c r="E17" s="510"/>
      <c r="F17" s="224"/>
      <c r="G17" s="379"/>
      <c r="H17" s="225"/>
      <c r="I17" s="379"/>
      <c r="J17" s="225"/>
      <c r="K17" s="379"/>
      <c r="L17" s="225"/>
      <c r="M17" s="379"/>
      <c r="N17" s="225"/>
      <c r="O17" s="379"/>
      <c r="P17" s="225"/>
      <c r="Q17" s="379"/>
      <c r="R17" s="225"/>
      <c r="S17" s="379"/>
      <c r="T17" s="225"/>
      <c r="U17" s="379"/>
      <c r="V17" s="225"/>
      <c r="W17" s="379"/>
      <c r="X17" s="225"/>
      <c r="Y17" s="379"/>
      <c r="Z17" s="225"/>
      <c r="AA17" s="379"/>
      <c r="AB17" s="225"/>
      <c r="AC17" s="379"/>
      <c r="AD17" s="225"/>
      <c r="AE17" s="379"/>
      <c r="AF17" s="165">
        <v>0</v>
      </c>
      <c r="AG17" s="379"/>
      <c r="AH17" s="165">
        <v>0</v>
      </c>
      <c r="AI17" s="379"/>
      <c r="AJ17" s="165">
        <v>0</v>
      </c>
      <c r="AK17" s="379"/>
      <c r="AL17" s="165">
        <v>0</v>
      </c>
      <c r="AM17" s="379"/>
      <c r="AN17" s="165">
        <v>0</v>
      </c>
      <c r="AO17" s="379"/>
      <c r="AP17" s="165">
        <v>0</v>
      </c>
      <c r="AQ17" s="379"/>
      <c r="AR17" s="165">
        <v>0</v>
      </c>
      <c r="AS17" s="379"/>
      <c r="AT17" s="165">
        <v>0</v>
      </c>
      <c r="AU17" s="379"/>
      <c r="AV17" s="165">
        <v>0</v>
      </c>
      <c r="AW17" s="379"/>
      <c r="AX17" s="165">
        <v>0</v>
      </c>
      <c r="AY17" s="379"/>
      <c r="AZ17" s="165">
        <v>0</v>
      </c>
      <c r="BA17" s="379"/>
      <c r="BB17" s="165">
        <v>0</v>
      </c>
      <c r="BC17" s="379"/>
      <c r="BD17" s="165">
        <v>0</v>
      </c>
      <c r="BE17" s="379"/>
      <c r="BF17" s="165">
        <v>0</v>
      </c>
      <c r="BG17" s="379"/>
      <c r="BH17" s="225"/>
      <c r="BI17" s="184"/>
      <c r="CJ17" s="150"/>
      <c r="CK17" s="150"/>
      <c r="CL17" s="150"/>
      <c r="CM17" s="151" t="s">
        <v>711</v>
      </c>
      <c r="CN17" s="150" t="s">
        <v>1130</v>
      </c>
      <c r="CO17" s="150"/>
      <c r="CP17" s="150"/>
      <c r="CQ17" s="150"/>
      <c r="CR17" s="150"/>
      <c r="CS17" s="150"/>
      <c r="CT17" s="150"/>
    </row>
    <row r="18" spans="1:98" s="12" customFormat="1" ht="12.75" customHeight="1">
      <c r="A18" s="26"/>
      <c r="B18" s="89" t="str">
        <f>Parameters!Q17</f>
        <v>C19</v>
      </c>
      <c r="C18" s="90"/>
      <c r="D18" s="504" t="str">
        <f>Parameters!S17</f>
        <v>Manufacture of coke and refined petroleum products</v>
      </c>
      <c r="E18" s="505"/>
      <c r="F18" s="226"/>
      <c r="G18" s="379"/>
      <c r="H18" s="227"/>
      <c r="I18" s="379"/>
      <c r="J18" s="227"/>
      <c r="K18" s="379"/>
      <c r="L18" s="227"/>
      <c r="M18" s="379"/>
      <c r="N18" s="227"/>
      <c r="O18" s="379"/>
      <c r="P18" s="227"/>
      <c r="Q18" s="379"/>
      <c r="R18" s="227"/>
      <c r="S18" s="379"/>
      <c r="T18" s="227"/>
      <c r="U18" s="379"/>
      <c r="V18" s="227"/>
      <c r="W18" s="379"/>
      <c r="X18" s="227"/>
      <c r="Y18" s="379"/>
      <c r="Z18" s="227"/>
      <c r="AA18" s="379"/>
      <c r="AB18" s="227"/>
      <c r="AC18" s="379"/>
      <c r="AD18" s="227"/>
      <c r="AE18" s="379"/>
      <c r="AF18" s="166">
        <v>0</v>
      </c>
      <c r="AG18" s="379" t="s">
        <v>387</v>
      </c>
      <c r="AH18" s="166">
        <v>0</v>
      </c>
      <c r="AI18" s="379" t="s">
        <v>387</v>
      </c>
      <c r="AJ18" s="166">
        <v>0</v>
      </c>
      <c r="AK18" s="379" t="s">
        <v>387</v>
      </c>
      <c r="AL18" s="166">
        <v>0</v>
      </c>
      <c r="AM18" s="379" t="s">
        <v>387</v>
      </c>
      <c r="AN18" s="166">
        <v>0</v>
      </c>
      <c r="AO18" s="379" t="s">
        <v>387</v>
      </c>
      <c r="AP18" s="166">
        <v>0</v>
      </c>
      <c r="AQ18" s="379" t="s">
        <v>387</v>
      </c>
      <c r="AR18" s="166">
        <v>0</v>
      </c>
      <c r="AS18" s="379" t="s">
        <v>387</v>
      </c>
      <c r="AT18" s="166">
        <v>0</v>
      </c>
      <c r="AU18" s="379" t="s">
        <v>387</v>
      </c>
      <c r="AV18" s="166">
        <v>0</v>
      </c>
      <c r="AW18" s="379" t="s">
        <v>387</v>
      </c>
      <c r="AX18" s="166">
        <v>0</v>
      </c>
      <c r="AY18" s="379" t="s">
        <v>387</v>
      </c>
      <c r="AZ18" s="166">
        <v>0</v>
      </c>
      <c r="BA18" s="379" t="s">
        <v>387</v>
      </c>
      <c r="BB18" s="166">
        <v>0</v>
      </c>
      <c r="BC18" s="379" t="s">
        <v>387</v>
      </c>
      <c r="BD18" s="166">
        <v>0</v>
      </c>
      <c r="BE18" s="379" t="s">
        <v>387</v>
      </c>
      <c r="BF18" s="166">
        <v>0</v>
      </c>
      <c r="BG18" s="379" t="s">
        <v>387</v>
      </c>
      <c r="BH18" s="227"/>
      <c r="BI18" s="184"/>
      <c r="CJ18" s="150"/>
      <c r="CK18" s="150"/>
      <c r="CL18" s="150"/>
      <c r="CM18" s="151" t="s">
        <v>716</v>
      </c>
      <c r="CN18" s="150" t="s">
        <v>1130</v>
      </c>
      <c r="CO18" s="150"/>
      <c r="CP18" s="150"/>
      <c r="CQ18" s="150"/>
      <c r="CR18" s="150"/>
      <c r="CS18" s="150"/>
      <c r="CT18" s="150"/>
    </row>
    <row r="19" spans="1:98" s="11" customFormat="1" ht="12.75" customHeight="1">
      <c r="A19" s="26"/>
      <c r="B19" s="89" t="str">
        <f>Parameters!Q18</f>
        <v>C20</v>
      </c>
      <c r="C19" s="90"/>
      <c r="D19" s="504" t="str">
        <f>Parameters!S18</f>
        <v>Manufacture of chemicals and chemical products</v>
      </c>
      <c r="E19" s="505"/>
      <c r="F19" s="226"/>
      <c r="G19" s="379"/>
      <c r="H19" s="227"/>
      <c r="I19" s="379"/>
      <c r="J19" s="227"/>
      <c r="K19" s="379"/>
      <c r="L19" s="227"/>
      <c r="M19" s="379"/>
      <c r="N19" s="227"/>
      <c r="O19" s="379"/>
      <c r="P19" s="227"/>
      <c r="Q19" s="379"/>
      <c r="R19" s="227"/>
      <c r="S19" s="379"/>
      <c r="T19" s="227"/>
      <c r="U19" s="379"/>
      <c r="V19" s="227"/>
      <c r="W19" s="379"/>
      <c r="X19" s="227"/>
      <c r="Y19" s="379"/>
      <c r="Z19" s="227"/>
      <c r="AA19" s="379"/>
      <c r="AB19" s="227"/>
      <c r="AC19" s="379"/>
      <c r="AD19" s="227"/>
      <c r="AE19" s="379"/>
      <c r="AF19" s="166">
        <v>0</v>
      </c>
      <c r="AG19" s="379" t="s">
        <v>387</v>
      </c>
      <c r="AH19" s="166">
        <v>0</v>
      </c>
      <c r="AI19" s="379" t="s">
        <v>387</v>
      </c>
      <c r="AJ19" s="166">
        <v>0</v>
      </c>
      <c r="AK19" s="379" t="s">
        <v>387</v>
      </c>
      <c r="AL19" s="166">
        <v>0</v>
      </c>
      <c r="AM19" s="379" t="s">
        <v>387</v>
      </c>
      <c r="AN19" s="166">
        <v>0</v>
      </c>
      <c r="AO19" s="379" t="s">
        <v>387</v>
      </c>
      <c r="AP19" s="166">
        <v>0</v>
      </c>
      <c r="AQ19" s="379" t="s">
        <v>387</v>
      </c>
      <c r="AR19" s="166">
        <v>0</v>
      </c>
      <c r="AS19" s="379" t="s">
        <v>387</v>
      </c>
      <c r="AT19" s="166">
        <v>0</v>
      </c>
      <c r="AU19" s="379" t="s">
        <v>387</v>
      </c>
      <c r="AV19" s="166">
        <v>0</v>
      </c>
      <c r="AW19" s="379" t="s">
        <v>387</v>
      </c>
      <c r="AX19" s="166">
        <v>0</v>
      </c>
      <c r="AY19" s="379" t="s">
        <v>387</v>
      </c>
      <c r="AZ19" s="166">
        <v>0</v>
      </c>
      <c r="BA19" s="379" t="s">
        <v>387</v>
      </c>
      <c r="BB19" s="166">
        <v>0</v>
      </c>
      <c r="BC19" s="379" t="s">
        <v>387</v>
      </c>
      <c r="BD19" s="166">
        <v>0</v>
      </c>
      <c r="BE19" s="379" t="s">
        <v>387</v>
      </c>
      <c r="BF19" s="166">
        <v>0</v>
      </c>
      <c r="BG19" s="379" t="s">
        <v>387</v>
      </c>
      <c r="BH19" s="227"/>
      <c r="BI19" s="184"/>
      <c r="CJ19" s="150"/>
      <c r="CK19" s="150"/>
      <c r="CL19" s="150"/>
      <c r="CM19" s="151" t="s">
        <v>723</v>
      </c>
      <c r="CN19" s="150" t="s">
        <v>1130</v>
      </c>
      <c r="CO19" s="150"/>
      <c r="CP19" s="150"/>
      <c r="CQ19" s="150"/>
      <c r="CR19" s="150"/>
      <c r="CS19" s="150"/>
      <c r="CT19" s="150"/>
    </row>
    <row r="20" spans="1:98" s="11" customFormat="1" ht="12.75" customHeight="1">
      <c r="A20" s="26"/>
      <c r="B20" s="89" t="str">
        <f>Parameters!Q19</f>
        <v>C21</v>
      </c>
      <c r="C20" s="90"/>
      <c r="D20" s="504" t="str">
        <f>Parameters!S19</f>
        <v>Manufacture of basic pharmaceutical products and pharmaceutical preparations</v>
      </c>
      <c r="E20" s="505"/>
      <c r="F20" s="226"/>
      <c r="G20" s="379"/>
      <c r="H20" s="227"/>
      <c r="I20" s="379"/>
      <c r="J20" s="227"/>
      <c r="K20" s="379"/>
      <c r="L20" s="227"/>
      <c r="M20" s="379"/>
      <c r="N20" s="227"/>
      <c r="O20" s="379"/>
      <c r="P20" s="227"/>
      <c r="Q20" s="379"/>
      <c r="R20" s="227"/>
      <c r="S20" s="379"/>
      <c r="T20" s="227"/>
      <c r="U20" s="379"/>
      <c r="V20" s="227"/>
      <c r="W20" s="379"/>
      <c r="X20" s="227"/>
      <c r="Y20" s="379"/>
      <c r="Z20" s="227"/>
      <c r="AA20" s="379"/>
      <c r="AB20" s="227"/>
      <c r="AC20" s="379"/>
      <c r="AD20" s="227"/>
      <c r="AE20" s="379"/>
      <c r="AF20" s="166">
        <v>0</v>
      </c>
      <c r="AG20" s="379" t="s">
        <v>387</v>
      </c>
      <c r="AH20" s="166">
        <v>0</v>
      </c>
      <c r="AI20" s="379" t="s">
        <v>387</v>
      </c>
      <c r="AJ20" s="166">
        <v>0</v>
      </c>
      <c r="AK20" s="379" t="s">
        <v>387</v>
      </c>
      <c r="AL20" s="166">
        <v>0</v>
      </c>
      <c r="AM20" s="379" t="s">
        <v>387</v>
      </c>
      <c r="AN20" s="166">
        <v>0</v>
      </c>
      <c r="AO20" s="379" t="s">
        <v>387</v>
      </c>
      <c r="AP20" s="166">
        <v>0</v>
      </c>
      <c r="AQ20" s="379" t="s">
        <v>387</v>
      </c>
      <c r="AR20" s="166">
        <v>0</v>
      </c>
      <c r="AS20" s="379" t="s">
        <v>387</v>
      </c>
      <c r="AT20" s="166">
        <v>0</v>
      </c>
      <c r="AU20" s="379" t="s">
        <v>387</v>
      </c>
      <c r="AV20" s="166">
        <v>0</v>
      </c>
      <c r="AW20" s="379" t="s">
        <v>387</v>
      </c>
      <c r="AX20" s="166">
        <v>0</v>
      </c>
      <c r="AY20" s="379" t="s">
        <v>387</v>
      </c>
      <c r="AZ20" s="166">
        <v>0</v>
      </c>
      <c r="BA20" s="379" t="s">
        <v>387</v>
      </c>
      <c r="BB20" s="166">
        <v>0</v>
      </c>
      <c r="BC20" s="379" t="s">
        <v>387</v>
      </c>
      <c r="BD20" s="166">
        <v>0</v>
      </c>
      <c r="BE20" s="379" t="s">
        <v>387</v>
      </c>
      <c r="BF20" s="166">
        <v>0</v>
      </c>
      <c r="BG20" s="379" t="s">
        <v>387</v>
      </c>
      <c r="BH20" s="227"/>
      <c r="BI20" s="184"/>
      <c r="CJ20" s="150"/>
      <c r="CK20" s="150"/>
      <c r="CL20" s="150"/>
      <c r="CM20" s="151" t="s">
        <v>728</v>
      </c>
      <c r="CN20" s="150" t="s">
        <v>1130</v>
      </c>
      <c r="CO20" s="150"/>
      <c r="CP20" s="150"/>
      <c r="CQ20" s="150"/>
      <c r="CR20" s="150"/>
      <c r="CS20" s="150"/>
      <c r="CT20" s="150"/>
    </row>
    <row r="21" spans="1:98" s="11" customFormat="1" ht="12.75" customHeight="1">
      <c r="A21" s="26"/>
      <c r="B21" s="89" t="str">
        <f>Parameters!Q20</f>
        <v>C22_C23</v>
      </c>
      <c r="C21" s="90"/>
      <c r="D21" s="504" t="str">
        <f>Parameters!S20</f>
        <v>Manufacture of rubber and plastic products and other non-metallic mineral products</v>
      </c>
      <c r="E21" s="506"/>
      <c r="F21" s="252"/>
      <c r="G21" s="380"/>
      <c r="H21" s="253"/>
      <c r="I21" s="380"/>
      <c r="J21" s="253"/>
      <c r="K21" s="380"/>
      <c r="L21" s="253"/>
      <c r="M21" s="380"/>
      <c r="N21" s="253"/>
      <c r="O21" s="380"/>
      <c r="P21" s="253"/>
      <c r="Q21" s="380"/>
      <c r="R21" s="253"/>
      <c r="S21" s="380"/>
      <c r="T21" s="253"/>
      <c r="U21" s="380"/>
      <c r="V21" s="253"/>
      <c r="W21" s="380"/>
      <c r="X21" s="253"/>
      <c r="Y21" s="380"/>
      <c r="Z21" s="253"/>
      <c r="AA21" s="380"/>
      <c r="AB21" s="253"/>
      <c r="AC21" s="380"/>
      <c r="AD21" s="253"/>
      <c r="AE21" s="380"/>
      <c r="AF21" s="253">
        <v>0</v>
      </c>
      <c r="AG21" s="380"/>
      <c r="AH21" s="253">
        <v>0</v>
      </c>
      <c r="AI21" s="380"/>
      <c r="AJ21" s="253">
        <v>0</v>
      </c>
      <c r="AK21" s="380"/>
      <c r="AL21" s="253">
        <v>0</v>
      </c>
      <c r="AM21" s="380"/>
      <c r="AN21" s="253">
        <v>0</v>
      </c>
      <c r="AO21" s="380"/>
      <c r="AP21" s="253">
        <v>0</v>
      </c>
      <c r="AQ21" s="380"/>
      <c r="AR21" s="253">
        <v>0</v>
      </c>
      <c r="AS21" s="380"/>
      <c r="AT21" s="253">
        <v>0</v>
      </c>
      <c r="AU21" s="380"/>
      <c r="AV21" s="253">
        <v>0</v>
      </c>
      <c r="AW21" s="380"/>
      <c r="AX21" s="253">
        <v>0</v>
      </c>
      <c r="AY21" s="380"/>
      <c r="AZ21" s="253">
        <v>0</v>
      </c>
      <c r="BA21" s="380"/>
      <c r="BB21" s="253">
        <v>0</v>
      </c>
      <c r="BC21" s="380"/>
      <c r="BD21" s="253">
        <v>0</v>
      </c>
      <c r="BE21" s="380"/>
      <c r="BF21" s="253">
        <v>0</v>
      </c>
      <c r="BG21" s="380"/>
      <c r="BH21" s="253"/>
      <c r="BI21" s="254"/>
      <c r="CJ21" s="150"/>
      <c r="CK21" s="150"/>
      <c r="CL21" s="150"/>
      <c r="CM21" s="151"/>
      <c r="CN21" s="150"/>
      <c r="CO21" s="150"/>
      <c r="CP21" s="150"/>
      <c r="CQ21" s="150"/>
      <c r="CR21" s="150"/>
      <c r="CS21" s="150"/>
      <c r="CT21" s="150"/>
    </row>
    <row r="22" spans="1:98" s="12" customFormat="1" ht="12.75" customHeight="1">
      <c r="A22" s="310"/>
      <c r="B22" s="308" t="str">
        <f>Parameters!Q21</f>
        <v>C22</v>
      </c>
      <c r="C22" s="96"/>
      <c r="D22" s="495" t="str">
        <f>Parameters!S21</f>
        <v>Manufacture of rubber and plastic products</v>
      </c>
      <c r="E22" s="496"/>
      <c r="F22" s="224"/>
      <c r="G22" s="379"/>
      <c r="H22" s="228"/>
      <c r="I22" s="379"/>
      <c r="J22" s="228"/>
      <c r="K22" s="379"/>
      <c r="L22" s="228"/>
      <c r="M22" s="379"/>
      <c r="N22" s="228"/>
      <c r="O22" s="379"/>
      <c r="P22" s="228"/>
      <c r="Q22" s="379"/>
      <c r="R22" s="228"/>
      <c r="S22" s="379"/>
      <c r="T22" s="228"/>
      <c r="U22" s="379"/>
      <c r="V22" s="228"/>
      <c r="W22" s="379"/>
      <c r="X22" s="228"/>
      <c r="Y22" s="379"/>
      <c r="Z22" s="228"/>
      <c r="AA22" s="379"/>
      <c r="AB22" s="228"/>
      <c r="AC22" s="379"/>
      <c r="AD22" s="228"/>
      <c r="AE22" s="379"/>
      <c r="AF22" s="167">
        <v>0</v>
      </c>
      <c r="AG22" s="379"/>
      <c r="AH22" s="167">
        <v>0</v>
      </c>
      <c r="AI22" s="379"/>
      <c r="AJ22" s="167">
        <v>0</v>
      </c>
      <c r="AK22" s="379"/>
      <c r="AL22" s="167">
        <v>0</v>
      </c>
      <c r="AM22" s="379"/>
      <c r="AN22" s="167">
        <v>0</v>
      </c>
      <c r="AO22" s="379"/>
      <c r="AP22" s="167">
        <v>0</v>
      </c>
      <c r="AQ22" s="379"/>
      <c r="AR22" s="167">
        <v>0</v>
      </c>
      <c r="AS22" s="379"/>
      <c r="AT22" s="167">
        <v>0</v>
      </c>
      <c r="AU22" s="379"/>
      <c r="AV22" s="165">
        <v>0</v>
      </c>
      <c r="AW22" s="379"/>
      <c r="AX22" s="165">
        <v>0</v>
      </c>
      <c r="AY22" s="379"/>
      <c r="AZ22" s="165">
        <v>0</v>
      </c>
      <c r="BA22" s="379"/>
      <c r="BB22" s="165">
        <v>0</v>
      </c>
      <c r="BC22" s="379"/>
      <c r="BD22" s="165">
        <v>0</v>
      </c>
      <c r="BE22" s="379"/>
      <c r="BF22" s="165">
        <v>0</v>
      </c>
      <c r="BG22" s="379"/>
      <c r="BH22" s="225"/>
      <c r="BI22" s="184"/>
      <c r="CJ22" s="150"/>
      <c r="CK22" s="150"/>
      <c r="CL22" s="150"/>
      <c r="CM22" s="151" t="s">
        <v>739</v>
      </c>
      <c r="CN22" s="150" t="s">
        <v>1130</v>
      </c>
      <c r="CO22" s="150"/>
      <c r="CP22" s="150"/>
      <c r="CQ22" s="150"/>
      <c r="CR22" s="150"/>
      <c r="CS22" s="150"/>
      <c r="CT22" s="150"/>
    </row>
    <row r="23" spans="1:98" s="12" customFormat="1" ht="12.75" customHeight="1">
      <c r="A23" s="310"/>
      <c r="B23" s="308" t="str">
        <f>Parameters!Q22</f>
        <v>C23</v>
      </c>
      <c r="C23" s="96"/>
      <c r="D23" s="495" t="str">
        <f>Parameters!S22</f>
        <v>Manufacture of other non-metallic mineral products</v>
      </c>
      <c r="E23" s="510"/>
      <c r="F23" s="224"/>
      <c r="G23" s="379"/>
      <c r="H23" s="228"/>
      <c r="I23" s="379"/>
      <c r="J23" s="228"/>
      <c r="K23" s="379"/>
      <c r="L23" s="228"/>
      <c r="M23" s="379"/>
      <c r="N23" s="228"/>
      <c r="O23" s="379"/>
      <c r="P23" s="228"/>
      <c r="Q23" s="379"/>
      <c r="R23" s="228"/>
      <c r="S23" s="379"/>
      <c r="T23" s="228"/>
      <c r="U23" s="379"/>
      <c r="V23" s="228"/>
      <c r="W23" s="379"/>
      <c r="X23" s="228"/>
      <c r="Y23" s="379"/>
      <c r="Z23" s="228"/>
      <c r="AA23" s="379"/>
      <c r="AB23" s="228"/>
      <c r="AC23" s="379"/>
      <c r="AD23" s="228"/>
      <c r="AE23" s="379"/>
      <c r="AF23" s="167">
        <v>0</v>
      </c>
      <c r="AG23" s="379"/>
      <c r="AH23" s="167">
        <v>0</v>
      </c>
      <c r="AI23" s="379"/>
      <c r="AJ23" s="167">
        <v>0</v>
      </c>
      <c r="AK23" s="379"/>
      <c r="AL23" s="167">
        <v>0</v>
      </c>
      <c r="AM23" s="379"/>
      <c r="AN23" s="167">
        <v>0</v>
      </c>
      <c r="AO23" s="379"/>
      <c r="AP23" s="167">
        <v>0</v>
      </c>
      <c r="AQ23" s="379"/>
      <c r="AR23" s="167">
        <v>0</v>
      </c>
      <c r="AS23" s="379"/>
      <c r="AT23" s="167">
        <v>0</v>
      </c>
      <c r="AU23" s="379"/>
      <c r="AV23" s="165">
        <v>0</v>
      </c>
      <c r="AW23" s="379"/>
      <c r="AX23" s="165">
        <v>0</v>
      </c>
      <c r="AY23" s="379"/>
      <c r="AZ23" s="165">
        <v>0</v>
      </c>
      <c r="BA23" s="379"/>
      <c r="BB23" s="165">
        <v>0</v>
      </c>
      <c r="BC23" s="379"/>
      <c r="BD23" s="165">
        <v>0</v>
      </c>
      <c r="BE23" s="379"/>
      <c r="BF23" s="165">
        <v>0</v>
      </c>
      <c r="BG23" s="379"/>
      <c r="BH23" s="225"/>
      <c r="BI23" s="184"/>
      <c r="CJ23" s="150"/>
      <c r="CK23" s="150"/>
      <c r="CL23" s="150"/>
      <c r="CM23" s="151" t="s">
        <v>743</v>
      </c>
      <c r="CN23" s="150" t="s">
        <v>1130</v>
      </c>
      <c r="CO23" s="150"/>
      <c r="CP23" s="150"/>
      <c r="CQ23" s="150"/>
      <c r="CR23" s="150"/>
      <c r="CS23" s="150"/>
      <c r="CT23" s="150"/>
    </row>
    <row r="24" spans="1:98" s="12" customFormat="1" ht="24.75" customHeight="1">
      <c r="A24" s="26"/>
      <c r="B24" s="89" t="str">
        <f>Parameters!Q23</f>
        <v>C24_C25</v>
      </c>
      <c r="C24" s="90"/>
      <c r="D24" s="504" t="str">
        <f>Parameters!S23</f>
        <v>Manufacture of basic metals and fabricated metal products, except machinery and equipment</v>
      </c>
      <c r="E24" s="506"/>
      <c r="F24" s="252"/>
      <c r="G24" s="380"/>
      <c r="H24" s="253"/>
      <c r="I24" s="380"/>
      <c r="J24" s="253"/>
      <c r="K24" s="380"/>
      <c r="L24" s="253"/>
      <c r="M24" s="380"/>
      <c r="N24" s="253"/>
      <c r="O24" s="380"/>
      <c r="P24" s="253"/>
      <c r="Q24" s="380"/>
      <c r="R24" s="253"/>
      <c r="S24" s="380"/>
      <c r="T24" s="253"/>
      <c r="U24" s="380"/>
      <c r="V24" s="253"/>
      <c r="W24" s="380"/>
      <c r="X24" s="253"/>
      <c r="Y24" s="380"/>
      <c r="Z24" s="253"/>
      <c r="AA24" s="380"/>
      <c r="AB24" s="253"/>
      <c r="AC24" s="380"/>
      <c r="AD24" s="253"/>
      <c r="AE24" s="380"/>
      <c r="AF24" s="253">
        <v>805399.92</v>
      </c>
      <c r="AG24" s="380"/>
      <c r="AH24" s="253">
        <v>394159.32</v>
      </c>
      <c r="AI24" s="380"/>
      <c r="AJ24" s="253">
        <v>214275.45</v>
      </c>
      <c r="AK24" s="380"/>
      <c r="AL24" s="253">
        <v>236099.25</v>
      </c>
      <c r="AM24" s="380"/>
      <c r="AN24" s="253">
        <v>180229.74</v>
      </c>
      <c r="AO24" s="380"/>
      <c r="AP24" s="253">
        <v>162765.59445</v>
      </c>
      <c r="AQ24" s="380"/>
      <c r="AR24" s="253">
        <v>160883.04858659999</v>
      </c>
      <c r="AS24" s="380"/>
      <c r="AT24" s="253">
        <v>131627.6073</v>
      </c>
      <c r="AU24" s="380"/>
      <c r="AV24" s="253">
        <v>167403.85016999999</v>
      </c>
      <c r="AW24" s="380"/>
      <c r="AX24" s="253">
        <v>117750.33297</v>
      </c>
      <c r="AY24" s="380"/>
      <c r="AZ24" s="253">
        <v>133145.63834999999</v>
      </c>
      <c r="BA24" s="380"/>
      <c r="BB24" s="253">
        <v>157411.13544000001</v>
      </c>
      <c r="BC24" s="380"/>
      <c r="BD24" s="253">
        <v>145153.63521000001</v>
      </c>
      <c r="BE24" s="380"/>
      <c r="BF24" s="253">
        <v>222762.73788</v>
      </c>
      <c r="BG24" s="380"/>
      <c r="BH24" s="253"/>
      <c r="BI24" s="254"/>
      <c r="CJ24" s="150"/>
      <c r="CK24" s="150"/>
      <c r="CL24" s="150"/>
      <c r="CM24" s="151"/>
      <c r="CN24" s="150"/>
      <c r="CO24" s="150"/>
      <c r="CP24" s="150"/>
      <c r="CQ24" s="150"/>
      <c r="CR24" s="150"/>
      <c r="CS24" s="150"/>
      <c r="CT24" s="150"/>
    </row>
    <row r="25" spans="1:98" s="12" customFormat="1" ht="12.75" customHeight="1">
      <c r="A25" s="310"/>
      <c r="B25" s="308" t="str">
        <f>Parameters!Q24</f>
        <v>C24</v>
      </c>
      <c r="C25" s="96"/>
      <c r="D25" s="495" t="str">
        <f>Parameters!S24</f>
        <v>Manufacture of basic metals</v>
      </c>
      <c r="E25" s="496"/>
      <c r="F25" s="224"/>
      <c r="G25" s="379"/>
      <c r="H25" s="228"/>
      <c r="I25" s="379"/>
      <c r="J25" s="228"/>
      <c r="K25" s="379"/>
      <c r="L25" s="228"/>
      <c r="M25" s="379"/>
      <c r="N25" s="228"/>
      <c r="O25" s="379"/>
      <c r="P25" s="228"/>
      <c r="Q25" s="379"/>
      <c r="R25" s="228"/>
      <c r="S25" s="379"/>
      <c r="T25" s="228"/>
      <c r="U25" s="379"/>
      <c r="V25" s="228"/>
      <c r="W25" s="379"/>
      <c r="X25" s="228"/>
      <c r="Y25" s="379"/>
      <c r="Z25" s="228"/>
      <c r="AA25" s="379"/>
      <c r="AB25" s="228"/>
      <c r="AC25" s="379"/>
      <c r="AD25" s="228"/>
      <c r="AE25" s="379"/>
      <c r="AF25" s="167">
        <v>805399.92</v>
      </c>
      <c r="AG25" s="379"/>
      <c r="AH25" s="167">
        <v>394159.32</v>
      </c>
      <c r="AI25" s="379"/>
      <c r="AJ25" s="167">
        <v>214275.45</v>
      </c>
      <c r="AK25" s="379"/>
      <c r="AL25" s="167">
        <v>236099.25</v>
      </c>
      <c r="AM25" s="379"/>
      <c r="AN25" s="167">
        <v>180229.74</v>
      </c>
      <c r="AO25" s="379"/>
      <c r="AP25" s="167">
        <v>162765.59445</v>
      </c>
      <c r="AQ25" s="379"/>
      <c r="AR25" s="167">
        <v>160883.04858659999</v>
      </c>
      <c r="AS25" s="379"/>
      <c r="AT25" s="167">
        <v>131627.6073</v>
      </c>
      <c r="AU25" s="379"/>
      <c r="AV25" s="165">
        <v>167403.85016999999</v>
      </c>
      <c r="AW25" s="379"/>
      <c r="AX25" s="165">
        <v>117750.33297</v>
      </c>
      <c r="AY25" s="379"/>
      <c r="AZ25" s="165">
        <v>133145.63834999999</v>
      </c>
      <c r="BA25" s="379"/>
      <c r="BB25" s="165">
        <v>157411.13544000001</v>
      </c>
      <c r="BC25" s="379"/>
      <c r="BD25" s="165">
        <v>145153.63521000001</v>
      </c>
      <c r="BE25" s="379"/>
      <c r="BF25" s="165">
        <v>222762.73788</v>
      </c>
      <c r="BG25" s="379"/>
      <c r="BH25" s="225"/>
      <c r="BI25" s="184"/>
      <c r="CJ25" s="150"/>
      <c r="CK25" s="150"/>
      <c r="CL25" s="150"/>
      <c r="CM25" s="151" t="s">
        <v>749</v>
      </c>
      <c r="CN25" s="150" t="s">
        <v>1130</v>
      </c>
      <c r="CO25" s="150"/>
      <c r="CP25" s="150"/>
      <c r="CQ25" s="150"/>
      <c r="CR25" s="150"/>
      <c r="CS25" s="150"/>
      <c r="CT25" s="150"/>
    </row>
    <row r="26" spans="1:98" s="11" customFormat="1" ht="12.75" customHeight="1">
      <c r="A26" s="310"/>
      <c r="B26" s="308" t="str">
        <f>Parameters!Q25</f>
        <v>C25</v>
      </c>
      <c r="C26" s="309"/>
      <c r="D26" s="495" t="str">
        <f>Parameters!S25</f>
        <v>Manufacture of fabricated metal products, except machinery and equipment</v>
      </c>
      <c r="E26" s="510"/>
      <c r="F26" s="224"/>
      <c r="G26" s="379"/>
      <c r="H26" s="225"/>
      <c r="I26" s="379"/>
      <c r="J26" s="225"/>
      <c r="K26" s="379"/>
      <c r="L26" s="225"/>
      <c r="M26" s="379"/>
      <c r="N26" s="225"/>
      <c r="O26" s="379"/>
      <c r="P26" s="225"/>
      <c r="Q26" s="379"/>
      <c r="R26" s="225"/>
      <c r="S26" s="379"/>
      <c r="T26" s="225"/>
      <c r="U26" s="379"/>
      <c r="V26" s="225"/>
      <c r="W26" s="379"/>
      <c r="X26" s="225"/>
      <c r="Y26" s="379"/>
      <c r="Z26" s="225"/>
      <c r="AA26" s="379"/>
      <c r="AB26" s="225"/>
      <c r="AC26" s="379"/>
      <c r="AD26" s="225"/>
      <c r="AE26" s="379"/>
      <c r="AF26" s="165">
        <v>0</v>
      </c>
      <c r="AG26" s="379"/>
      <c r="AH26" s="165">
        <v>0</v>
      </c>
      <c r="AI26" s="379"/>
      <c r="AJ26" s="165">
        <v>0</v>
      </c>
      <c r="AK26" s="379"/>
      <c r="AL26" s="165">
        <v>0</v>
      </c>
      <c r="AM26" s="379"/>
      <c r="AN26" s="165">
        <v>0</v>
      </c>
      <c r="AO26" s="379"/>
      <c r="AP26" s="165">
        <v>0</v>
      </c>
      <c r="AQ26" s="379"/>
      <c r="AR26" s="165">
        <v>0</v>
      </c>
      <c r="AS26" s="379"/>
      <c r="AT26" s="165">
        <v>0</v>
      </c>
      <c r="AU26" s="379"/>
      <c r="AV26" s="165">
        <v>0</v>
      </c>
      <c r="AW26" s="379"/>
      <c r="AX26" s="165">
        <v>0</v>
      </c>
      <c r="AY26" s="379"/>
      <c r="AZ26" s="165">
        <v>0</v>
      </c>
      <c r="BA26" s="379"/>
      <c r="BB26" s="165">
        <v>0</v>
      </c>
      <c r="BC26" s="379"/>
      <c r="BD26" s="165">
        <v>0</v>
      </c>
      <c r="BE26" s="379"/>
      <c r="BF26" s="165">
        <v>0</v>
      </c>
      <c r="BG26" s="379"/>
      <c r="BH26" s="225"/>
      <c r="BI26" s="184"/>
      <c r="CJ26" s="150"/>
      <c r="CK26" s="150"/>
      <c r="CL26" s="150"/>
      <c r="CM26" s="151" t="s">
        <v>753</v>
      </c>
      <c r="CN26" s="150" t="s">
        <v>1130</v>
      </c>
      <c r="CO26" s="150"/>
      <c r="CP26" s="150"/>
      <c r="CQ26" s="150"/>
      <c r="CR26" s="150"/>
      <c r="CS26" s="150"/>
      <c r="CT26" s="150"/>
    </row>
    <row r="27" spans="1:98" s="11" customFormat="1" ht="12.75" customHeight="1">
      <c r="A27" s="26"/>
      <c r="B27" s="89" t="str">
        <f>Parameters!Q26</f>
        <v>C26</v>
      </c>
      <c r="C27" s="90"/>
      <c r="D27" s="504" t="str">
        <f>Parameters!S26</f>
        <v>Manufacture of computer, electronic and optical products</v>
      </c>
      <c r="E27" s="505"/>
      <c r="F27" s="226"/>
      <c r="G27" s="379"/>
      <c r="H27" s="227"/>
      <c r="I27" s="379"/>
      <c r="J27" s="227"/>
      <c r="K27" s="379"/>
      <c r="L27" s="227"/>
      <c r="M27" s="379"/>
      <c r="N27" s="227"/>
      <c r="O27" s="379"/>
      <c r="P27" s="227"/>
      <c r="Q27" s="379"/>
      <c r="R27" s="227"/>
      <c r="S27" s="379"/>
      <c r="T27" s="227"/>
      <c r="U27" s="379"/>
      <c r="V27" s="227"/>
      <c r="W27" s="379"/>
      <c r="X27" s="227"/>
      <c r="Y27" s="379"/>
      <c r="Z27" s="227"/>
      <c r="AA27" s="379"/>
      <c r="AB27" s="227"/>
      <c r="AC27" s="379"/>
      <c r="AD27" s="227"/>
      <c r="AE27" s="379"/>
      <c r="AF27" s="166">
        <v>0</v>
      </c>
      <c r="AG27" s="379"/>
      <c r="AH27" s="166">
        <v>0</v>
      </c>
      <c r="AI27" s="379"/>
      <c r="AJ27" s="166">
        <v>0</v>
      </c>
      <c r="AK27" s="379"/>
      <c r="AL27" s="166">
        <v>0</v>
      </c>
      <c r="AM27" s="379"/>
      <c r="AN27" s="166">
        <v>0</v>
      </c>
      <c r="AO27" s="379"/>
      <c r="AP27" s="166">
        <v>0</v>
      </c>
      <c r="AQ27" s="379"/>
      <c r="AR27" s="166">
        <v>0</v>
      </c>
      <c r="AS27" s="379"/>
      <c r="AT27" s="166">
        <v>0</v>
      </c>
      <c r="AU27" s="379"/>
      <c r="AV27" s="166">
        <v>0</v>
      </c>
      <c r="AW27" s="379"/>
      <c r="AX27" s="166">
        <v>0</v>
      </c>
      <c r="AY27" s="379"/>
      <c r="AZ27" s="166">
        <v>0</v>
      </c>
      <c r="BA27" s="379"/>
      <c r="BB27" s="166">
        <v>0</v>
      </c>
      <c r="BC27" s="379"/>
      <c r="BD27" s="166">
        <v>0</v>
      </c>
      <c r="BE27" s="379"/>
      <c r="BF27" s="166">
        <v>0</v>
      </c>
      <c r="BG27" s="379"/>
      <c r="BH27" s="227"/>
      <c r="BI27" s="184"/>
      <c r="CJ27" s="150"/>
      <c r="CK27" s="150"/>
      <c r="CL27" s="150"/>
      <c r="CM27" s="151" t="s">
        <v>760</v>
      </c>
      <c r="CN27" s="150" t="s">
        <v>1130</v>
      </c>
      <c r="CO27" s="150"/>
      <c r="CP27" s="150"/>
      <c r="CQ27" s="150"/>
      <c r="CR27" s="150"/>
      <c r="CS27" s="150"/>
      <c r="CT27" s="150"/>
    </row>
    <row r="28" spans="1:98" s="12" customFormat="1" ht="12.75" customHeight="1">
      <c r="A28" s="26"/>
      <c r="B28" s="89" t="str">
        <f>Parameters!Q27</f>
        <v>C27</v>
      </c>
      <c r="C28" s="90"/>
      <c r="D28" s="504" t="str">
        <f>Parameters!S27</f>
        <v>Manufacture of electrical equipment</v>
      </c>
      <c r="E28" s="505"/>
      <c r="F28" s="226"/>
      <c r="G28" s="379"/>
      <c r="H28" s="227"/>
      <c r="I28" s="379"/>
      <c r="J28" s="227"/>
      <c r="K28" s="379"/>
      <c r="L28" s="227"/>
      <c r="M28" s="379"/>
      <c r="N28" s="227"/>
      <c r="O28" s="379"/>
      <c r="P28" s="227"/>
      <c r="Q28" s="379"/>
      <c r="R28" s="227"/>
      <c r="S28" s="379"/>
      <c r="T28" s="227"/>
      <c r="U28" s="379"/>
      <c r="V28" s="227"/>
      <c r="W28" s="379"/>
      <c r="X28" s="227"/>
      <c r="Y28" s="379"/>
      <c r="Z28" s="227"/>
      <c r="AA28" s="379"/>
      <c r="AB28" s="227"/>
      <c r="AC28" s="379"/>
      <c r="AD28" s="227"/>
      <c r="AE28" s="379"/>
      <c r="AF28" s="166">
        <v>0</v>
      </c>
      <c r="AG28" s="379"/>
      <c r="AH28" s="166">
        <v>0</v>
      </c>
      <c r="AI28" s="379"/>
      <c r="AJ28" s="166">
        <v>0</v>
      </c>
      <c r="AK28" s="379"/>
      <c r="AL28" s="166">
        <v>0</v>
      </c>
      <c r="AM28" s="379"/>
      <c r="AN28" s="166">
        <v>0</v>
      </c>
      <c r="AO28" s="379"/>
      <c r="AP28" s="166">
        <v>0</v>
      </c>
      <c r="AQ28" s="379"/>
      <c r="AR28" s="166">
        <v>0</v>
      </c>
      <c r="AS28" s="379"/>
      <c r="AT28" s="166">
        <v>0</v>
      </c>
      <c r="AU28" s="379"/>
      <c r="AV28" s="166">
        <v>0</v>
      </c>
      <c r="AW28" s="379"/>
      <c r="AX28" s="166">
        <v>0</v>
      </c>
      <c r="AY28" s="379"/>
      <c r="AZ28" s="166">
        <v>0</v>
      </c>
      <c r="BA28" s="379"/>
      <c r="BB28" s="166">
        <v>0</v>
      </c>
      <c r="BC28" s="379"/>
      <c r="BD28" s="166">
        <v>0</v>
      </c>
      <c r="BE28" s="379"/>
      <c r="BF28" s="166">
        <v>0</v>
      </c>
      <c r="BG28" s="379"/>
      <c r="BH28" s="227"/>
      <c r="BI28" s="184"/>
      <c r="CJ28" s="150"/>
      <c r="CK28" s="150"/>
      <c r="CL28" s="150"/>
      <c r="CM28" s="151" t="s">
        <v>763</v>
      </c>
      <c r="CN28" s="150" t="s">
        <v>1130</v>
      </c>
      <c r="CO28" s="150"/>
      <c r="CP28" s="150"/>
      <c r="CQ28" s="150"/>
      <c r="CR28" s="150"/>
      <c r="CS28" s="150"/>
      <c r="CT28" s="150"/>
    </row>
    <row r="29" spans="1:98" s="12" customFormat="1" ht="12.75" customHeight="1">
      <c r="A29" s="26"/>
      <c r="B29" s="89" t="str">
        <f>Parameters!Q28</f>
        <v>C28</v>
      </c>
      <c r="C29" s="90"/>
      <c r="D29" s="504" t="str">
        <f>Parameters!S28</f>
        <v>Manufacture of machinery and equipment n.e.c.</v>
      </c>
      <c r="E29" s="505"/>
      <c r="F29" s="226"/>
      <c r="G29" s="379"/>
      <c r="H29" s="227"/>
      <c r="I29" s="379"/>
      <c r="J29" s="227"/>
      <c r="K29" s="379"/>
      <c r="L29" s="227"/>
      <c r="M29" s="379"/>
      <c r="N29" s="227"/>
      <c r="O29" s="379"/>
      <c r="P29" s="227"/>
      <c r="Q29" s="379"/>
      <c r="R29" s="227"/>
      <c r="S29" s="379"/>
      <c r="T29" s="227"/>
      <c r="U29" s="379"/>
      <c r="V29" s="227"/>
      <c r="W29" s="379"/>
      <c r="X29" s="227"/>
      <c r="Y29" s="379"/>
      <c r="Z29" s="227"/>
      <c r="AA29" s="379"/>
      <c r="AB29" s="227"/>
      <c r="AC29" s="379"/>
      <c r="AD29" s="227"/>
      <c r="AE29" s="379"/>
      <c r="AF29" s="166">
        <v>0</v>
      </c>
      <c r="AG29" s="379"/>
      <c r="AH29" s="166">
        <v>0</v>
      </c>
      <c r="AI29" s="379"/>
      <c r="AJ29" s="166">
        <v>3.0362616999999998</v>
      </c>
      <c r="AK29" s="379"/>
      <c r="AL29" s="166">
        <v>1.1315816000000001</v>
      </c>
      <c r="AM29" s="379"/>
      <c r="AN29" s="166">
        <v>0.73026190000000002</v>
      </c>
      <c r="AO29" s="379"/>
      <c r="AP29" s="166">
        <v>0.64468490000000001</v>
      </c>
      <c r="AQ29" s="379"/>
      <c r="AR29" s="166">
        <v>0.4243769</v>
      </c>
      <c r="AS29" s="379"/>
      <c r="AT29" s="166">
        <v>0</v>
      </c>
      <c r="AU29" s="379"/>
      <c r="AV29" s="166">
        <v>0</v>
      </c>
      <c r="AW29" s="379"/>
      <c r="AX29" s="166">
        <v>0</v>
      </c>
      <c r="AY29" s="379"/>
      <c r="AZ29" s="166">
        <v>0</v>
      </c>
      <c r="BA29" s="379"/>
      <c r="BB29" s="166">
        <v>0</v>
      </c>
      <c r="BC29" s="379"/>
      <c r="BD29" s="166">
        <v>0</v>
      </c>
      <c r="BE29" s="379"/>
      <c r="BF29" s="166">
        <v>0</v>
      </c>
      <c r="BG29" s="379"/>
      <c r="BH29" s="227"/>
      <c r="BI29" s="184"/>
      <c r="CJ29" s="150"/>
      <c r="CK29" s="150"/>
      <c r="CL29" s="150"/>
      <c r="CM29" s="151" t="s">
        <v>768</v>
      </c>
      <c r="CN29" s="150" t="s">
        <v>1130</v>
      </c>
      <c r="CO29" s="150"/>
      <c r="CP29" s="150"/>
      <c r="CQ29" s="150"/>
      <c r="CR29" s="150"/>
      <c r="CS29" s="150"/>
      <c r="CT29" s="150"/>
    </row>
    <row r="30" spans="1:98" s="12" customFormat="1" ht="12.75" customHeight="1">
      <c r="A30" s="26"/>
      <c r="B30" s="89" t="str">
        <f>Parameters!Q29</f>
        <v>C29_C30</v>
      </c>
      <c r="C30" s="90"/>
      <c r="D30" s="504" t="str">
        <f>Parameters!S29</f>
        <v>Manufacture of motor vehicles, trailers, semi-trailers and of other transport equipment</v>
      </c>
      <c r="E30" s="506"/>
      <c r="F30" s="252"/>
      <c r="G30" s="380"/>
      <c r="H30" s="253"/>
      <c r="I30" s="380"/>
      <c r="J30" s="253"/>
      <c r="K30" s="380"/>
      <c r="L30" s="253"/>
      <c r="M30" s="380"/>
      <c r="N30" s="253"/>
      <c r="O30" s="380"/>
      <c r="P30" s="253"/>
      <c r="Q30" s="380"/>
      <c r="R30" s="253"/>
      <c r="S30" s="380"/>
      <c r="T30" s="253"/>
      <c r="U30" s="380"/>
      <c r="V30" s="253"/>
      <c r="W30" s="380"/>
      <c r="X30" s="253"/>
      <c r="Y30" s="380"/>
      <c r="Z30" s="253"/>
      <c r="AA30" s="380"/>
      <c r="AB30" s="253"/>
      <c r="AC30" s="380"/>
      <c r="AD30" s="253"/>
      <c r="AE30" s="380"/>
      <c r="AF30" s="253">
        <v>0</v>
      </c>
      <c r="AG30" s="380"/>
      <c r="AH30" s="253">
        <v>0</v>
      </c>
      <c r="AI30" s="380"/>
      <c r="AJ30" s="253">
        <v>0</v>
      </c>
      <c r="AK30" s="380"/>
      <c r="AL30" s="253">
        <v>0</v>
      </c>
      <c r="AM30" s="380"/>
      <c r="AN30" s="253">
        <v>0</v>
      </c>
      <c r="AO30" s="380"/>
      <c r="AP30" s="253">
        <v>0</v>
      </c>
      <c r="AQ30" s="380"/>
      <c r="AR30" s="253">
        <v>0</v>
      </c>
      <c r="AS30" s="380"/>
      <c r="AT30" s="253">
        <v>0</v>
      </c>
      <c r="AU30" s="380"/>
      <c r="AV30" s="253">
        <v>0</v>
      </c>
      <c r="AW30" s="380"/>
      <c r="AX30" s="253">
        <v>0</v>
      </c>
      <c r="AY30" s="380"/>
      <c r="AZ30" s="253">
        <v>0</v>
      </c>
      <c r="BA30" s="380"/>
      <c r="BB30" s="253">
        <v>0</v>
      </c>
      <c r="BC30" s="380"/>
      <c r="BD30" s="253">
        <v>0</v>
      </c>
      <c r="BE30" s="380"/>
      <c r="BF30" s="253">
        <v>0</v>
      </c>
      <c r="BG30" s="380"/>
      <c r="BH30" s="253"/>
      <c r="BI30" s="254"/>
      <c r="CJ30" s="150"/>
      <c r="CK30" s="150"/>
      <c r="CL30" s="150"/>
      <c r="CM30" s="151"/>
      <c r="CN30" s="150"/>
      <c r="CO30" s="150"/>
      <c r="CP30" s="150"/>
      <c r="CQ30" s="150"/>
      <c r="CR30" s="150"/>
      <c r="CS30" s="150"/>
      <c r="CT30" s="150"/>
    </row>
    <row r="31" spans="1:98" s="12" customFormat="1" ht="12.75" customHeight="1">
      <c r="A31" s="310"/>
      <c r="B31" s="308" t="str">
        <f>Parameters!Q30</f>
        <v>C29</v>
      </c>
      <c r="C31" s="309"/>
      <c r="D31" s="495" t="str">
        <f>Parameters!S30</f>
        <v>Manufacture of motor vehicles, trailers and semi-trailers</v>
      </c>
      <c r="E31" s="496"/>
      <c r="F31" s="224"/>
      <c r="G31" s="379"/>
      <c r="H31" s="225"/>
      <c r="I31" s="379"/>
      <c r="J31" s="225"/>
      <c r="K31" s="379"/>
      <c r="L31" s="225"/>
      <c r="M31" s="379"/>
      <c r="N31" s="225"/>
      <c r="O31" s="379"/>
      <c r="P31" s="225"/>
      <c r="Q31" s="379"/>
      <c r="R31" s="225"/>
      <c r="S31" s="379"/>
      <c r="T31" s="225"/>
      <c r="U31" s="379"/>
      <c r="V31" s="225"/>
      <c r="W31" s="379"/>
      <c r="X31" s="225"/>
      <c r="Y31" s="379"/>
      <c r="Z31" s="225"/>
      <c r="AA31" s="379"/>
      <c r="AB31" s="225"/>
      <c r="AC31" s="379"/>
      <c r="AD31" s="225"/>
      <c r="AE31" s="379"/>
      <c r="AF31" s="165">
        <v>0</v>
      </c>
      <c r="AG31" s="379"/>
      <c r="AH31" s="165">
        <v>0</v>
      </c>
      <c r="AI31" s="379"/>
      <c r="AJ31" s="165">
        <v>0</v>
      </c>
      <c r="AK31" s="379"/>
      <c r="AL31" s="165">
        <v>0</v>
      </c>
      <c r="AM31" s="379"/>
      <c r="AN31" s="165">
        <v>0</v>
      </c>
      <c r="AO31" s="379"/>
      <c r="AP31" s="165">
        <v>0</v>
      </c>
      <c r="AQ31" s="379"/>
      <c r="AR31" s="165">
        <v>0</v>
      </c>
      <c r="AS31" s="379"/>
      <c r="AT31" s="165">
        <v>0</v>
      </c>
      <c r="AU31" s="379"/>
      <c r="AV31" s="165">
        <v>0</v>
      </c>
      <c r="AW31" s="379"/>
      <c r="AX31" s="165">
        <v>0</v>
      </c>
      <c r="AY31" s="379"/>
      <c r="AZ31" s="165">
        <v>0</v>
      </c>
      <c r="BA31" s="379"/>
      <c r="BB31" s="165">
        <v>0</v>
      </c>
      <c r="BC31" s="379"/>
      <c r="BD31" s="165">
        <v>0</v>
      </c>
      <c r="BE31" s="379"/>
      <c r="BF31" s="165">
        <v>0</v>
      </c>
      <c r="BG31" s="379"/>
      <c r="BH31" s="225"/>
      <c r="BI31" s="184"/>
      <c r="CJ31" s="150"/>
      <c r="CK31" s="150"/>
      <c r="CL31" s="150"/>
      <c r="CM31" s="151" t="s">
        <v>779</v>
      </c>
      <c r="CN31" s="150" t="s">
        <v>1130</v>
      </c>
      <c r="CO31" s="150"/>
      <c r="CP31" s="150"/>
      <c r="CQ31" s="150"/>
      <c r="CR31" s="150"/>
      <c r="CS31" s="150"/>
      <c r="CT31" s="150"/>
    </row>
    <row r="32" spans="1:98" s="12" customFormat="1" ht="12.75" customHeight="1">
      <c r="A32" s="310"/>
      <c r="B32" s="308" t="str">
        <f>Parameters!Q31</f>
        <v>C30</v>
      </c>
      <c r="C32" s="309"/>
      <c r="D32" s="495" t="str">
        <f>Parameters!S31</f>
        <v>Manufacture of other transport equipment</v>
      </c>
      <c r="E32" s="496"/>
      <c r="F32" s="224"/>
      <c r="G32" s="379"/>
      <c r="H32" s="225"/>
      <c r="I32" s="379"/>
      <c r="J32" s="225"/>
      <c r="K32" s="379"/>
      <c r="L32" s="225"/>
      <c r="M32" s="379"/>
      <c r="N32" s="225"/>
      <c r="O32" s="379"/>
      <c r="P32" s="225"/>
      <c r="Q32" s="379"/>
      <c r="R32" s="225"/>
      <c r="S32" s="379"/>
      <c r="T32" s="225"/>
      <c r="U32" s="379"/>
      <c r="V32" s="225"/>
      <c r="W32" s="379"/>
      <c r="X32" s="225"/>
      <c r="Y32" s="379"/>
      <c r="Z32" s="225"/>
      <c r="AA32" s="379"/>
      <c r="AB32" s="225"/>
      <c r="AC32" s="379"/>
      <c r="AD32" s="225"/>
      <c r="AE32" s="379"/>
      <c r="AF32" s="165">
        <v>0</v>
      </c>
      <c r="AG32" s="379"/>
      <c r="AH32" s="165">
        <v>0</v>
      </c>
      <c r="AI32" s="379"/>
      <c r="AJ32" s="165">
        <v>0</v>
      </c>
      <c r="AK32" s="379"/>
      <c r="AL32" s="165">
        <v>0</v>
      </c>
      <c r="AM32" s="379"/>
      <c r="AN32" s="165">
        <v>0</v>
      </c>
      <c r="AO32" s="379"/>
      <c r="AP32" s="165">
        <v>0</v>
      </c>
      <c r="AQ32" s="379"/>
      <c r="AR32" s="165">
        <v>0</v>
      </c>
      <c r="AS32" s="379"/>
      <c r="AT32" s="165">
        <v>0</v>
      </c>
      <c r="AU32" s="379"/>
      <c r="AV32" s="165">
        <v>0</v>
      </c>
      <c r="AW32" s="379"/>
      <c r="AX32" s="165">
        <v>0</v>
      </c>
      <c r="AY32" s="379"/>
      <c r="AZ32" s="165">
        <v>0</v>
      </c>
      <c r="BA32" s="379"/>
      <c r="BB32" s="165">
        <v>0</v>
      </c>
      <c r="BC32" s="379"/>
      <c r="BD32" s="165">
        <v>0</v>
      </c>
      <c r="BE32" s="379"/>
      <c r="BF32" s="165">
        <v>0</v>
      </c>
      <c r="BG32" s="379"/>
      <c r="BH32" s="225"/>
      <c r="BI32" s="184"/>
      <c r="CJ32" s="150"/>
      <c r="CK32" s="150"/>
      <c r="CL32" s="150"/>
      <c r="CM32" s="151" t="s">
        <v>788</v>
      </c>
      <c r="CN32" s="150" t="s">
        <v>1130</v>
      </c>
      <c r="CO32" s="150"/>
      <c r="CP32" s="150"/>
      <c r="CQ32" s="150"/>
      <c r="CR32" s="150"/>
      <c r="CS32" s="150"/>
      <c r="CT32" s="150"/>
    </row>
    <row r="33" spans="1:98" s="12" customFormat="1" ht="25.5" customHeight="1">
      <c r="A33" s="26"/>
      <c r="B33" s="89" t="str">
        <f>Parameters!Q32</f>
        <v>C31-C33</v>
      </c>
      <c r="C33" s="90"/>
      <c r="D33" s="504" t="str">
        <f>Parameters!S32</f>
        <v>Manufacture of furniture; jewellery, musical instruments, toys; repair and installation of machinery and equipment</v>
      </c>
      <c r="E33" s="506"/>
      <c r="F33" s="252"/>
      <c r="G33" s="380"/>
      <c r="H33" s="253"/>
      <c r="I33" s="380"/>
      <c r="J33" s="253"/>
      <c r="K33" s="380"/>
      <c r="L33" s="253"/>
      <c r="M33" s="380"/>
      <c r="N33" s="253"/>
      <c r="O33" s="380"/>
      <c r="P33" s="253"/>
      <c r="Q33" s="380"/>
      <c r="R33" s="253"/>
      <c r="S33" s="380"/>
      <c r="T33" s="253"/>
      <c r="U33" s="380"/>
      <c r="V33" s="253"/>
      <c r="W33" s="380"/>
      <c r="X33" s="253"/>
      <c r="Y33" s="380"/>
      <c r="Z33" s="253"/>
      <c r="AA33" s="380"/>
      <c r="AB33" s="253"/>
      <c r="AC33" s="380"/>
      <c r="AD33" s="253"/>
      <c r="AE33" s="380"/>
      <c r="AF33" s="253">
        <v>0</v>
      </c>
      <c r="AG33" s="380"/>
      <c r="AH33" s="253">
        <v>0</v>
      </c>
      <c r="AI33" s="380"/>
      <c r="AJ33" s="253">
        <v>0</v>
      </c>
      <c r="AK33" s="380"/>
      <c r="AL33" s="253">
        <v>0</v>
      </c>
      <c r="AM33" s="380"/>
      <c r="AN33" s="253">
        <v>0</v>
      </c>
      <c r="AO33" s="380"/>
      <c r="AP33" s="253">
        <v>0</v>
      </c>
      <c r="AQ33" s="380"/>
      <c r="AR33" s="253">
        <v>0</v>
      </c>
      <c r="AS33" s="380"/>
      <c r="AT33" s="253">
        <v>0</v>
      </c>
      <c r="AU33" s="380"/>
      <c r="AV33" s="253">
        <v>0</v>
      </c>
      <c r="AW33" s="380"/>
      <c r="AX33" s="253">
        <v>0</v>
      </c>
      <c r="AY33" s="380"/>
      <c r="AZ33" s="253">
        <v>0</v>
      </c>
      <c r="BA33" s="380"/>
      <c r="BB33" s="253">
        <v>0</v>
      </c>
      <c r="BC33" s="380"/>
      <c r="BD33" s="253">
        <v>0</v>
      </c>
      <c r="BE33" s="380"/>
      <c r="BF33" s="253">
        <v>0</v>
      </c>
      <c r="BG33" s="380"/>
      <c r="BH33" s="253"/>
      <c r="BI33" s="254"/>
      <c r="CJ33" s="150"/>
      <c r="CK33" s="150"/>
      <c r="CL33" s="150"/>
      <c r="CM33" s="151"/>
      <c r="CN33" s="150"/>
      <c r="CO33" s="150"/>
      <c r="CP33" s="150"/>
      <c r="CQ33" s="150"/>
      <c r="CR33" s="150"/>
      <c r="CS33" s="150"/>
      <c r="CT33" s="150"/>
    </row>
    <row r="34" spans="1:98" s="12" customFormat="1" ht="12.75" customHeight="1">
      <c r="A34" s="310"/>
      <c r="B34" s="308" t="str">
        <f>Parameters!Q33</f>
        <v>C31_C32</v>
      </c>
      <c r="C34" s="309"/>
      <c r="D34" s="495" t="str">
        <f>Parameters!S33</f>
        <v>Manufacture of furniture; other manufacturing</v>
      </c>
      <c r="E34" s="496"/>
      <c r="F34" s="224"/>
      <c r="G34" s="379"/>
      <c r="H34" s="225"/>
      <c r="I34" s="379"/>
      <c r="J34" s="225"/>
      <c r="K34" s="379"/>
      <c r="L34" s="225"/>
      <c r="M34" s="379"/>
      <c r="N34" s="225"/>
      <c r="O34" s="379"/>
      <c r="P34" s="225"/>
      <c r="Q34" s="379"/>
      <c r="R34" s="225"/>
      <c r="S34" s="379"/>
      <c r="T34" s="225"/>
      <c r="U34" s="379"/>
      <c r="V34" s="225"/>
      <c r="W34" s="379"/>
      <c r="X34" s="225"/>
      <c r="Y34" s="379"/>
      <c r="Z34" s="225"/>
      <c r="AA34" s="379"/>
      <c r="AB34" s="225"/>
      <c r="AC34" s="379"/>
      <c r="AD34" s="225"/>
      <c r="AE34" s="379"/>
      <c r="AF34" s="165">
        <v>0</v>
      </c>
      <c r="AG34" s="379"/>
      <c r="AH34" s="165">
        <v>0</v>
      </c>
      <c r="AI34" s="379"/>
      <c r="AJ34" s="165">
        <v>0</v>
      </c>
      <c r="AK34" s="379"/>
      <c r="AL34" s="165">
        <v>0</v>
      </c>
      <c r="AM34" s="379"/>
      <c r="AN34" s="165">
        <v>0</v>
      </c>
      <c r="AO34" s="379"/>
      <c r="AP34" s="165">
        <v>0</v>
      </c>
      <c r="AQ34" s="379"/>
      <c r="AR34" s="165">
        <v>0</v>
      </c>
      <c r="AS34" s="379"/>
      <c r="AT34" s="165">
        <v>0</v>
      </c>
      <c r="AU34" s="379"/>
      <c r="AV34" s="165">
        <v>0</v>
      </c>
      <c r="AW34" s="379"/>
      <c r="AX34" s="165">
        <v>0</v>
      </c>
      <c r="AY34" s="379"/>
      <c r="AZ34" s="165">
        <v>0</v>
      </c>
      <c r="BA34" s="379"/>
      <c r="BB34" s="165">
        <v>0</v>
      </c>
      <c r="BC34" s="379"/>
      <c r="BD34" s="165">
        <v>0</v>
      </c>
      <c r="BE34" s="379"/>
      <c r="BF34" s="165">
        <v>0</v>
      </c>
      <c r="BG34" s="379"/>
      <c r="BH34" s="225"/>
      <c r="BI34" s="184"/>
      <c r="CJ34" s="150"/>
      <c r="CK34" s="150"/>
      <c r="CL34" s="150"/>
      <c r="CM34" s="151" t="s">
        <v>1137</v>
      </c>
      <c r="CN34" s="150" t="s">
        <v>1130</v>
      </c>
      <c r="CO34" s="150"/>
      <c r="CP34" s="150"/>
      <c r="CQ34" s="150"/>
      <c r="CR34" s="150"/>
      <c r="CS34" s="150"/>
      <c r="CT34" s="150"/>
    </row>
    <row r="35" spans="1:98" s="11" customFormat="1" ht="12.75" customHeight="1">
      <c r="A35" s="310"/>
      <c r="B35" s="308" t="str">
        <f>Parameters!Q34</f>
        <v>C33</v>
      </c>
      <c r="C35" s="309"/>
      <c r="D35" s="495" t="str">
        <f>Parameters!S34</f>
        <v>Repair and installation of machinery and equipment</v>
      </c>
      <c r="E35" s="510"/>
      <c r="F35" s="224"/>
      <c r="G35" s="379"/>
      <c r="H35" s="225"/>
      <c r="I35" s="379"/>
      <c r="J35" s="225"/>
      <c r="K35" s="379"/>
      <c r="L35" s="225"/>
      <c r="M35" s="379"/>
      <c r="N35" s="225"/>
      <c r="O35" s="379"/>
      <c r="P35" s="225"/>
      <c r="Q35" s="379"/>
      <c r="R35" s="225"/>
      <c r="S35" s="379"/>
      <c r="T35" s="225"/>
      <c r="U35" s="379"/>
      <c r="V35" s="225"/>
      <c r="W35" s="379"/>
      <c r="X35" s="225"/>
      <c r="Y35" s="379"/>
      <c r="Z35" s="225"/>
      <c r="AA35" s="379"/>
      <c r="AB35" s="225"/>
      <c r="AC35" s="379"/>
      <c r="AD35" s="225"/>
      <c r="AE35" s="379"/>
      <c r="AF35" s="165">
        <v>0</v>
      </c>
      <c r="AG35" s="379"/>
      <c r="AH35" s="165">
        <v>0</v>
      </c>
      <c r="AI35" s="379"/>
      <c r="AJ35" s="165">
        <v>0</v>
      </c>
      <c r="AK35" s="379"/>
      <c r="AL35" s="165">
        <v>0</v>
      </c>
      <c r="AM35" s="379"/>
      <c r="AN35" s="165">
        <v>0</v>
      </c>
      <c r="AO35" s="379"/>
      <c r="AP35" s="165">
        <v>0</v>
      </c>
      <c r="AQ35" s="379"/>
      <c r="AR35" s="165">
        <v>0</v>
      </c>
      <c r="AS35" s="379"/>
      <c r="AT35" s="165">
        <v>0</v>
      </c>
      <c r="AU35" s="379"/>
      <c r="AV35" s="165">
        <v>0</v>
      </c>
      <c r="AW35" s="379"/>
      <c r="AX35" s="165">
        <v>0</v>
      </c>
      <c r="AY35" s="379"/>
      <c r="AZ35" s="165">
        <v>0</v>
      </c>
      <c r="BA35" s="379"/>
      <c r="BB35" s="165">
        <v>0</v>
      </c>
      <c r="BC35" s="379"/>
      <c r="BD35" s="165">
        <v>0</v>
      </c>
      <c r="BE35" s="379"/>
      <c r="BF35" s="165">
        <v>0</v>
      </c>
      <c r="BG35" s="379"/>
      <c r="BH35" s="225"/>
      <c r="BI35" s="184"/>
      <c r="CJ35" s="150"/>
      <c r="CK35" s="150"/>
      <c r="CL35" s="150"/>
      <c r="CM35" s="151" t="s">
        <v>810</v>
      </c>
      <c r="CN35" s="150" t="s">
        <v>1130</v>
      </c>
      <c r="CO35" s="150"/>
      <c r="CP35" s="150"/>
      <c r="CQ35" s="150"/>
      <c r="CR35" s="150"/>
      <c r="CS35" s="150"/>
      <c r="CT35" s="150"/>
    </row>
    <row r="36" spans="1:98" s="10" customFormat="1" ht="12.75" customHeight="1">
      <c r="A36" s="25"/>
      <c r="B36" s="87" t="str">
        <f>Parameters!Q35</f>
        <v>D</v>
      </c>
      <c r="C36" s="88"/>
      <c r="D36" s="498" t="str">
        <f>Parameters!S35</f>
        <v>Electricity, gas, steam and air conditioning supply</v>
      </c>
      <c r="E36" s="496"/>
      <c r="F36" s="222"/>
      <c r="G36" s="379"/>
      <c r="H36" s="223"/>
      <c r="I36" s="379"/>
      <c r="J36" s="223"/>
      <c r="K36" s="379"/>
      <c r="L36" s="223"/>
      <c r="M36" s="379"/>
      <c r="N36" s="223"/>
      <c r="O36" s="379"/>
      <c r="P36" s="223"/>
      <c r="Q36" s="379"/>
      <c r="R36" s="223"/>
      <c r="S36" s="379"/>
      <c r="T36" s="223"/>
      <c r="U36" s="379"/>
      <c r="V36" s="223"/>
      <c r="W36" s="379"/>
      <c r="X36" s="223"/>
      <c r="Y36" s="379"/>
      <c r="Z36" s="223"/>
      <c r="AA36" s="379"/>
      <c r="AB36" s="223"/>
      <c r="AC36" s="379"/>
      <c r="AD36" s="223"/>
      <c r="AE36" s="379"/>
      <c r="AF36" s="164">
        <v>0</v>
      </c>
      <c r="AG36" s="379"/>
      <c r="AH36" s="164">
        <v>0</v>
      </c>
      <c r="AI36" s="379"/>
      <c r="AJ36" s="164">
        <v>0</v>
      </c>
      <c r="AK36" s="379"/>
      <c r="AL36" s="164">
        <v>0</v>
      </c>
      <c r="AM36" s="379"/>
      <c r="AN36" s="164">
        <v>0</v>
      </c>
      <c r="AO36" s="379"/>
      <c r="AP36" s="164">
        <v>0</v>
      </c>
      <c r="AQ36" s="379"/>
      <c r="AR36" s="164">
        <v>0</v>
      </c>
      <c r="AS36" s="379"/>
      <c r="AT36" s="164">
        <v>0</v>
      </c>
      <c r="AU36" s="379"/>
      <c r="AV36" s="164">
        <v>0</v>
      </c>
      <c r="AW36" s="379"/>
      <c r="AX36" s="164">
        <v>0</v>
      </c>
      <c r="AY36" s="379"/>
      <c r="AZ36" s="164">
        <v>0</v>
      </c>
      <c r="BA36" s="379"/>
      <c r="BB36" s="164">
        <v>0</v>
      </c>
      <c r="BC36" s="379"/>
      <c r="BD36" s="164">
        <v>0</v>
      </c>
      <c r="BE36" s="379"/>
      <c r="BF36" s="164">
        <v>0</v>
      </c>
      <c r="BG36" s="379"/>
      <c r="BH36" s="223"/>
      <c r="BI36" s="184"/>
      <c r="CJ36" s="150"/>
      <c r="CK36" s="150"/>
      <c r="CL36" s="150"/>
      <c r="CM36" s="151" t="s">
        <v>275</v>
      </c>
      <c r="CN36" s="150" t="s">
        <v>1130</v>
      </c>
      <c r="CO36" s="150"/>
      <c r="CP36" s="150"/>
      <c r="CQ36" s="150"/>
      <c r="CR36" s="150"/>
      <c r="CS36" s="150"/>
      <c r="CT36" s="150"/>
    </row>
    <row r="37" spans="1:98" s="10" customFormat="1">
      <c r="A37" s="25"/>
      <c r="B37" s="87" t="str">
        <f>Parameters!Q36</f>
        <v>E</v>
      </c>
      <c r="C37" s="88"/>
      <c r="D37" s="498" t="str">
        <f>Parameters!S36</f>
        <v>Water supply; sewerage, waste management and remediation activities</v>
      </c>
      <c r="E37" s="499"/>
      <c r="F37" s="222"/>
      <c r="G37" s="379"/>
      <c r="H37" s="223"/>
      <c r="I37" s="379"/>
      <c r="J37" s="223"/>
      <c r="K37" s="379"/>
      <c r="L37" s="223"/>
      <c r="M37" s="379"/>
      <c r="N37" s="223"/>
      <c r="O37" s="379"/>
      <c r="P37" s="223"/>
      <c r="Q37" s="379"/>
      <c r="R37" s="223"/>
      <c r="S37" s="379"/>
      <c r="T37" s="223"/>
      <c r="U37" s="379"/>
      <c r="V37" s="223"/>
      <c r="W37" s="379"/>
      <c r="X37" s="223"/>
      <c r="Y37" s="379"/>
      <c r="Z37" s="223"/>
      <c r="AA37" s="379"/>
      <c r="AB37" s="223"/>
      <c r="AC37" s="379"/>
      <c r="AD37" s="223"/>
      <c r="AE37" s="379"/>
      <c r="AF37" s="164">
        <v>0</v>
      </c>
      <c r="AG37" s="379"/>
      <c r="AH37" s="164">
        <v>0</v>
      </c>
      <c r="AI37" s="379"/>
      <c r="AJ37" s="164">
        <v>0</v>
      </c>
      <c r="AK37" s="379"/>
      <c r="AL37" s="164">
        <v>0</v>
      </c>
      <c r="AM37" s="379"/>
      <c r="AN37" s="164">
        <v>0</v>
      </c>
      <c r="AO37" s="379"/>
      <c r="AP37" s="164">
        <v>0</v>
      </c>
      <c r="AQ37" s="379"/>
      <c r="AR37" s="164">
        <v>0</v>
      </c>
      <c r="AS37" s="379"/>
      <c r="AT37" s="164">
        <v>0</v>
      </c>
      <c r="AU37" s="379"/>
      <c r="AV37" s="164">
        <v>0</v>
      </c>
      <c r="AW37" s="379"/>
      <c r="AX37" s="164">
        <v>0</v>
      </c>
      <c r="AY37" s="379"/>
      <c r="AZ37" s="164">
        <v>0</v>
      </c>
      <c r="BA37" s="379"/>
      <c r="BB37" s="164">
        <v>0</v>
      </c>
      <c r="BC37" s="379"/>
      <c r="BD37" s="164">
        <v>0</v>
      </c>
      <c r="BE37" s="379"/>
      <c r="BF37" s="164">
        <v>0</v>
      </c>
      <c r="BG37" s="379"/>
      <c r="BH37" s="223"/>
      <c r="BI37" s="184"/>
      <c r="CJ37" s="150"/>
      <c r="CK37" s="150"/>
      <c r="CL37" s="150"/>
      <c r="CM37" s="151" t="s">
        <v>269</v>
      </c>
      <c r="CN37" s="150" t="s">
        <v>1130</v>
      </c>
      <c r="CO37" s="150"/>
      <c r="CP37" s="150"/>
      <c r="CQ37" s="150"/>
      <c r="CR37" s="150"/>
      <c r="CS37" s="150"/>
      <c r="CT37" s="150"/>
    </row>
    <row r="38" spans="1:98" s="11" customFormat="1" ht="12.75" customHeight="1">
      <c r="A38" s="310"/>
      <c r="B38" s="308" t="str">
        <f>Parameters!Q37</f>
        <v>E36</v>
      </c>
      <c r="C38" s="309"/>
      <c r="D38" s="495" t="str">
        <f>Parameters!S37</f>
        <v>Water collection, treatment and supply</v>
      </c>
      <c r="E38" s="510"/>
      <c r="F38" s="224"/>
      <c r="G38" s="379"/>
      <c r="H38" s="225"/>
      <c r="I38" s="379"/>
      <c r="J38" s="225"/>
      <c r="K38" s="379"/>
      <c r="L38" s="225"/>
      <c r="M38" s="379"/>
      <c r="N38" s="225"/>
      <c r="O38" s="379"/>
      <c r="P38" s="225"/>
      <c r="Q38" s="379"/>
      <c r="R38" s="225"/>
      <c r="S38" s="379"/>
      <c r="T38" s="225"/>
      <c r="U38" s="379"/>
      <c r="V38" s="225"/>
      <c r="W38" s="379"/>
      <c r="X38" s="225"/>
      <c r="Y38" s="379"/>
      <c r="Z38" s="225"/>
      <c r="AA38" s="379"/>
      <c r="AB38" s="225"/>
      <c r="AC38" s="379"/>
      <c r="AD38" s="225"/>
      <c r="AE38" s="379"/>
      <c r="AF38" s="165">
        <v>0</v>
      </c>
      <c r="AG38" s="379"/>
      <c r="AH38" s="165">
        <v>0</v>
      </c>
      <c r="AI38" s="379"/>
      <c r="AJ38" s="165">
        <v>0</v>
      </c>
      <c r="AK38" s="379"/>
      <c r="AL38" s="165">
        <v>0</v>
      </c>
      <c r="AM38" s="379"/>
      <c r="AN38" s="165">
        <v>0</v>
      </c>
      <c r="AO38" s="379"/>
      <c r="AP38" s="165">
        <v>0</v>
      </c>
      <c r="AQ38" s="379"/>
      <c r="AR38" s="165">
        <v>0</v>
      </c>
      <c r="AS38" s="379"/>
      <c r="AT38" s="165">
        <v>0</v>
      </c>
      <c r="AU38" s="379"/>
      <c r="AV38" s="165">
        <v>0</v>
      </c>
      <c r="AW38" s="379"/>
      <c r="AX38" s="165">
        <v>0</v>
      </c>
      <c r="AY38" s="379"/>
      <c r="AZ38" s="165">
        <v>0</v>
      </c>
      <c r="BA38" s="379"/>
      <c r="BB38" s="165">
        <v>0</v>
      </c>
      <c r="BC38" s="379"/>
      <c r="BD38" s="165">
        <v>0</v>
      </c>
      <c r="BE38" s="379"/>
      <c r="BF38" s="165">
        <v>0</v>
      </c>
      <c r="BG38" s="379"/>
      <c r="BH38" s="225"/>
      <c r="BI38" s="184"/>
      <c r="CJ38" s="150"/>
      <c r="CK38" s="150"/>
      <c r="CL38" s="150"/>
      <c r="CM38" s="151" t="s">
        <v>824</v>
      </c>
      <c r="CN38" s="150" t="s">
        <v>1130</v>
      </c>
      <c r="CO38" s="150"/>
      <c r="CP38" s="150"/>
      <c r="CQ38" s="150"/>
      <c r="CR38" s="150"/>
      <c r="CS38" s="150"/>
      <c r="CT38" s="150"/>
    </row>
    <row r="39" spans="1:98" s="11" customFormat="1" ht="12.75" customHeight="1">
      <c r="A39" s="310"/>
      <c r="B39" s="308" t="str">
        <f>Parameters!Q38</f>
        <v>E37-E39</v>
      </c>
      <c r="C39" s="309"/>
      <c r="D39" s="495" t="str">
        <f>Parameters!S38</f>
        <v>Sewerage, waste management, remediation activities</v>
      </c>
      <c r="E39" s="510"/>
      <c r="F39" s="224"/>
      <c r="G39" s="379"/>
      <c r="H39" s="225"/>
      <c r="I39" s="379"/>
      <c r="J39" s="225"/>
      <c r="K39" s="379"/>
      <c r="L39" s="225"/>
      <c r="M39" s="379"/>
      <c r="N39" s="225"/>
      <c r="O39" s="379"/>
      <c r="P39" s="225"/>
      <c r="Q39" s="379"/>
      <c r="R39" s="225"/>
      <c r="S39" s="379"/>
      <c r="T39" s="225"/>
      <c r="U39" s="379"/>
      <c r="V39" s="225"/>
      <c r="W39" s="379"/>
      <c r="X39" s="225"/>
      <c r="Y39" s="379"/>
      <c r="Z39" s="225"/>
      <c r="AA39" s="379"/>
      <c r="AB39" s="225"/>
      <c r="AC39" s="379"/>
      <c r="AD39" s="225"/>
      <c r="AE39" s="379"/>
      <c r="AF39" s="165">
        <v>0</v>
      </c>
      <c r="AG39" s="379"/>
      <c r="AH39" s="165">
        <v>0</v>
      </c>
      <c r="AI39" s="379"/>
      <c r="AJ39" s="165">
        <v>0</v>
      </c>
      <c r="AK39" s="379"/>
      <c r="AL39" s="165">
        <v>0</v>
      </c>
      <c r="AM39" s="379"/>
      <c r="AN39" s="165">
        <v>0</v>
      </c>
      <c r="AO39" s="379"/>
      <c r="AP39" s="165">
        <v>0</v>
      </c>
      <c r="AQ39" s="379"/>
      <c r="AR39" s="165">
        <v>0</v>
      </c>
      <c r="AS39" s="379"/>
      <c r="AT39" s="165">
        <v>0</v>
      </c>
      <c r="AU39" s="379"/>
      <c r="AV39" s="165">
        <v>0</v>
      </c>
      <c r="AW39" s="379"/>
      <c r="AX39" s="165">
        <v>0</v>
      </c>
      <c r="AY39" s="379"/>
      <c r="AZ39" s="165">
        <v>0</v>
      </c>
      <c r="BA39" s="379"/>
      <c r="BB39" s="165">
        <v>0</v>
      </c>
      <c r="BC39" s="379"/>
      <c r="BD39" s="165">
        <v>0</v>
      </c>
      <c r="BE39" s="379"/>
      <c r="BF39" s="165">
        <v>0</v>
      </c>
      <c r="BG39" s="379"/>
      <c r="BH39" s="225"/>
      <c r="BI39" s="184"/>
      <c r="CJ39" s="150"/>
      <c r="CK39" s="150"/>
      <c r="CL39" s="150"/>
      <c r="CM39" s="151" t="s">
        <v>1138</v>
      </c>
      <c r="CN39" s="150" t="s">
        <v>1130</v>
      </c>
      <c r="CO39" s="150"/>
      <c r="CP39" s="150"/>
      <c r="CQ39" s="150"/>
      <c r="CR39" s="150"/>
      <c r="CS39" s="150"/>
      <c r="CT39" s="150"/>
    </row>
    <row r="40" spans="1:98" s="10" customFormat="1" ht="12.75" customHeight="1">
      <c r="A40" s="27"/>
      <c r="B40" s="87" t="str">
        <f>Parameters!Q39</f>
        <v>F</v>
      </c>
      <c r="C40" s="88"/>
      <c r="D40" s="498" t="str">
        <f>Parameters!S39</f>
        <v>Construction</v>
      </c>
      <c r="E40" s="496"/>
      <c r="F40" s="222"/>
      <c r="G40" s="379"/>
      <c r="H40" s="223"/>
      <c r="I40" s="379"/>
      <c r="J40" s="223"/>
      <c r="K40" s="379"/>
      <c r="L40" s="223"/>
      <c r="M40" s="379"/>
      <c r="N40" s="223"/>
      <c r="O40" s="379"/>
      <c r="P40" s="223"/>
      <c r="Q40" s="379"/>
      <c r="R40" s="223"/>
      <c r="S40" s="379"/>
      <c r="T40" s="223"/>
      <c r="U40" s="379"/>
      <c r="V40" s="223"/>
      <c r="W40" s="379"/>
      <c r="X40" s="223"/>
      <c r="Y40" s="379"/>
      <c r="Z40" s="223"/>
      <c r="AA40" s="379"/>
      <c r="AB40" s="223"/>
      <c r="AC40" s="379"/>
      <c r="AD40" s="223"/>
      <c r="AE40" s="379"/>
      <c r="AF40" s="164">
        <v>0</v>
      </c>
      <c r="AG40" s="379"/>
      <c r="AH40" s="164">
        <v>0</v>
      </c>
      <c r="AI40" s="379"/>
      <c r="AJ40" s="164">
        <v>0</v>
      </c>
      <c r="AK40" s="379"/>
      <c r="AL40" s="164">
        <v>0</v>
      </c>
      <c r="AM40" s="379"/>
      <c r="AN40" s="164">
        <v>0</v>
      </c>
      <c r="AO40" s="379"/>
      <c r="AP40" s="164">
        <v>0</v>
      </c>
      <c r="AQ40" s="379"/>
      <c r="AR40" s="164">
        <v>0</v>
      </c>
      <c r="AS40" s="379"/>
      <c r="AT40" s="164">
        <v>0</v>
      </c>
      <c r="AU40" s="379"/>
      <c r="AV40" s="164">
        <v>0</v>
      </c>
      <c r="AW40" s="379"/>
      <c r="AX40" s="164">
        <v>0</v>
      </c>
      <c r="AY40" s="379"/>
      <c r="AZ40" s="164">
        <v>0</v>
      </c>
      <c r="BA40" s="379"/>
      <c r="BB40" s="164">
        <v>0</v>
      </c>
      <c r="BC40" s="379"/>
      <c r="BD40" s="164">
        <v>0</v>
      </c>
      <c r="BE40" s="379"/>
      <c r="BF40" s="164">
        <v>0</v>
      </c>
      <c r="BG40" s="379"/>
      <c r="BH40" s="223"/>
      <c r="BI40" s="184"/>
      <c r="CJ40" s="150"/>
      <c r="CK40" s="150"/>
      <c r="CL40" s="150"/>
      <c r="CM40" s="151" t="s">
        <v>834</v>
      </c>
      <c r="CN40" s="150" t="s">
        <v>1130</v>
      </c>
      <c r="CO40" s="150"/>
      <c r="CP40" s="150"/>
      <c r="CQ40" s="150"/>
      <c r="CR40" s="150"/>
      <c r="CS40" s="150"/>
      <c r="CT40" s="150"/>
    </row>
    <row r="41" spans="1:98" s="10" customFormat="1">
      <c r="A41" s="25"/>
      <c r="B41" s="87" t="str">
        <f>Parameters!Q40</f>
        <v>G</v>
      </c>
      <c r="C41" s="88"/>
      <c r="D41" s="498" t="str">
        <f>Parameters!S40</f>
        <v>Wholesale and retail trade; repair of motor vehicles and motorcycles</v>
      </c>
      <c r="E41" s="499"/>
      <c r="F41" s="222"/>
      <c r="G41" s="379"/>
      <c r="H41" s="223"/>
      <c r="I41" s="379"/>
      <c r="J41" s="223"/>
      <c r="K41" s="379"/>
      <c r="L41" s="223"/>
      <c r="M41" s="379"/>
      <c r="N41" s="223"/>
      <c r="O41" s="379"/>
      <c r="P41" s="223"/>
      <c r="Q41" s="379"/>
      <c r="R41" s="223"/>
      <c r="S41" s="379"/>
      <c r="T41" s="223"/>
      <c r="U41" s="379"/>
      <c r="V41" s="223"/>
      <c r="W41" s="379"/>
      <c r="X41" s="223"/>
      <c r="Y41" s="379"/>
      <c r="Z41" s="223"/>
      <c r="AA41" s="379"/>
      <c r="AB41" s="223"/>
      <c r="AC41" s="379"/>
      <c r="AD41" s="223"/>
      <c r="AE41" s="379"/>
      <c r="AF41" s="164">
        <v>0</v>
      </c>
      <c r="AG41" s="379"/>
      <c r="AH41" s="164">
        <v>0</v>
      </c>
      <c r="AI41" s="379"/>
      <c r="AJ41" s="164">
        <v>5.3058952000000001</v>
      </c>
      <c r="AK41" s="379"/>
      <c r="AL41" s="164">
        <v>6.3157069999999997</v>
      </c>
      <c r="AM41" s="379"/>
      <c r="AN41" s="164">
        <v>6.0897626999999996</v>
      </c>
      <c r="AO41" s="379"/>
      <c r="AP41" s="164">
        <v>2.7117231999999998</v>
      </c>
      <c r="AQ41" s="379"/>
      <c r="AR41" s="164">
        <v>0</v>
      </c>
      <c r="AS41" s="379"/>
      <c r="AT41" s="164">
        <v>0</v>
      </c>
      <c r="AU41" s="379"/>
      <c r="AV41" s="164">
        <v>0</v>
      </c>
      <c r="AW41" s="379"/>
      <c r="AX41" s="164">
        <v>0</v>
      </c>
      <c r="AY41" s="379"/>
      <c r="AZ41" s="164">
        <v>0</v>
      </c>
      <c r="BA41" s="379"/>
      <c r="BB41" s="164">
        <v>0</v>
      </c>
      <c r="BC41" s="379"/>
      <c r="BD41" s="164">
        <v>0</v>
      </c>
      <c r="BE41" s="379"/>
      <c r="BF41" s="164">
        <v>0</v>
      </c>
      <c r="BG41" s="379"/>
      <c r="BH41" s="223"/>
      <c r="BI41" s="184"/>
      <c r="CJ41" s="150"/>
      <c r="CK41" s="150"/>
      <c r="CL41" s="150"/>
      <c r="CM41" s="151" t="s">
        <v>839</v>
      </c>
      <c r="CN41" s="150" t="s">
        <v>1130</v>
      </c>
      <c r="CO41" s="150"/>
      <c r="CP41" s="150"/>
      <c r="CQ41" s="150"/>
      <c r="CR41" s="150"/>
      <c r="CS41" s="150"/>
      <c r="CT41" s="150"/>
    </row>
    <row r="42" spans="1:98" s="10" customFormat="1" ht="12.75" customHeight="1">
      <c r="A42" s="310"/>
      <c r="B42" s="308" t="str">
        <f>Parameters!Q41</f>
        <v>G45</v>
      </c>
      <c r="C42" s="309"/>
      <c r="D42" s="495" t="str">
        <f>Parameters!S41</f>
        <v>Wholesale and retail trade and repair of motor vehicles and motorcycles</v>
      </c>
      <c r="E42" s="496"/>
      <c r="F42" s="224"/>
      <c r="G42" s="379"/>
      <c r="H42" s="225"/>
      <c r="I42" s="379"/>
      <c r="J42" s="225"/>
      <c r="K42" s="379"/>
      <c r="L42" s="225"/>
      <c r="M42" s="379"/>
      <c r="N42" s="225"/>
      <c r="O42" s="379"/>
      <c r="P42" s="225"/>
      <c r="Q42" s="379"/>
      <c r="R42" s="225"/>
      <c r="S42" s="379"/>
      <c r="T42" s="225"/>
      <c r="U42" s="379"/>
      <c r="V42" s="225"/>
      <c r="W42" s="379"/>
      <c r="X42" s="225"/>
      <c r="Y42" s="379"/>
      <c r="Z42" s="225"/>
      <c r="AA42" s="379"/>
      <c r="AB42" s="225"/>
      <c r="AC42" s="379"/>
      <c r="AD42" s="225"/>
      <c r="AE42" s="379"/>
      <c r="AF42" s="165">
        <v>0</v>
      </c>
      <c r="AG42" s="379"/>
      <c r="AH42" s="165">
        <v>0</v>
      </c>
      <c r="AI42" s="379"/>
      <c r="AJ42" s="165">
        <v>0</v>
      </c>
      <c r="AK42" s="379"/>
      <c r="AL42" s="165">
        <v>0</v>
      </c>
      <c r="AM42" s="379"/>
      <c r="AN42" s="165">
        <v>0</v>
      </c>
      <c r="AO42" s="379"/>
      <c r="AP42" s="165">
        <v>0</v>
      </c>
      <c r="AQ42" s="379"/>
      <c r="AR42" s="165">
        <v>0</v>
      </c>
      <c r="AS42" s="379"/>
      <c r="AT42" s="165">
        <v>0</v>
      </c>
      <c r="AU42" s="379"/>
      <c r="AV42" s="165">
        <v>0</v>
      </c>
      <c r="AW42" s="379"/>
      <c r="AX42" s="165">
        <v>0</v>
      </c>
      <c r="AY42" s="379"/>
      <c r="AZ42" s="165">
        <v>0</v>
      </c>
      <c r="BA42" s="379"/>
      <c r="BB42" s="165">
        <v>0</v>
      </c>
      <c r="BC42" s="379"/>
      <c r="BD42" s="165">
        <v>0</v>
      </c>
      <c r="BE42" s="379"/>
      <c r="BF42" s="165">
        <v>0</v>
      </c>
      <c r="BG42" s="379"/>
      <c r="BH42" s="225"/>
      <c r="BI42" s="184"/>
      <c r="CJ42" s="150"/>
      <c r="CK42" s="150"/>
      <c r="CL42" s="150"/>
      <c r="CM42" s="151" t="s">
        <v>844</v>
      </c>
      <c r="CN42" s="150" t="s">
        <v>1130</v>
      </c>
      <c r="CO42" s="150"/>
      <c r="CP42" s="150"/>
      <c r="CQ42" s="150"/>
      <c r="CR42" s="150"/>
      <c r="CS42" s="150"/>
      <c r="CT42" s="150"/>
    </row>
    <row r="43" spans="1:98" s="11" customFormat="1" ht="12.75" customHeight="1">
      <c r="A43" s="310"/>
      <c r="B43" s="308" t="str">
        <f>Parameters!Q42</f>
        <v>G46</v>
      </c>
      <c r="C43" s="309"/>
      <c r="D43" s="495" t="str">
        <f>Parameters!S42</f>
        <v>Wholesale trade, except of motor vehicles and motorcycles</v>
      </c>
      <c r="E43" s="496"/>
      <c r="F43" s="224"/>
      <c r="G43" s="379"/>
      <c r="H43" s="225"/>
      <c r="I43" s="379"/>
      <c r="J43" s="225"/>
      <c r="K43" s="379"/>
      <c r="L43" s="225"/>
      <c r="M43" s="379"/>
      <c r="N43" s="225"/>
      <c r="O43" s="379"/>
      <c r="P43" s="225"/>
      <c r="Q43" s="379"/>
      <c r="R43" s="225"/>
      <c r="S43" s="379"/>
      <c r="T43" s="225"/>
      <c r="U43" s="379"/>
      <c r="V43" s="225"/>
      <c r="W43" s="379"/>
      <c r="X43" s="225"/>
      <c r="Y43" s="379"/>
      <c r="Z43" s="225"/>
      <c r="AA43" s="379"/>
      <c r="AB43" s="225"/>
      <c r="AC43" s="379"/>
      <c r="AD43" s="225"/>
      <c r="AE43" s="379"/>
      <c r="AF43" s="165">
        <v>0</v>
      </c>
      <c r="AG43" s="379"/>
      <c r="AH43" s="165">
        <v>0</v>
      </c>
      <c r="AI43" s="379"/>
      <c r="AJ43" s="165">
        <v>0</v>
      </c>
      <c r="AK43" s="379"/>
      <c r="AL43" s="165">
        <v>0</v>
      </c>
      <c r="AM43" s="379"/>
      <c r="AN43" s="165">
        <v>0</v>
      </c>
      <c r="AO43" s="379"/>
      <c r="AP43" s="165">
        <v>0</v>
      </c>
      <c r="AQ43" s="379"/>
      <c r="AR43" s="165">
        <v>0</v>
      </c>
      <c r="AS43" s="379"/>
      <c r="AT43" s="165">
        <v>0</v>
      </c>
      <c r="AU43" s="379"/>
      <c r="AV43" s="165">
        <v>0</v>
      </c>
      <c r="AW43" s="379"/>
      <c r="AX43" s="165">
        <v>0</v>
      </c>
      <c r="AY43" s="379"/>
      <c r="AZ43" s="165">
        <v>0</v>
      </c>
      <c r="BA43" s="379"/>
      <c r="BB43" s="165">
        <v>0</v>
      </c>
      <c r="BC43" s="379"/>
      <c r="BD43" s="165">
        <v>0</v>
      </c>
      <c r="BE43" s="379"/>
      <c r="BF43" s="165">
        <v>0</v>
      </c>
      <c r="BG43" s="379"/>
      <c r="BH43" s="225"/>
      <c r="BI43" s="184"/>
      <c r="CJ43" s="150"/>
      <c r="CK43" s="150"/>
      <c r="CL43" s="150"/>
      <c r="CM43" s="151" t="s">
        <v>848</v>
      </c>
      <c r="CN43" s="150" t="s">
        <v>1130</v>
      </c>
      <c r="CO43" s="150"/>
      <c r="CP43" s="150"/>
      <c r="CQ43" s="150"/>
      <c r="CR43" s="150"/>
      <c r="CS43" s="150"/>
      <c r="CT43" s="150"/>
    </row>
    <row r="44" spans="1:98" s="11" customFormat="1" ht="12.75" customHeight="1">
      <c r="A44" s="310"/>
      <c r="B44" s="308" t="str">
        <f>Parameters!Q43</f>
        <v>G47</v>
      </c>
      <c r="C44" s="309"/>
      <c r="D44" s="495" t="str">
        <f>Parameters!S43</f>
        <v>Retail trade, except of motor vehicles and motorcycles</v>
      </c>
      <c r="E44" s="496"/>
      <c r="F44" s="224"/>
      <c r="G44" s="379"/>
      <c r="H44" s="225"/>
      <c r="I44" s="379"/>
      <c r="J44" s="225"/>
      <c r="K44" s="379"/>
      <c r="L44" s="225"/>
      <c r="M44" s="379"/>
      <c r="N44" s="225"/>
      <c r="O44" s="379"/>
      <c r="P44" s="225"/>
      <c r="Q44" s="379"/>
      <c r="R44" s="225"/>
      <c r="S44" s="379"/>
      <c r="T44" s="225"/>
      <c r="U44" s="379"/>
      <c r="V44" s="225"/>
      <c r="W44" s="379"/>
      <c r="X44" s="225"/>
      <c r="Y44" s="379"/>
      <c r="Z44" s="225"/>
      <c r="AA44" s="379"/>
      <c r="AB44" s="225"/>
      <c r="AC44" s="379"/>
      <c r="AD44" s="225"/>
      <c r="AE44" s="379"/>
      <c r="AF44" s="165">
        <v>0</v>
      </c>
      <c r="AG44" s="379"/>
      <c r="AH44" s="165">
        <v>0</v>
      </c>
      <c r="AI44" s="379"/>
      <c r="AJ44" s="165">
        <v>5.3058952000000001</v>
      </c>
      <c r="AK44" s="379"/>
      <c r="AL44" s="165">
        <v>6.3157069999999997</v>
      </c>
      <c r="AM44" s="379"/>
      <c r="AN44" s="165">
        <v>6.0897626999999996</v>
      </c>
      <c r="AO44" s="379"/>
      <c r="AP44" s="165">
        <v>2.7117231999999998</v>
      </c>
      <c r="AQ44" s="379"/>
      <c r="AR44" s="165">
        <v>0</v>
      </c>
      <c r="AS44" s="379"/>
      <c r="AT44" s="165">
        <v>0</v>
      </c>
      <c r="AU44" s="379"/>
      <c r="AV44" s="165">
        <v>0</v>
      </c>
      <c r="AW44" s="379"/>
      <c r="AX44" s="165">
        <v>0</v>
      </c>
      <c r="AY44" s="379"/>
      <c r="AZ44" s="165">
        <v>0</v>
      </c>
      <c r="BA44" s="379"/>
      <c r="BB44" s="165">
        <v>0</v>
      </c>
      <c r="BC44" s="379"/>
      <c r="BD44" s="165">
        <v>0</v>
      </c>
      <c r="BE44" s="379"/>
      <c r="BF44" s="165">
        <v>0</v>
      </c>
      <c r="BG44" s="379"/>
      <c r="BH44" s="225"/>
      <c r="BI44" s="184"/>
      <c r="CJ44" s="150"/>
      <c r="CK44" s="150"/>
      <c r="CL44" s="150"/>
      <c r="CM44" s="151" t="s">
        <v>854</v>
      </c>
      <c r="CN44" s="150" t="s">
        <v>1130</v>
      </c>
      <c r="CO44" s="150"/>
      <c r="CP44" s="150"/>
      <c r="CQ44" s="150"/>
      <c r="CR44" s="150"/>
      <c r="CS44" s="150"/>
      <c r="CT44" s="150"/>
    </row>
    <row r="45" spans="1:98" s="11" customFormat="1" ht="12.75" customHeight="1">
      <c r="A45" s="25"/>
      <c r="B45" s="87" t="str">
        <f>Parameters!Q44</f>
        <v>H</v>
      </c>
      <c r="C45" s="88"/>
      <c r="D45" s="498" t="str">
        <f>Parameters!S44</f>
        <v>Transportation and storage</v>
      </c>
      <c r="E45" s="499"/>
      <c r="F45" s="222"/>
      <c r="G45" s="379"/>
      <c r="H45" s="223"/>
      <c r="I45" s="379"/>
      <c r="J45" s="223"/>
      <c r="K45" s="379"/>
      <c r="L45" s="223"/>
      <c r="M45" s="379"/>
      <c r="N45" s="223"/>
      <c r="O45" s="379"/>
      <c r="P45" s="223"/>
      <c r="Q45" s="379"/>
      <c r="R45" s="223"/>
      <c r="S45" s="379"/>
      <c r="T45" s="223"/>
      <c r="U45" s="379"/>
      <c r="V45" s="223"/>
      <c r="W45" s="379"/>
      <c r="X45" s="223"/>
      <c r="Y45" s="379"/>
      <c r="Z45" s="223"/>
      <c r="AA45" s="379"/>
      <c r="AB45" s="223"/>
      <c r="AC45" s="379"/>
      <c r="AD45" s="223"/>
      <c r="AE45" s="379"/>
      <c r="AF45" s="164">
        <v>0</v>
      </c>
      <c r="AG45" s="379"/>
      <c r="AH45" s="164">
        <v>0</v>
      </c>
      <c r="AI45" s="379"/>
      <c r="AJ45" s="164">
        <v>0</v>
      </c>
      <c r="AK45" s="379"/>
      <c r="AL45" s="164">
        <v>0</v>
      </c>
      <c r="AM45" s="379"/>
      <c r="AN45" s="164">
        <v>0</v>
      </c>
      <c r="AO45" s="379"/>
      <c r="AP45" s="164">
        <v>0</v>
      </c>
      <c r="AQ45" s="379"/>
      <c r="AR45" s="164">
        <v>0</v>
      </c>
      <c r="AS45" s="379"/>
      <c r="AT45" s="164">
        <v>0</v>
      </c>
      <c r="AU45" s="379"/>
      <c r="AV45" s="164">
        <v>0</v>
      </c>
      <c r="AW45" s="379"/>
      <c r="AX45" s="164">
        <v>0</v>
      </c>
      <c r="AY45" s="379"/>
      <c r="AZ45" s="164">
        <v>0</v>
      </c>
      <c r="BA45" s="379"/>
      <c r="BB45" s="164">
        <v>0</v>
      </c>
      <c r="BC45" s="379"/>
      <c r="BD45" s="164">
        <v>0</v>
      </c>
      <c r="BE45" s="379"/>
      <c r="BF45" s="164">
        <v>0</v>
      </c>
      <c r="BG45" s="379"/>
      <c r="BH45" s="223"/>
      <c r="BI45" s="184"/>
      <c r="CJ45" s="150"/>
      <c r="CK45" s="150"/>
      <c r="CL45" s="150"/>
      <c r="CM45" s="151" t="s">
        <v>862</v>
      </c>
      <c r="CN45" s="150" t="s">
        <v>1130</v>
      </c>
      <c r="CO45" s="150"/>
      <c r="CP45" s="150"/>
      <c r="CQ45" s="150"/>
      <c r="CR45" s="150"/>
      <c r="CS45" s="150"/>
      <c r="CT45" s="150"/>
    </row>
    <row r="46" spans="1:98" s="10" customFormat="1" ht="12.75" customHeight="1">
      <c r="A46" s="310"/>
      <c r="B46" s="308" t="str">
        <f>Parameters!Q45</f>
        <v>H49</v>
      </c>
      <c r="C46" s="309"/>
      <c r="D46" s="495" t="str">
        <f>Parameters!S45</f>
        <v>Land transport and transport via pipelines</v>
      </c>
      <c r="E46" s="496"/>
      <c r="F46" s="224"/>
      <c r="G46" s="379"/>
      <c r="H46" s="225"/>
      <c r="I46" s="379"/>
      <c r="J46" s="225"/>
      <c r="K46" s="379"/>
      <c r="L46" s="225"/>
      <c r="M46" s="379"/>
      <c r="N46" s="225"/>
      <c r="O46" s="379"/>
      <c r="P46" s="225"/>
      <c r="Q46" s="379"/>
      <c r="R46" s="225"/>
      <c r="S46" s="379"/>
      <c r="T46" s="225"/>
      <c r="U46" s="379"/>
      <c r="V46" s="225"/>
      <c r="W46" s="379"/>
      <c r="X46" s="225"/>
      <c r="Y46" s="379"/>
      <c r="Z46" s="225"/>
      <c r="AA46" s="379"/>
      <c r="AB46" s="225"/>
      <c r="AC46" s="379"/>
      <c r="AD46" s="225"/>
      <c r="AE46" s="379"/>
      <c r="AF46" s="165">
        <v>0</v>
      </c>
      <c r="AG46" s="379"/>
      <c r="AH46" s="165">
        <v>0</v>
      </c>
      <c r="AI46" s="379"/>
      <c r="AJ46" s="165">
        <v>0</v>
      </c>
      <c r="AK46" s="379"/>
      <c r="AL46" s="165">
        <v>0</v>
      </c>
      <c r="AM46" s="379"/>
      <c r="AN46" s="165">
        <v>0</v>
      </c>
      <c r="AO46" s="379"/>
      <c r="AP46" s="165">
        <v>0</v>
      </c>
      <c r="AQ46" s="379"/>
      <c r="AR46" s="165">
        <v>0</v>
      </c>
      <c r="AS46" s="379"/>
      <c r="AT46" s="165">
        <v>0</v>
      </c>
      <c r="AU46" s="379"/>
      <c r="AV46" s="165">
        <v>0</v>
      </c>
      <c r="AW46" s="379"/>
      <c r="AX46" s="165">
        <v>0</v>
      </c>
      <c r="AY46" s="379"/>
      <c r="AZ46" s="165">
        <v>0</v>
      </c>
      <c r="BA46" s="379"/>
      <c r="BB46" s="165">
        <v>0</v>
      </c>
      <c r="BC46" s="379"/>
      <c r="BD46" s="165">
        <v>0</v>
      </c>
      <c r="BE46" s="379"/>
      <c r="BF46" s="165">
        <v>0</v>
      </c>
      <c r="BG46" s="379"/>
      <c r="BH46" s="225"/>
      <c r="BI46" s="184"/>
      <c r="CJ46" s="150"/>
      <c r="CK46" s="150"/>
      <c r="CL46" s="150"/>
      <c r="CM46" s="151" t="s">
        <v>869</v>
      </c>
      <c r="CN46" s="150" t="s">
        <v>1130</v>
      </c>
      <c r="CO46" s="150"/>
      <c r="CP46" s="150"/>
      <c r="CQ46" s="150"/>
      <c r="CR46" s="150"/>
      <c r="CS46" s="150"/>
      <c r="CT46" s="150"/>
    </row>
    <row r="47" spans="1:98" s="10" customFormat="1" ht="12.75" customHeight="1">
      <c r="A47" s="310"/>
      <c r="B47" s="308" t="str">
        <f>Parameters!Q46</f>
        <v>H50</v>
      </c>
      <c r="C47" s="309"/>
      <c r="D47" s="495" t="str">
        <f>Parameters!S46</f>
        <v>Water transport</v>
      </c>
      <c r="E47" s="497"/>
      <c r="F47" s="224"/>
      <c r="G47" s="379"/>
      <c r="H47" s="225"/>
      <c r="I47" s="379"/>
      <c r="J47" s="225"/>
      <c r="K47" s="379"/>
      <c r="L47" s="225"/>
      <c r="M47" s="379"/>
      <c r="N47" s="225"/>
      <c r="O47" s="379"/>
      <c r="P47" s="225"/>
      <c r="Q47" s="379"/>
      <c r="R47" s="225"/>
      <c r="S47" s="379"/>
      <c r="T47" s="225"/>
      <c r="U47" s="379"/>
      <c r="V47" s="225"/>
      <c r="W47" s="379"/>
      <c r="X47" s="225"/>
      <c r="Y47" s="379"/>
      <c r="Z47" s="225"/>
      <c r="AA47" s="379"/>
      <c r="AB47" s="225"/>
      <c r="AC47" s="379"/>
      <c r="AD47" s="225"/>
      <c r="AE47" s="379"/>
      <c r="AF47" s="165">
        <v>0</v>
      </c>
      <c r="AG47" s="379"/>
      <c r="AH47" s="165">
        <v>0</v>
      </c>
      <c r="AI47" s="379"/>
      <c r="AJ47" s="165">
        <v>0</v>
      </c>
      <c r="AK47" s="379"/>
      <c r="AL47" s="165">
        <v>0</v>
      </c>
      <c r="AM47" s="379"/>
      <c r="AN47" s="165">
        <v>0</v>
      </c>
      <c r="AO47" s="379"/>
      <c r="AP47" s="165">
        <v>0</v>
      </c>
      <c r="AQ47" s="379"/>
      <c r="AR47" s="165">
        <v>0</v>
      </c>
      <c r="AS47" s="379"/>
      <c r="AT47" s="165">
        <v>0</v>
      </c>
      <c r="AU47" s="379"/>
      <c r="AV47" s="165">
        <v>0</v>
      </c>
      <c r="AW47" s="379"/>
      <c r="AX47" s="165">
        <v>0</v>
      </c>
      <c r="AY47" s="379"/>
      <c r="AZ47" s="165">
        <v>0</v>
      </c>
      <c r="BA47" s="379"/>
      <c r="BB47" s="165">
        <v>0</v>
      </c>
      <c r="BC47" s="379"/>
      <c r="BD47" s="165">
        <v>0</v>
      </c>
      <c r="BE47" s="379"/>
      <c r="BF47" s="165">
        <v>0</v>
      </c>
      <c r="BG47" s="379"/>
      <c r="BH47" s="225"/>
      <c r="BI47" s="184"/>
      <c r="CJ47" s="150"/>
      <c r="CK47" s="150"/>
      <c r="CL47" s="150"/>
      <c r="CM47" s="151" t="s">
        <v>877</v>
      </c>
      <c r="CN47" s="150" t="s">
        <v>1130</v>
      </c>
      <c r="CO47" s="150"/>
      <c r="CP47" s="150"/>
      <c r="CQ47" s="150"/>
      <c r="CR47" s="150"/>
      <c r="CS47" s="150"/>
      <c r="CT47" s="150"/>
    </row>
    <row r="48" spans="1:98" s="11" customFormat="1" ht="12.75" customHeight="1">
      <c r="A48" s="310"/>
      <c r="B48" s="308" t="str">
        <f>Parameters!Q47</f>
        <v>H51</v>
      </c>
      <c r="C48" s="309"/>
      <c r="D48" s="495" t="str">
        <f>Parameters!S47</f>
        <v>Air transport</v>
      </c>
      <c r="E48" s="510"/>
      <c r="F48" s="224"/>
      <c r="G48" s="379"/>
      <c r="H48" s="225"/>
      <c r="I48" s="379"/>
      <c r="J48" s="225"/>
      <c r="K48" s="379"/>
      <c r="L48" s="225"/>
      <c r="M48" s="379"/>
      <c r="N48" s="225"/>
      <c r="O48" s="379"/>
      <c r="P48" s="225"/>
      <c r="Q48" s="379"/>
      <c r="R48" s="225"/>
      <c r="S48" s="379"/>
      <c r="T48" s="225"/>
      <c r="U48" s="379"/>
      <c r="V48" s="225"/>
      <c r="W48" s="379"/>
      <c r="X48" s="225"/>
      <c r="Y48" s="379"/>
      <c r="Z48" s="225"/>
      <c r="AA48" s="379"/>
      <c r="AB48" s="225"/>
      <c r="AC48" s="379"/>
      <c r="AD48" s="225"/>
      <c r="AE48" s="379"/>
      <c r="AF48" s="165">
        <v>0</v>
      </c>
      <c r="AG48" s="379"/>
      <c r="AH48" s="165">
        <v>0</v>
      </c>
      <c r="AI48" s="379"/>
      <c r="AJ48" s="165">
        <v>0</v>
      </c>
      <c r="AK48" s="379"/>
      <c r="AL48" s="165">
        <v>0</v>
      </c>
      <c r="AM48" s="379"/>
      <c r="AN48" s="165">
        <v>0</v>
      </c>
      <c r="AO48" s="379"/>
      <c r="AP48" s="165">
        <v>0</v>
      </c>
      <c r="AQ48" s="379"/>
      <c r="AR48" s="165">
        <v>0</v>
      </c>
      <c r="AS48" s="379"/>
      <c r="AT48" s="165">
        <v>0</v>
      </c>
      <c r="AU48" s="379"/>
      <c r="AV48" s="165">
        <v>0</v>
      </c>
      <c r="AW48" s="379"/>
      <c r="AX48" s="165">
        <v>0</v>
      </c>
      <c r="AY48" s="379"/>
      <c r="AZ48" s="165">
        <v>0</v>
      </c>
      <c r="BA48" s="379"/>
      <c r="BB48" s="165">
        <v>0</v>
      </c>
      <c r="BC48" s="379"/>
      <c r="BD48" s="165">
        <v>0</v>
      </c>
      <c r="BE48" s="379"/>
      <c r="BF48" s="165">
        <v>0</v>
      </c>
      <c r="BG48" s="379"/>
      <c r="BH48" s="225"/>
      <c r="BI48" s="184"/>
      <c r="CJ48" s="150"/>
      <c r="CK48" s="150"/>
      <c r="CL48" s="150"/>
      <c r="CM48" s="151" t="s">
        <v>884</v>
      </c>
      <c r="CN48" s="150" t="s">
        <v>1130</v>
      </c>
      <c r="CO48" s="150"/>
      <c r="CP48" s="150"/>
      <c r="CQ48" s="150"/>
      <c r="CR48" s="150"/>
      <c r="CS48" s="150"/>
      <c r="CT48" s="150"/>
    </row>
    <row r="49" spans="1:98" s="11" customFormat="1" ht="12.75" customHeight="1">
      <c r="A49" s="310"/>
      <c r="B49" s="308" t="str">
        <f>Parameters!Q48</f>
        <v>H52</v>
      </c>
      <c r="C49" s="309"/>
      <c r="D49" s="495" t="str">
        <f>Parameters!S48</f>
        <v>Warehousing and support activities for transportation</v>
      </c>
      <c r="E49" s="510"/>
      <c r="F49" s="224"/>
      <c r="G49" s="379"/>
      <c r="H49" s="225"/>
      <c r="I49" s="379"/>
      <c r="J49" s="225"/>
      <c r="K49" s="379"/>
      <c r="L49" s="225"/>
      <c r="M49" s="379"/>
      <c r="N49" s="225"/>
      <c r="O49" s="379"/>
      <c r="P49" s="225"/>
      <c r="Q49" s="379"/>
      <c r="R49" s="225"/>
      <c r="S49" s="379"/>
      <c r="T49" s="225"/>
      <c r="U49" s="379"/>
      <c r="V49" s="225"/>
      <c r="W49" s="379"/>
      <c r="X49" s="225"/>
      <c r="Y49" s="379"/>
      <c r="Z49" s="225"/>
      <c r="AA49" s="379"/>
      <c r="AB49" s="225"/>
      <c r="AC49" s="379"/>
      <c r="AD49" s="225"/>
      <c r="AE49" s="379"/>
      <c r="AF49" s="165">
        <v>0</v>
      </c>
      <c r="AG49" s="379"/>
      <c r="AH49" s="165">
        <v>0</v>
      </c>
      <c r="AI49" s="379"/>
      <c r="AJ49" s="165">
        <v>0</v>
      </c>
      <c r="AK49" s="379"/>
      <c r="AL49" s="165">
        <v>0</v>
      </c>
      <c r="AM49" s="379"/>
      <c r="AN49" s="165">
        <v>0</v>
      </c>
      <c r="AO49" s="379"/>
      <c r="AP49" s="165">
        <v>0</v>
      </c>
      <c r="AQ49" s="379"/>
      <c r="AR49" s="165">
        <v>0</v>
      </c>
      <c r="AS49" s="379"/>
      <c r="AT49" s="165">
        <v>0</v>
      </c>
      <c r="AU49" s="379"/>
      <c r="AV49" s="165">
        <v>0</v>
      </c>
      <c r="AW49" s="379"/>
      <c r="AX49" s="165">
        <v>0</v>
      </c>
      <c r="AY49" s="379"/>
      <c r="AZ49" s="165">
        <v>0</v>
      </c>
      <c r="BA49" s="379"/>
      <c r="BB49" s="165">
        <v>0</v>
      </c>
      <c r="BC49" s="379"/>
      <c r="BD49" s="165">
        <v>0</v>
      </c>
      <c r="BE49" s="379"/>
      <c r="BF49" s="165">
        <v>0</v>
      </c>
      <c r="BG49" s="379"/>
      <c r="BH49" s="225"/>
      <c r="BI49" s="184"/>
      <c r="CJ49" s="150"/>
      <c r="CK49" s="150"/>
      <c r="CL49" s="150"/>
      <c r="CM49" s="151" t="s">
        <v>891</v>
      </c>
      <c r="CN49" s="150" t="s">
        <v>1130</v>
      </c>
      <c r="CO49" s="150"/>
      <c r="CP49" s="150"/>
      <c r="CQ49" s="150"/>
      <c r="CR49" s="150"/>
      <c r="CS49" s="150"/>
      <c r="CT49" s="150"/>
    </row>
    <row r="50" spans="1:98" s="11" customFormat="1" ht="12.75" customHeight="1">
      <c r="A50" s="310"/>
      <c r="B50" s="308" t="str">
        <f>Parameters!Q49</f>
        <v>H53</v>
      </c>
      <c r="C50" s="309"/>
      <c r="D50" s="495" t="str">
        <f>Parameters!S49</f>
        <v>Postal and courier activities</v>
      </c>
      <c r="E50" s="510"/>
      <c r="F50" s="224"/>
      <c r="G50" s="379"/>
      <c r="H50" s="225"/>
      <c r="I50" s="379"/>
      <c r="J50" s="225"/>
      <c r="K50" s="379"/>
      <c r="L50" s="225"/>
      <c r="M50" s="379"/>
      <c r="N50" s="225"/>
      <c r="O50" s="379"/>
      <c r="P50" s="225"/>
      <c r="Q50" s="379"/>
      <c r="R50" s="225"/>
      <c r="S50" s="379"/>
      <c r="T50" s="225"/>
      <c r="U50" s="379"/>
      <c r="V50" s="225"/>
      <c r="W50" s="379"/>
      <c r="X50" s="225"/>
      <c r="Y50" s="379"/>
      <c r="Z50" s="225"/>
      <c r="AA50" s="379"/>
      <c r="AB50" s="225"/>
      <c r="AC50" s="379"/>
      <c r="AD50" s="225"/>
      <c r="AE50" s="379"/>
      <c r="AF50" s="165">
        <v>0</v>
      </c>
      <c r="AG50" s="379" t="s">
        <v>420</v>
      </c>
      <c r="AH50" s="165">
        <v>0</v>
      </c>
      <c r="AI50" s="379" t="s">
        <v>420</v>
      </c>
      <c r="AJ50" s="165">
        <v>0</v>
      </c>
      <c r="AK50" s="379" t="s">
        <v>420</v>
      </c>
      <c r="AL50" s="165">
        <v>0</v>
      </c>
      <c r="AM50" s="379" t="s">
        <v>420</v>
      </c>
      <c r="AN50" s="165">
        <v>0</v>
      </c>
      <c r="AO50" s="379" t="s">
        <v>420</v>
      </c>
      <c r="AP50" s="165">
        <v>0</v>
      </c>
      <c r="AQ50" s="379" t="s">
        <v>420</v>
      </c>
      <c r="AR50" s="165">
        <v>0</v>
      </c>
      <c r="AS50" s="379" t="s">
        <v>420</v>
      </c>
      <c r="AT50" s="165">
        <v>0</v>
      </c>
      <c r="AU50" s="379" t="s">
        <v>420</v>
      </c>
      <c r="AV50" s="165">
        <v>0</v>
      </c>
      <c r="AW50" s="379" t="s">
        <v>420</v>
      </c>
      <c r="AX50" s="165">
        <v>0</v>
      </c>
      <c r="AY50" s="379" t="s">
        <v>420</v>
      </c>
      <c r="AZ50" s="165">
        <v>0</v>
      </c>
      <c r="BA50" s="379" t="s">
        <v>420</v>
      </c>
      <c r="BB50" s="165">
        <v>0</v>
      </c>
      <c r="BC50" s="379" t="s">
        <v>420</v>
      </c>
      <c r="BD50" s="165">
        <v>0</v>
      </c>
      <c r="BE50" s="379" t="s">
        <v>420</v>
      </c>
      <c r="BF50" s="165">
        <v>0</v>
      </c>
      <c r="BG50" s="379" t="s">
        <v>420</v>
      </c>
      <c r="BH50" s="225"/>
      <c r="BI50" s="184"/>
      <c r="CJ50" s="150"/>
      <c r="CK50" s="150"/>
      <c r="CL50" s="150"/>
      <c r="CM50" s="151" t="s">
        <v>897</v>
      </c>
      <c r="CN50" s="150" t="s">
        <v>1130</v>
      </c>
      <c r="CO50" s="150"/>
      <c r="CP50" s="150"/>
      <c r="CQ50" s="150"/>
      <c r="CR50" s="150"/>
      <c r="CS50" s="150"/>
      <c r="CT50" s="150"/>
    </row>
    <row r="51" spans="1:98" s="10" customFormat="1" ht="12.75" customHeight="1">
      <c r="A51" s="25"/>
      <c r="B51" s="87" t="str">
        <f>Parameters!Q50</f>
        <v>I</v>
      </c>
      <c r="C51" s="88"/>
      <c r="D51" s="498" t="str">
        <f>Parameters!S50</f>
        <v>Accommodation and food service activities</v>
      </c>
      <c r="E51" s="496"/>
      <c r="F51" s="222"/>
      <c r="G51" s="379"/>
      <c r="H51" s="223"/>
      <c r="I51" s="379"/>
      <c r="J51" s="223"/>
      <c r="K51" s="379"/>
      <c r="L51" s="223"/>
      <c r="M51" s="379"/>
      <c r="N51" s="223"/>
      <c r="O51" s="379"/>
      <c r="P51" s="223"/>
      <c r="Q51" s="379"/>
      <c r="R51" s="223"/>
      <c r="S51" s="379"/>
      <c r="T51" s="223"/>
      <c r="U51" s="379"/>
      <c r="V51" s="223"/>
      <c r="W51" s="379"/>
      <c r="X51" s="223"/>
      <c r="Y51" s="379"/>
      <c r="Z51" s="223"/>
      <c r="AA51" s="379"/>
      <c r="AB51" s="223"/>
      <c r="AC51" s="379"/>
      <c r="AD51" s="223"/>
      <c r="AE51" s="379"/>
      <c r="AF51" s="164">
        <v>0</v>
      </c>
      <c r="AG51" s="379"/>
      <c r="AH51" s="164">
        <v>0</v>
      </c>
      <c r="AI51" s="379"/>
      <c r="AJ51" s="164">
        <v>8.2667116000000007</v>
      </c>
      <c r="AK51" s="379"/>
      <c r="AL51" s="164">
        <v>9.8400180000000006</v>
      </c>
      <c r="AM51" s="379"/>
      <c r="AN51" s="164">
        <v>9.4879873999999997</v>
      </c>
      <c r="AO51" s="379"/>
      <c r="AP51" s="164">
        <v>4.2249279</v>
      </c>
      <c r="AQ51" s="379"/>
      <c r="AR51" s="164">
        <v>0</v>
      </c>
      <c r="AS51" s="379"/>
      <c r="AT51" s="164">
        <v>0</v>
      </c>
      <c r="AU51" s="379"/>
      <c r="AV51" s="164">
        <v>0</v>
      </c>
      <c r="AW51" s="379"/>
      <c r="AX51" s="164">
        <v>0</v>
      </c>
      <c r="AY51" s="379"/>
      <c r="AZ51" s="164">
        <v>0</v>
      </c>
      <c r="BA51" s="379"/>
      <c r="BB51" s="164">
        <v>0</v>
      </c>
      <c r="BC51" s="379"/>
      <c r="BD51" s="164">
        <v>0</v>
      </c>
      <c r="BE51" s="379"/>
      <c r="BF51" s="164">
        <v>0</v>
      </c>
      <c r="BG51" s="379"/>
      <c r="BH51" s="223"/>
      <c r="BI51" s="184"/>
      <c r="CJ51" s="150"/>
      <c r="CK51" s="150"/>
      <c r="CL51" s="150"/>
      <c r="CM51" s="151" t="s">
        <v>904</v>
      </c>
      <c r="CN51" s="150" t="s">
        <v>1130</v>
      </c>
      <c r="CO51" s="150"/>
      <c r="CP51" s="150"/>
      <c r="CQ51" s="150"/>
      <c r="CR51" s="150"/>
      <c r="CS51" s="150"/>
      <c r="CT51" s="150"/>
    </row>
    <row r="52" spans="1:98" s="10" customFormat="1" ht="12.75" customHeight="1">
      <c r="A52" s="25"/>
      <c r="B52" s="87" t="str">
        <f>Parameters!Q51</f>
        <v>J</v>
      </c>
      <c r="C52" s="88"/>
      <c r="D52" s="498" t="str">
        <f>Parameters!S51</f>
        <v>Information and communication</v>
      </c>
      <c r="E52" s="499"/>
      <c r="F52" s="222"/>
      <c r="G52" s="379"/>
      <c r="H52" s="223"/>
      <c r="I52" s="379"/>
      <c r="J52" s="223"/>
      <c r="K52" s="379"/>
      <c r="L52" s="223"/>
      <c r="M52" s="379"/>
      <c r="N52" s="223"/>
      <c r="O52" s="379"/>
      <c r="P52" s="223"/>
      <c r="Q52" s="379"/>
      <c r="R52" s="223"/>
      <c r="S52" s="379"/>
      <c r="T52" s="223"/>
      <c r="U52" s="379"/>
      <c r="V52" s="223"/>
      <c r="W52" s="379"/>
      <c r="X52" s="223"/>
      <c r="Y52" s="379"/>
      <c r="Z52" s="223"/>
      <c r="AA52" s="379"/>
      <c r="AB52" s="223"/>
      <c r="AC52" s="379"/>
      <c r="AD52" s="223"/>
      <c r="AE52" s="379"/>
      <c r="AF52" s="164">
        <v>0</v>
      </c>
      <c r="AG52" s="379"/>
      <c r="AH52" s="164">
        <v>0</v>
      </c>
      <c r="AI52" s="379"/>
      <c r="AJ52" s="164">
        <v>0</v>
      </c>
      <c r="AK52" s="379"/>
      <c r="AL52" s="164">
        <v>0</v>
      </c>
      <c r="AM52" s="379"/>
      <c r="AN52" s="164">
        <v>0</v>
      </c>
      <c r="AO52" s="379"/>
      <c r="AP52" s="164">
        <v>0</v>
      </c>
      <c r="AQ52" s="379"/>
      <c r="AR52" s="164">
        <v>0</v>
      </c>
      <c r="AS52" s="379"/>
      <c r="AT52" s="164">
        <v>0</v>
      </c>
      <c r="AU52" s="379"/>
      <c r="AV52" s="164">
        <v>0</v>
      </c>
      <c r="AW52" s="379"/>
      <c r="AX52" s="164">
        <v>0</v>
      </c>
      <c r="AY52" s="379"/>
      <c r="AZ52" s="164">
        <v>0</v>
      </c>
      <c r="BA52" s="379"/>
      <c r="BB52" s="164">
        <v>0</v>
      </c>
      <c r="BC52" s="379"/>
      <c r="BD52" s="164">
        <v>0</v>
      </c>
      <c r="BE52" s="379"/>
      <c r="BF52" s="164">
        <v>0</v>
      </c>
      <c r="BG52" s="379"/>
      <c r="BH52" s="223"/>
      <c r="BI52" s="184"/>
      <c r="CJ52" s="150"/>
      <c r="CK52" s="150"/>
      <c r="CL52" s="150"/>
      <c r="CM52" s="153" t="s">
        <v>910</v>
      </c>
      <c r="CN52" s="150" t="s">
        <v>1130</v>
      </c>
      <c r="CO52" s="150"/>
      <c r="CP52" s="150"/>
      <c r="CQ52" s="150"/>
      <c r="CR52" s="150"/>
      <c r="CS52" s="150"/>
      <c r="CT52" s="150"/>
    </row>
    <row r="53" spans="1:98" s="10" customFormat="1" ht="27" customHeight="1">
      <c r="A53" s="26"/>
      <c r="B53" s="89" t="str">
        <f>Parameters!Q52</f>
        <v>J58-J60</v>
      </c>
      <c r="C53" s="90"/>
      <c r="D53" s="504" t="str">
        <f>Parameters!S52</f>
        <v>Publishing, motion picture, video, television programme production; sound recording, programming and broadcasting activities</v>
      </c>
      <c r="E53" s="506"/>
      <c r="F53" s="252"/>
      <c r="G53" s="380"/>
      <c r="H53" s="253"/>
      <c r="I53" s="380"/>
      <c r="J53" s="253"/>
      <c r="K53" s="380"/>
      <c r="L53" s="253"/>
      <c r="M53" s="380"/>
      <c r="N53" s="253"/>
      <c r="O53" s="380"/>
      <c r="P53" s="253"/>
      <c r="Q53" s="380"/>
      <c r="R53" s="253"/>
      <c r="S53" s="380"/>
      <c r="T53" s="253"/>
      <c r="U53" s="380"/>
      <c r="V53" s="253"/>
      <c r="W53" s="380"/>
      <c r="X53" s="253"/>
      <c r="Y53" s="380"/>
      <c r="Z53" s="253"/>
      <c r="AA53" s="380"/>
      <c r="AB53" s="253"/>
      <c r="AC53" s="380"/>
      <c r="AD53" s="253"/>
      <c r="AE53" s="380"/>
      <c r="AF53" s="253">
        <v>0</v>
      </c>
      <c r="AG53" s="380"/>
      <c r="AH53" s="253">
        <v>0</v>
      </c>
      <c r="AI53" s="380"/>
      <c r="AJ53" s="253">
        <v>0</v>
      </c>
      <c r="AK53" s="380"/>
      <c r="AL53" s="253">
        <v>0</v>
      </c>
      <c r="AM53" s="380"/>
      <c r="AN53" s="253">
        <v>0</v>
      </c>
      <c r="AO53" s="380"/>
      <c r="AP53" s="253">
        <v>0</v>
      </c>
      <c r="AQ53" s="380"/>
      <c r="AR53" s="253">
        <v>0</v>
      </c>
      <c r="AS53" s="380"/>
      <c r="AT53" s="253">
        <v>0</v>
      </c>
      <c r="AU53" s="380"/>
      <c r="AV53" s="253">
        <v>0</v>
      </c>
      <c r="AW53" s="380"/>
      <c r="AX53" s="253">
        <v>0</v>
      </c>
      <c r="AY53" s="380"/>
      <c r="AZ53" s="253">
        <v>0</v>
      </c>
      <c r="BA53" s="380"/>
      <c r="BB53" s="253">
        <v>0</v>
      </c>
      <c r="BC53" s="380"/>
      <c r="BD53" s="253">
        <v>0</v>
      </c>
      <c r="BE53" s="380"/>
      <c r="BF53" s="253">
        <v>0</v>
      </c>
      <c r="BG53" s="380"/>
      <c r="BH53" s="253"/>
      <c r="BI53" s="254"/>
      <c r="CJ53" s="150"/>
      <c r="CK53" s="150"/>
      <c r="CL53" s="150"/>
      <c r="CM53" s="151"/>
      <c r="CN53" s="150"/>
      <c r="CO53" s="150"/>
      <c r="CP53" s="150"/>
      <c r="CQ53" s="150"/>
      <c r="CR53" s="150"/>
      <c r="CS53" s="150"/>
      <c r="CT53" s="150"/>
    </row>
    <row r="54" spans="1:98" s="11" customFormat="1" ht="12.75" customHeight="1">
      <c r="A54" s="310"/>
      <c r="B54" s="308" t="str">
        <f>Parameters!Q53</f>
        <v>J58</v>
      </c>
      <c r="C54" s="309"/>
      <c r="D54" s="495" t="str">
        <f>Parameters!S53</f>
        <v>Publishing activities</v>
      </c>
      <c r="E54" s="510"/>
      <c r="F54" s="224"/>
      <c r="G54" s="379"/>
      <c r="H54" s="225"/>
      <c r="I54" s="379"/>
      <c r="J54" s="225"/>
      <c r="K54" s="379"/>
      <c r="L54" s="225"/>
      <c r="M54" s="379"/>
      <c r="N54" s="225"/>
      <c r="O54" s="379"/>
      <c r="P54" s="225"/>
      <c r="Q54" s="379"/>
      <c r="R54" s="225"/>
      <c r="S54" s="379"/>
      <c r="T54" s="225"/>
      <c r="U54" s="379"/>
      <c r="V54" s="225"/>
      <c r="W54" s="379"/>
      <c r="X54" s="225"/>
      <c r="Y54" s="379"/>
      <c r="Z54" s="225"/>
      <c r="AA54" s="379"/>
      <c r="AB54" s="225"/>
      <c r="AC54" s="379"/>
      <c r="AD54" s="225"/>
      <c r="AE54" s="379"/>
      <c r="AF54" s="165">
        <v>0</v>
      </c>
      <c r="AG54" s="379"/>
      <c r="AH54" s="165">
        <v>0</v>
      </c>
      <c r="AI54" s="379"/>
      <c r="AJ54" s="165">
        <v>0</v>
      </c>
      <c r="AK54" s="379"/>
      <c r="AL54" s="165">
        <v>0</v>
      </c>
      <c r="AM54" s="379"/>
      <c r="AN54" s="165">
        <v>0</v>
      </c>
      <c r="AO54" s="379"/>
      <c r="AP54" s="165">
        <v>0</v>
      </c>
      <c r="AQ54" s="379"/>
      <c r="AR54" s="165">
        <v>0</v>
      </c>
      <c r="AS54" s="379"/>
      <c r="AT54" s="165">
        <v>0</v>
      </c>
      <c r="AU54" s="379"/>
      <c r="AV54" s="165">
        <v>0</v>
      </c>
      <c r="AW54" s="379"/>
      <c r="AX54" s="165">
        <v>0</v>
      </c>
      <c r="AY54" s="379"/>
      <c r="AZ54" s="165">
        <v>0</v>
      </c>
      <c r="BA54" s="379"/>
      <c r="BB54" s="165">
        <v>0</v>
      </c>
      <c r="BC54" s="379"/>
      <c r="BD54" s="165">
        <v>0</v>
      </c>
      <c r="BE54" s="379"/>
      <c r="BF54" s="165">
        <v>0</v>
      </c>
      <c r="BG54" s="379"/>
      <c r="BH54" s="225"/>
      <c r="BI54" s="184"/>
      <c r="CJ54" s="150"/>
      <c r="CK54" s="150"/>
      <c r="CL54" s="150"/>
      <c r="CM54" s="151" t="s">
        <v>926</v>
      </c>
      <c r="CN54" s="150" t="s">
        <v>1130</v>
      </c>
      <c r="CO54" s="151"/>
      <c r="CP54" s="150"/>
      <c r="CQ54" s="150"/>
      <c r="CR54" s="150"/>
      <c r="CS54" s="150"/>
      <c r="CT54" s="150"/>
    </row>
    <row r="55" spans="1:98" s="11" customFormat="1">
      <c r="A55" s="310"/>
      <c r="B55" s="308" t="str">
        <f>Parameters!Q54</f>
        <v>J59_J60</v>
      </c>
      <c r="C55" s="309"/>
      <c r="D55" s="495" t="str">
        <f>Parameters!S54</f>
        <v>Motion picture, video, television programme production; programming and broadcasting activities</v>
      </c>
      <c r="E55" s="510"/>
      <c r="F55" s="224"/>
      <c r="G55" s="379"/>
      <c r="H55" s="225"/>
      <c r="I55" s="379"/>
      <c r="J55" s="225"/>
      <c r="K55" s="379"/>
      <c r="L55" s="225"/>
      <c r="M55" s="379"/>
      <c r="N55" s="225"/>
      <c r="O55" s="379"/>
      <c r="P55" s="225"/>
      <c r="Q55" s="379"/>
      <c r="R55" s="225"/>
      <c r="S55" s="379"/>
      <c r="T55" s="225"/>
      <c r="U55" s="379"/>
      <c r="V55" s="225"/>
      <c r="W55" s="379"/>
      <c r="X55" s="225"/>
      <c r="Y55" s="379"/>
      <c r="Z55" s="225"/>
      <c r="AA55" s="379"/>
      <c r="AB55" s="225"/>
      <c r="AC55" s="379"/>
      <c r="AD55" s="225"/>
      <c r="AE55" s="379"/>
      <c r="AF55" s="165">
        <v>0</v>
      </c>
      <c r="AG55" s="379"/>
      <c r="AH55" s="165">
        <v>0</v>
      </c>
      <c r="AI55" s="379"/>
      <c r="AJ55" s="165">
        <v>0</v>
      </c>
      <c r="AK55" s="379"/>
      <c r="AL55" s="165">
        <v>0</v>
      </c>
      <c r="AM55" s="379"/>
      <c r="AN55" s="165">
        <v>0</v>
      </c>
      <c r="AO55" s="379"/>
      <c r="AP55" s="165">
        <v>0</v>
      </c>
      <c r="AQ55" s="379"/>
      <c r="AR55" s="165">
        <v>0</v>
      </c>
      <c r="AS55" s="379"/>
      <c r="AT55" s="165">
        <v>0</v>
      </c>
      <c r="AU55" s="379"/>
      <c r="AV55" s="165">
        <v>0</v>
      </c>
      <c r="AW55" s="379"/>
      <c r="AX55" s="165">
        <v>0</v>
      </c>
      <c r="AY55" s="379"/>
      <c r="AZ55" s="165">
        <v>0</v>
      </c>
      <c r="BA55" s="379"/>
      <c r="BB55" s="165">
        <v>0</v>
      </c>
      <c r="BC55" s="379"/>
      <c r="BD55" s="165">
        <v>0</v>
      </c>
      <c r="BE55" s="379"/>
      <c r="BF55" s="165">
        <v>0</v>
      </c>
      <c r="BG55" s="379"/>
      <c r="BH55" s="225"/>
      <c r="BI55" s="184"/>
      <c r="CJ55" s="150"/>
      <c r="CK55" s="150"/>
      <c r="CL55" s="150"/>
      <c r="CM55" s="151" t="s">
        <v>1139</v>
      </c>
      <c r="CN55" s="150" t="s">
        <v>1130</v>
      </c>
      <c r="CO55" s="150"/>
      <c r="CP55" s="150"/>
      <c r="CQ55" s="150"/>
      <c r="CR55" s="150"/>
      <c r="CS55" s="150"/>
      <c r="CT55" s="150"/>
    </row>
    <row r="56" spans="1:98" s="11" customFormat="1" ht="12.75" customHeight="1">
      <c r="A56" s="26"/>
      <c r="B56" s="89" t="str">
        <f>Parameters!Q55</f>
        <v>J61</v>
      </c>
      <c r="C56" s="90"/>
      <c r="D56" s="504" t="str">
        <f>Parameters!S55</f>
        <v>Telecommunications</v>
      </c>
      <c r="E56" s="505"/>
      <c r="F56" s="226"/>
      <c r="G56" s="379"/>
      <c r="H56" s="227"/>
      <c r="I56" s="379"/>
      <c r="J56" s="227"/>
      <c r="K56" s="379"/>
      <c r="L56" s="227"/>
      <c r="M56" s="379"/>
      <c r="N56" s="227"/>
      <c r="O56" s="379"/>
      <c r="P56" s="227"/>
      <c r="Q56" s="379"/>
      <c r="R56" s="227"/>
      <c r="S56" s="379"/>
      <c r="T56" s="227"/>
      <c r="U56" s="379"/>
      <c r="V56" s="227"/>
      <c r="W56" s="379"/>
      <c r="X56" s="227"/>
      <c r="Y56" s="379"/>
      <c r="Z56" s="227"/>
      <c r="AA56" s="379"/>
      <c r="AB56" s="227"/>
      <c r="AC56" s="379"/>
      <c r="AD56" s="227"/>
      <c r="AE56" s="379"/>
      <c r="AF56" s="166">
        <v>0</v>
      </c>
      <c r="AG56" s="379" t="s">
        <v>420</v>
      </c>
      <c r="AH56" s="166">
        <v>0</v>
      </c>
      <c r="AI56" s="379" t="s">
        <v>420</v>
      </c>
      <c r="AJ56" s="166">
        <v>0</v>
      </c>
      <c r="AK56" s="379" t="s">
        <v>420</v>
      </c>
      <c r="AL56" s="166">
        <v>0</v>
      </c>
      <c r="AM56" s="379" t="s">
        <v>420</v>
      </c>
      <c r="AN56" s="166">
        <v>0</v>
      </c>
      <c r="AO56" s="379" t="s">
        <v>420</v>
      </c>
      <c r="AP56" s="166">
        <v>0</v>
      </c>
      <c r="AQ56" s="379" t="s">
        <v>420</v>
      </c>
      <c r="AR56" s="166">
        <v>0</v>
      </c>
      <c r="AS56" s="379" t="s">
        <v>420</v>
      </c>
      <c r="AT56" s="166">
        <v>0</v>
      </c>
      <c r="AU56" s="379" t="s">
        <v>420</v>
      </c>
      <c r="AV56" s="166">
        <v>0</v>
      </c>
      <c r="AW56" s="379" t="s">
        <v>420</v>
      </c>
      <c r="AX56" s="166">
        <v>0</v>
      </c>
      <c r="AY56" s="379" t="s">
        <v>420</v>
      </c>
      <c r="AZ56" s="166">
        <v>0</v>
      </c>
      <c r="BA56" s="379" t="s">
        <v>420</v>
      </c>
      <c r="BB56" s="166">
        <v>0</v>
      </c>
      <c r="BC56" s="379" t="s">
        <v>420</v>
      </c>
      <c r="BD56" s="166">
        <v>0</v>
      </c>
      <c r="BE56" s="379" t="s">
        <v>420</v>
      </c>
      <c r="BF56" s="166">
        <v>0</v>
      </c>
      <c r="BG56" s="379" t="s">
        <v>420</v>
      </c>
      <c r="BH56" s="227"/>
      <c r="BI56" s="184"/>
      <c r="CJ56" s="150"/>
      <c r="CK56" s="150"/>
      <c r="CL56" s="150"/>
      <c r="CM56" s="151" t="s">
        <v>939</v>
      </c>
      <c r="CN56" s="150" t="s">
        <v>1130</v>
      </c>
      <c r="CO56" s="150"/>
      <c r="CP56" s="150"/>
      <c r="CQ56" s="150"/>
      <c r="CR56" s="150"/>
      <c r="CS56" s="150"/>
      <c r="CT56" s="150"/>
    </row>
    <row r="57" spans="1:98" s="10" customFormat="1" ht="12.75" customHeight="1">
      <c r="A57" s="26"/>
      <c r="B57" s="89" t="str">
        <f>Parameters!Q56</f>
        <v>J62_J63</v>
      </c>
      <c r="C57" s="90"/>
      <c r="D57" s="504" t="str">
        <f>Parameters!S56</f>
        <v>Computer programming, consultancy, and information service activities</v>
      </c>
      <c r="E57" s="505"/>
      <c r="F57" s="226"/>
      <c r="G57" s="379"/>
      <c r="H57" s="227"/>
      <c r="I57" s="379"/>
      <c r="J57" s="227"/>
      <c r="K57" s="379"/>
      <c r="L57" s="227"/>
      <c r="M57" s="379"/>
      <c r="N57" s="227"/>
      <c r="O57" s="379"/>
      <c r="P57" s="227"/>
      <c r="Q57" s="379"/>
      <c r="R57" s="227"/>
      <c r="S57" s="379"/>
      <c r="T57" s="227"/>
      <c r="U57" s="379"/>
      <c r="V57" s="227"/>
      <c r="W57" s="379"/>
      <c r="X57" s="227"/>
      <c r="Y57" s="379"/>
      <c r="Z57" s="227"/>
      <c r="AA57" s="379"/>
      <c r="AB57" s="227"/>
      <c r="AC57" s="379"/>
      <c r="AD57" s="227"/>
      <c r="AE57" s="379"/>
      <c r="AF57" s="166">
        <v>0</v>
      </c>
      <c r="AG57" s="379"/>
      <c r="AH57" s="166">
        <v>0</v>
      </c>
      <c r="AI57" s="379"/>
      <c r="AJ57" s="166">
        <v>0</v>
      </c>
      <c r="AK57" s="379"/>
      <c r="AL57" s="166">
        <v>0</v>
      </c>
      <c r="AM57" s="379"/>
      <c r="AN57" s="166">
        <v>0</v>
      </c>
      <c r="AO57" s="379"/>
      <c r="AP57" s="166">
        <v>0</v>
      </c>
      <c r="AQ57" s="379"/>
      <c r="AR57" s="166">
        <v>0</v>
      </c>
      <c r="AS57" s="379"/>
      <c r="AT57" s="166">
        <v>0</v>
      </c>
      <c r="AU57" s="379"/>
      <c r="AV57" s="166">
        <v>0</v>
      </c>
      <c r="AW57" s="379"/>
      <c r="AX57" s="166">
        <v>0</v>
      </c>
      <c r="AY57" s="379"/>
      <c r="AZ57" s="166">
        <v>0</v>
      </c>
      <c r="BA57" s="379"/>
      <c r="BB57" s="166">
        <v>0</v>
      </c>
      <c r="BC57" s="379"/>
      <c r="BD57" s="166">
        <v>0</v>
      </c>
      <c r="BE57" s="379"/>
      <c r="BF57" s="166">
        <v>0</v>
      </c>
      <c r="BG57" s="379"/>
      <c r="BH57" s="227"/>
      <c r="BI57" s="184"/>
      <c r="CJ57" s="158"/>
      <c r="CK57" s="150"/>
      <c r="CL57" s="158"/>
      <c r="CM57" s="151" t="s">
        <v>1140</v>
      </c>
      <c r="CN57" s="150" t="s">
        <v>1130</v>
      </c>
      <c r="CO57" s="150"/>
      <c r="CP57" s="158"/>
      <c r="CQ57" s="158"/>
      <c r="CR57" s="158"/>
      <c r="CS57" s="158"/>
      <c r="CT57" s="158"/>
    </row>
    <row r="58" spans="1:98" s="10" customFormat="1" ht="12.75" customHeight="1">
      <c r="A58" s="25"/>
      <c r="B58" s="87" t="str">
        <f>Parameters!Q57</f>
        <v>K</v>
      </c>
      <c r="C58" s="88"/>
      <c r="D58" s="498" t="str">
        <f>Parameters!S57</f>
        <v>Financial and insurance activities</v>
      </c>
      <c r="E58" s="499"/>
      <c r="F58" s="222"/>
      <c r="G58" s="379"/>
      <c r="H58" s="223"/>
      <c r="I58" s="379"/>
      <c r="J58" s="223"/>
      <c r="K58" s="379"/>
      <c r="L58" s="223"/>
      <c r="M58" s="379"/>
      <c r="N58" s="223"/>
      <c r="O58" s="379"/>
      <c r="P58" s="223"/>
      <c r="Q58" s="379"/>
      <c r="R58" s="223"/>
      <c r="S58" s="379"/>
      <c r="T58" s="223"/>
      <c r="U58" s="379"/>
      <c r="V58" s="223"/>
      <c r="W58" s="379"/>
      <c r="X58" s="223"/>
      <c r="Y58" s="379"/>
      <c r="Z58" s="223"/>
      <c r="AA58" s="379"/>
      <c r="AB58" s="223"/>
      <c r="AC58" s="379"/>
      <c r="AD58" s="223"/>
      <c r="AE58" s="379"/>
      <c r="AF58" s="164">
        <v>0</v>
      </c>
      <c r="AG58" s="379"/>
      <c r="AH58" s="164">
        <v>0</v>
      </c>
      <c r="AI58" s="379"/>
      <c r="AJ58" s="164">
        <v>0</v>
      </c>
      <c r="AK58" s="379"/>
      <c r="AL58" s="164">
        <v>0</v>
      </c>
      <c r="AM58" s="379"/>
      <c r="AN58" s="164">
        <v>0</v>
      </c>
      <c r="AO58" s="379"/>
      <c r="AP58" s="164">
        <v>0</v>
      </c>
      <c r="AQ58" s="379"/>
      <c r="AR58" s="164">
        <v>0</v>
      </c>
      <c r="AS58" s="379"/>
      <c r="AT58" s="164">
        <v>0</v>
      </c>
      <c r="AU58" s="379"/>
      <c r="AV58" s="164">
        <v>0</v>
      </c>
      <c r="AW58" s="379"/>
      <c r="AX58" s="164">
        <v>0</v>
      </c>
      <c r="AY58" s="379"/>
      <c r="AZ58" s="164">
        <v>0</v>
      </c>
      <c r="BA58" s="379"/>
      <c r="BB58" s="164">
        <v>0</v>
      </c>
      <c r="BC58" s="379"/>
      <c r="BD58" s="164">
        <v>0</v>
      </c>
      <c r="BE58" s="379"/>
      <c r="BF58" s="164">
        <v>0</v>
      </c>
      <c r="BG58" s="379"/>
      <c r="BH58" s="223"/>
      <c r="BI58" s="184"/>
      <c r="CJ58" s="150"/>
      <c r="CK58" s="150"/>
      <c r="CL58" s="150"/>
      <c r="CM58" s="151" t="s">
        <v>951</v>
      </c>
      <c r="CN58" s="150" t="s">
        <v>1130</v>
      </c>
      <c r="CO58" s="150"/>
      <c r="CP58" s="150"/>
      <c r="CQ58" s="150"/>
      <c r="CR58" s="150"/>
      <c r="CS58" s="150"/>
      <c r="CT58" s="150"/>
    </row>
    <row r="59" spans="1:98" s="11" customFormat="1" ht="12.75" customHeight="1">
      <c r="A59" s="310"/>
      <c r="B59" s="308" t="str">
        <f>Parameters!Q58</f>
        <v>K64</v>
      </c>
      <c r="C59" s="309"/>
      <c r="D59" s="495" t="str">
        <f>Parameters!S58</f>
        <v>Financial service activities, except insurance and pension funding</v>
      </c>
      <c r="E59" s="496"/>
      <c r="F59" s="224"/>
      <c r="G59" s="379"/>
      <c r="H59" s="225"/>
      <c r="I59" s="379"/>
      <c r="J59" s="225"/>
      <c r="K59" s="379"/>
      <c r="L59" s="225"/>
      <c r="M59" s="379"/>
      <c r="N59" s="225"/>
      <c r="O59" s="379"/>
      <c r="P59" s="225"/>
      <c r="Q59" s="379"/>
      <c r="R59" s="225"/>
      <c r="S59" s="379"/>
      <c r="T59" s="225"/>
      <c r="U59" s="379"/>
      <c r="V59" s="225"/>
      <c r="W59" s="379"/>
      <c r="X59" s="225"/>
      <c r="Y59" s="379"/>
      <c r="Z59" s="225"/>
      <c r="AA59" s="379"/>
      <c r="AB59" s="225"/>
      <c r="AC59" s="379"/>
      <c r="AD59" s="225"/>
      <c r="AE59" s="379"/>
      <c r="AF59" s="165">
        <v>0</v>
      </c>
      <c r="AG59" s="379"/>
      <c r="AH59" s="165">
        <v>0</v>
      </c>
      <c r="AI59" s="379"/>
      <c r="AJ59" s="165">
        <v>0</v>
      </c>
      <c r="AK59" s="379"/>
      <c r="AL59" s="165">
        <v>0</v>
      </c>
      <c r="AM59" s="379"/>
      <c r="AN59" s="165">
        <v>0</v>
      </c>
      <c r="AO59" s="379"/>
      <c r="AP59" s="165">
        <v>0</v>
      </c>
      <c r="AQ59" s="379"/>
      <c r="AR59" s="165">
        <v>0</v>
      </c>
      <c r="AS59" s="379"/>
      <c r="AT59" s="165">
        <v>0</v>
      </c>
      <c r="AU59" s="379"/>
      <c r="AV59" s="165">
        <v>0</v>
      </c>
      <c r="AW59" s="379"/>
      <c r="AX59" s="165">
        <v>0</v>
      </c>
      <c r="AY59" s="379"/>
      <c r="AZ59" s="165">
        <v>0</v>
      </c>
      <c r="BA59" s="379"/>
      <c r="BB59" s="165">
        <v>0</v>
      </c>
      <c r="BC59" s="379"/>
      <c r="BD59" s="165">
        <v>0</v>
      </c>
      <c r="BE59" s="379"/>
      <c r="BF59" s="165">
        <v>0</v>
      </c>
      <c r="BG59" s="379"/>
      <c r="BH59" s="225"/>
      <c r="BI59" s="184"/>
      <c r="CJ59" s="150"/>
      <c r="CK59" s="150"/>
      <c r="CL59" s="150"/>
      <c r="CM59" s="151" t="s">
        <v>957</v>
      </c>
      <c r="CN59" s="150" t="s">
        <v>1130</v>
      </c>
      <c r="CO59" s="150"/>
      <c r="CP59" s="150"/>
      <c r="CQ59" s="150"/>
      <c r="CR59" s="150"/>
      <c r="CS59" s="150"/>
      <c r="CT59" s="150"/>
    </row>
    <row r="60" spans="1:98" s="11" customFormat="1" ht="12.75" customHeight="1">
      <c r="A60" s="310"/>
      <c r="B60" s="308" t="str">
        <f>Parameters!Q59</f>
        <v>K65</v>
      </c>
      <c r="C60" s="309"/>
      <c r="D60" s="495" t="str">
        <f>Parameters!S59</f>
        <v>Insurance, reinsurance and pension funding, except compulsory social security</v>
      </c>
      <c r="E60" s="496"/>
      <c r="F60" s="224"/>
      <c r="G60" s="379"/>
      <c r="H60" s="225"/>
      <c r="I60" s="379"/>
      <c r="J60" s="225"/>
      <c r="K60" s="379"/>
      <c r="L60" s="225"/>
      <c r="M60" s="379"/>
      <c r="N60" s="225"/>
      <c r="O60" s="379"/>
      <c r="P60" s="225"/>
      <c r="Q60" s="379"/>
      <c r="R60" s="225"/>
      <c r="S60" s="379"/>
      <c r="T60" s="225"/>
      <c r="U60" s="379"/>
      <c r="V60" s="225"/>
      <c r="W60" s="379"/>
      <c r="X60" s="225"/>
      <c r="Y60" s="379"/>
      <c r="Z60" s="225"/>
      <c r="AA60" s="379"/>
      <c r="AB60" s="225"/>
      <c r="AC60" s="379"/>
      <c r="AD60" s="225"/>
      <c r="AE60" s="379"/>
      <c r="AF60" s="165">
        <v>0</v>
      </c>
      <c r="AG60" s="379"/>
      <c r="AH60" s="165">
        <v>0</v>
      </c>
      <c r="AI60" s="379"/>
      <c r="AJ60" s="165">
        <v>0</v>
      </c>
      <c r="AK60" s="379"/>
      <c r="AL60" s="165">
        <v>0</v>
      </c>
      <c r="AM60" s="379"/>
      <c r="AN60" s="165">
        <v>0</v>
      </c>
      <c r="AO60" s="379"/>
      <c r="AP60" s="165">
        <v>0</v>
      </c>
      <c r="AQ60" s="379"/>
      <c r="AR60" s="165">
        <v>0</v>
      </c>
      <c r="AS60" s="379"/>
      <c r="AT60" s="165">
        <v>0</v>
      </c>
      <c r="AU60" s="379"/>
      <c r="AV60" s="165">
        <v>0</v>
      </c>
      <c r="AW60" s="379"/>
      <c r="AX60" s="165">
        <v>0</v>
      </c>
      <c r="AY60" s="379"/>
      <c r="AZ60" s="165">
        <v>0</v>
      </c>
      <c r="BA60" s="379"/>
      <c r="BB60" s="165">
        <v>0</v>
      </c>
      <c r="BC60" s="379"/>
      <c r="BD60" s="165">
        <v>0</v>
      </c>
      <c r="BE60" s="379"/>
      <c r="BF60" s="165">
        <v>0</v>
      </c>
      <c r="BG60" s="379"/>
      <c r="BH60" s="225"/>
      <c r="BI60" s="184"/>
      <c r="CJ60" s="150"/>
      <c r="CK60" s="150"/>
      <c r="CL60" s="150"/>
      <c r="CM60" s="151" t="s">
        <v>963</v>
      </c>
      <c r="CN60" s="150" t="s">
        <v>1130</v>
      </c>
      <c r="CO60" s="150"/>
      <c r="CP60" s="150"/>
      <c r="CQ60" s="150"/>
      <c r="CR60" s="150"/>
      <c r="CS60" s="150"/>
      <c r="CT60" s="150"/>
    </row>
    <row r="61" spans="1:98" s="11" customFormat="1" ht="12.75" customHeight="1">
      <c r="A61" s="310"/>
      <c r="B61" s="308" t="str">
        <f>Parameters!Q60</f>
        <v>K66</v>
      </c>
      <c r="C61" s="309"/>
      <c r="D61" s="495" t="str">
        <f>Parameters!S60</f>
        <v>Activities auxiliary to financial services and insurance activities</v>
      </c>
      <c r="E61" s="510"/>
      <c r="F61" s="224"/>
      <c r="G61" s="379"/>
      <c r="H61" s="225"/>
      <c r="I61" s="379"/>
      <c r="J61" s="225"/>
      <c r="K61" s="379"/>
      <c r="L61" s="225"/>
      <c r="M61" s="379"/>
      <c r="N61" s="225"/>
      <c r="O61" s="379"/>
      <c r="P61" s="225"/>
      <c r="Q61" s="379"/>
      <c r="R61" s="225"/>
      <c r="S61" s="379"/>
      <c r="T61" s="225"/>
      <c r="U61" s="379"/>
      <c r="V61" s="225"/>
      <c r="W61" s="379"/>
      <c r="X61" s="225"/>
      <c r="Y61" s="379"/>
      <c r="Z61" s="225"/>
      <c r="AA61" s="379"/>
      <c r="AB61" s="225"/>
      <c r="AC61" s="379"/>
      <c r="AD61" s="225"/>
      <c r="AE61" s="379"/>
      <c r="AF61" s="165">
        <v>0</v>
      </c>
      <c r="AG61" s="379"/>
      <c r="AH61" s="165">
        <v>0</v>
      </c>
      <c r="AI61" s="379"/>
      <c r="AJ61" s="165">
        <v>0</v>
      </c>
      <c r="AK61" s="379"/>
      <c r="AL61" s="165">
        <v>0</v>
      </c>
      <c r="AM61" s="379"/>
      <c r="AN61" s="165">
        <v>0</v>
      </c>
      <c r="AO61" s="379"/>
      <c r="AP61" s="165">
        <v>0</v>
      </c>
      <c r="AQ61" s="379"/>
      <c r="AR61" s="165">
        <v>0</v>
      </c>
      <c r="AS61" s="379"/>
      <c r="AT61" s="165">
        <v>0</v>
      </c>
      <c r="AU61" s="379"/>
      <c r="AV61" s="165">
        <v>0</v>
      </c>
      <c r="AW61" s="379"/>
      <c r="AX61" s="165">
        <v>0</v>
      </c>
      <c r="AY61" s="379"/>
      <c r="AZ61" s="165">
        <v>0</v>
      </c>
      <c r="BA61" s="379"/>
      <c r="BB61" s="165">
        <v>0</v>
      </c>
      <c r="BC61" s="379"/>
      <c r="BD61" s="165">
        <v>0</v>
      </c>
      <c r="BE61" s="379"/>
      <c r="BF61" s="165">
        <v>0</v>
      </c>
      <c r="BG61" s="379"/>
      <c r="BH61" s="225"/>
      <c r="BI61" s="184"/>
      <c r="CJ61" s="150"/>
      <c r="CK61" s="150"/>
      <c r="CL61" s="150"/>
      <c r="CM61" s="151" t="s">
        <v>969</v>
      </c>
      <c r="CN61" s="150" t="s">
        <v>1130</v>
      </c>
      <c r="CO61" s="150"/>
      <c r="CP61" s="150"/>
      <c r="CQ61" s="150"/>
      <c r="CR61" s="150"/>
      <c r="CS61" s="150"/>
      <c r="CT61" s="150"/>
    </row>
    <row r="62" spans="1:98" s="11" customFormat="1" ht="12.75" customHeight="1">
      <c r="A62" s="25"/>
      <c r="B62" s="87" t="str">
        <f>Parameters!Q61</f>
        <v>L</v>
      </c>
      <c r="C62" s="88"/>
      <c r="D62" s="498" t="str">
        <f>Parameters!S61</f>
        <v>Real estate activities</v>
      </c>
      <c r="E62" s="507"/>
      <c r="F62" s="222"/>
      <c r="G62" s="379"/>
      <c r="H62" s="223"/>
      <c r="I62" s="379"/>
      <c r="J62" s="223"/>
      <c r="K62" s="379"/>
      <c r="L62" s="223"/>
      <c r="M62" s="379"/>
      <c r="N62" s="223"/>
      <c r="O62" s="379"/>
      <c r="P62" s="223"/>
      <c r="Q62" s="379"/>
      <c r="R62" s="223"/>
      <c r="S62" s="379"/>
      <c r="T62" s="223"/>
      <c r="U62" s="379"/>
      <c r="V62" s="223"/>
      <c r="W62" s="379"/>
      <c r="X62" s="223"/>
      <c r="Y62" s="379"/>
      <c r="Z62" s="223"/>
      <c r="AA62" s="379"/>
      <c r="AB62" s="223"/>
      <c r="AC62" s="379"/>
      <c r="AD62" s="223"/>
      <c r="AE62" s="379"/>
      <c r="AF62" s="164">
        <v>0</v>
      </c>
      <c r="AG62" s="379"/>
      <c r="AH62" s="164">
        <v>0</v>
      </c>
      <c r="AI62" s="379"/>
      <c r="AJ62" s="164">
        <v>0</v>
      </c>
      <c r="AK62" s="379"/>
      <c r="AL62" s="164">
        <v>0</v>
      </c>
      <c r="AM62" s="379"/>
      <c r="AN62" s="164">
        <v>0</v>
      </c>
      <c r="AO62" s="379"/>
      <c r="AP62" s="164">
        <v>0</v>
      </c>
      <c r="AQ62" s="379"/>
      <c r="AR62" s="164">
        <v>0</v>
      </c>
      <c r="AS62" s="379"/>
      <c r="AT62" s="164">
        <v>0</v>
      </c>
      <c r="AU62" s="379"/>
      <c r="AV62" s="164">
        <v>0</v>
      </c>
      <c r="AW62" s="379"/>
      <c r="AX62" s="164">
        <v>0</v>
      </c>
      <c r="AY62" s="379"/>
      <c r="AZ62" s="164">
        <v>0</v>
      </c>
      <c r="BA62" s="379"/>
      <c r="BB62" s="164">
        <v>0</v>
      </c>
      <c r="BC62" s="379"/>
      <c r="BD62" s="164">
        <v>0</v>
      </c>
      <c r="BE62" s="379"/>
      <c r="BF62" s="164">
        <v>0</v>
      </c>
      <c r="BG62" s="379"/>
      <c r="BH62" s="223"/>
      <c r="BI62" s="184"/>
      <c r="CJ62" s="150"/>
      <c r="CK62" s="150"/>
      <c r="CL62" s="150"/>
      <c r="CM62" s="151" t="s">
        <v>974</v>
      </c>
      <c r="CN62" s="150" t="s">
        <v>1130</v>
      </c>
      <c r="CO62" s="150"/>
      <c r="CP62" s="150"/>
      <c r="CQ62" s="150"/>
      <c r="CR62" s="150"/>
      <c r="CS62" s="150"/>
      <c r="CT62" s="150"/>
    </row>
    <row r="63" spans="1:98" s="11" customFormat="1" ht="12.75" customHeight="1">
      <c r="A63" s="310"/>
      <c r="B63" s="308" t="str">
        <f>Parameters!Q62</f>
        <v>L68A</v>
      </c>
      <c r="C63" s="309"/>
      <c r="D63" s="508" t="str">
        <f>Parameters!S62</f>
        <v>Imputed rents of owner-occupied dwellings</v>
      </c>
      <c r="E63" s="509"/>
      <c r="F63" s="229"/>
      <c r="G63" s="379"/>
      <c r="H63" s="230"/>
      <c r="I63" s="379"/>
      <c r="J63" s="230"/>
      <c r="K63" s="379"/>
      <c r="L63" s="230"/>
      <c r="M63" s="379"/>
      <c r="N63" s="230"/>
      <c r="O63" s="379"/>
      <c r="P63" s="230"/>
      <c r="Q63" s="379"/>
      <c r="R63" s="230"/>
      <c r="S63" s="379"/>
      <c r="T63" s="230"/>
      <c r="U63" s="379"/>
      <c r="V63" s="230"/>
      <c r="W63" s="379"/>
      <c r="X63" s="230"/>
      <c r="Y63" s="379"/>
      <c r="Z63" s="230"/>
      <c r="AA63" s="379"/>
      <c r="AB63" s="230"/>
      <c r="AC63" s="379"/>
      <c r="AD63" s="230"/>
      <c r="AE63" s="379"/>
      <c r="AF63" s="168">
        <v>0</v>
      </c>
      <c r="AG63" s="379"/>
      <c r="AH63" s="168">
        <v>0</v>
      </c>
      <c r="AI63" s="379"/>
      <c r="AJ63" s="168">
        <v>0</v>
      </c>
      <c r="AK63" s="379"/>
      <c r="AL63" s="168">
        <v>0</v>
      </c>
      <c r="AM63" s="379"/>
      <c r="AN63" s="168">
        <v>0</v>
      </c>
      <c r="AO63" s="379"/>
      <c r="AP63" s="168">
        <v>0</v>
      </c>
      <c r="AQ63" s="379"/>
      <c r="AR63" s="168">
        <v>0</v>
      </c>
      <c r="AS63" s="379"/>
      <c r="AT63" s="168">
        <v>0</v>
      </c>
      <c r="AU63" s="379"/>
      <c r="AV63" s="168">
        <v>0</v>
      </c>
      <c r="AW63" s="379"/>
      <c r="AX63" s="168">
        <v>0</v>
      </c>
      <c r="AY63" s="379"/>
      <c r="AZ63" s="168">
        <v>0</v>
      </c>
      <c r="BA63" s="379"/>
      <c r="BB63" s="168">
        <v>0</v>
      </c>
      <c r="BC63" s="379"/>
      <c r="BD63" s="168">
        <v>0</v>
      </c>
      <c r="BE63" s="379"/>
      <c r="BF63" s="168">
        <v>0</v>
      </c>
      <c r="BG63" s="379"/>
      <c r="BH63" s="230"/>
      <c r="BI63" s="184"/>
      <c r="CJ63" s="150"/>
      <c r="CK63" s="150"/>
      <c r="CL63" s="150"/>
      <c r="CM63" s="151" t="s">
        <v>981</v>
      </c>
      <c r="CN63" s="150" t="s">
        <v>1130</v>
      </c>
      <c r="CO63" s="150"/>
      <c r="CP63" s="150"/>
      <c r="CQ63" s="150"/>
      <c r="CR63" s="150"/>
      <c r="CS63" s="150"/>
      <c r="CT63" s="150"/>
    </row>
    <row r="64" spans="1:98" s="11" customFormat="1" ht="12.75" customHeight="1">
      <c r="A64" s="25"/>
      <c r="B64" s="87" t="str">
        <f>Parameters!Q63</f>
        <v>M</v>
      </c>
      <c r="C64" s="88"/>
      <c r="D64" s="498" t="str">
        <f>Parameters!S63</f>
        <v>Professional, scientific and technical activities</v>
      </c>
      <c r="E64" s="499"/>
      <c r="F64" s="222"/>
      <c r="G64" s="379"/>
      <c r="H64" s="223"/>
      <c r="I64" s="379"/>
      <c r="J64" s="223"/>
      <c r="K64" s="379"/>
      <c r="L64" s="223"/>
      <c r="M64" s="379"/>
      <c r="N64" s="223"/>
      <c r="O64" s="379"/>
      <c r="P64" s="223"/>
      <c r="Q64" s="379"/>
      <c r="R64" s="223"/>
      <c r="S64" s="379"/>
      <c r="T64" s="223"/>
      <c r="U64" s="379"/>
      <c r="V64" s="223"/>
      <c r="W64" s="379"/>
      <c r="X64" s="223"/>
      <c r="Y64" s="379"/>
      <c r="Z64" s="223"/>
      <c r="AA64" s="379"/>
      <c r="AB64" s="223"/>
      <c r="AC64" s="379"/>
      <c r="AD64" s="223"/>
      <c r="AE64" s="379"/>
      <c r="AF64" s="164">
        <v>0</v>
      </c>
      <c r="AG64" s="379"/>
      <c r="AH64" s="164">
        <v>0</v>
      </c>
      <c r="AI64" s="379"/>
      <c r="AJ64" s="164">
        <v>0</v>
      </c>
      <c r="AK64" s="379"/>
      <c r="AL64" s="164">
        <v>0</v>
      </c>
      <c r="AM64" s="379"/>
      <c r="AN64" s="164">
        <v>0</v>
      </c>
      <c r="AO64" s="379"/>
      <c r="AP64" s="164">
        <v>0</v>
      </c>
      <c r="AQ64" s="379"/>
      <c r="AR64" s="164">
        <v>0</v>
      </c>
      <c r="AS64" s="379"/>
      <c r="AT64" s="164">
        <v>0</v>
      </c>
      <c r="AU64" s="379"/>
      <c r="AV64" s="164">
        <v>0</v>
      </c>
      <c r="AW64" s="379"/>
      <c r="AX64" s="164">
        <v>0</v>
      </c>
      <c r="AY64" s="379"/>
      <c r="AZ64" s="164">
        <v>0</v>
      </c>
      <c r="BA64" s="379"/>
      <c r="BB64" s="164">
        <v>0</v>
      </c>
      <c r="BC64" s="379"/>
      <c r="BD64" s="164">
        <v>0</v>
      </c>
      <c r="BE64" s="379"/>
      <c r="BF64" s="164">
        <v>0</v>
      </c>
      <c r="BG64" s="379"/>
      <c r="BH64" s="223"/>
      <c r="BI64" s="184"/>
      <c r="CJ64" s="150"/>
      <c r="CK64" s="150"/>
      <c r="CL64" s="150"/>
      <c r="CM64" s="151" t="s">
        <v>988</v>
      </c>
      <c r="CN64" s="150" t="s">
        <v>1130</v>
      </c>
      <c r="CO64" s="150"/>
      <c r="CP64" s="150"/>
      <c r="CQ64" s="150"/>
      <c r="CR64" s="150"/>
      <c r="CS64" s="150"/>
      <c r="CT64" s="150"/>
    </row>
    <row r="65" spans="1:98" s="11" customFormat="1" ht="26.25" customHeight="1">
      <c r="A65" s="26"/>
      <c r="B65" s="89" t="str">
        <f>Parameters!Q64</f>
        <v>M69-M71</v>
      </c>
      <c r="C65" s="90"/>
      <c r="D65" s="504" t="str">
        <f>Parameters!S64</f>
        <v>Legal and accounting activities; activities of head offices; management consultancy activities; architectural and engineering activities; technical testing and analysis</v>
      </c>
      <c r="E65" s="506"/>
      <c r="F65" s="252"/>
      <c r="G65" s="380"/>
      <c r="H65" s="253"/>
      <c r="I65" s="380"/>
      <c r="J65" s="253"/>
      <c r="K65" s="380"/>
      <c r="L65" s="253"/>
      <c r="M65" s="380"/>
      <c r="N65" s="253"/>
      <c r="O65" s="380"/>
      <c r="P65" s="253"/>
      <c r="Q65" s="380"/>
      <c r="R65" s="253"/>
      <c r="S65" s="380"/>
      <c r="T65" s="253"/>
      <c r="U65" s="380"/>
      <c r="V65" s="253"/>
      <c r="W65" s="380"/>
      <c r="X65" s="253"/>
      <c r="Y65" s="380"/>
      <c r="Z65" s="253"/>
      <c r="AA65" s="380"/>
      <c r="AB65" s="253"/>
      <c r="AC65" s="380"/>
      <c r="AD65" s="253"/>
      <c r="AE65" s="380"/>
      <c r="AF65" s="253">
        <v>0</v>
      </c>
      <c r="AG65" s="380"/>
      <c r="AH65" s="253">
        <v>0</v>
      </c>
      <c r="AI65" s="380"/>
      <c r="AJ65" s="253">
        <v>0</v>
      </c>
      <c r="AK65" s="380"/>
      <c r="AL65" s="253">
        <v>0</v>
      </c>
      <c r="AM65" s="380"/>
      <c r="AN65" s="253">
        <v>0</v>
      </c>
      <c r="AO65" s="380"/>
      <c r="AP65" s="253">
        <v>0</v>
      </c>
      <c r="AQ65" s="380"/>
      <c r="AR65" s="253">
        <v>0</v>
      </c>
      <c r="AS65" s="380"/>
      <c r="AT65" s="253">
        <v>0</v>
      </c>
      <c r="AU65" s="380"/>
      <c r="AV65" s="253">
        <v>0</v>
      </c>
      <c r="AW65" s="380"/>
      <c r="AX65" s="253">
        <v>0</v>
      </c>
      <c r="AY65" s="380"/>
      <c r="AZ65" s="253">
        <v>0</v>
      </c>
      <c r="BA65" s="380"/>
      <c r="BB65" s="253">
        <v>0</v>
      </c>
      <c r="BC65" s="380"/>
      <c r="BD65" s="253">
        <v>0</v>
      </c>
      <c r="BE65" s="380"/>
      <c r="BF65" s="253">
        <v>0</v>
      </c>
      <c r="BG65" s="380"/>
      <c r="BH65" s="253"/>
      <c r="BI65" s="254"/>
      <c r="CJ65" s="150"/>
      <c r="CK65" s="150"/>
      <c r="CL65" s="150"/>
      <c r="CM65" s="151"/>
      <c r="CN65" s="150"/>
      <c r="CO65" s="150"/>
      <c r="CP65" s="150"/>
      <c r="CQ65" s="150"/>
      <c r="CR65" s="150"/>
      <c r="CS65" s="150"/>
      <c r="CT65" s="150"/>
    </row>
    <row r="66" spans="1:98" s="10" customFormat="1">
      <c r="A66" s="310"/>
      <c r="B66" s="308" t="str">
        <f>Parameters!Q65</f>
        <v>M69_M70</v>
      </c>
      <c r="C66" s="309"/>
      <c r="D66" s="495" t="str">
        <f>Parameters!S65</f>
        <v>Legal and accounting activities; activities of head offices; management consultancy activities</v>
      </c>
      <c r="E66" s="496"/>
      <c r="F66" s="224"/>
      <c r="G66" s="379"/>
      <c r="H66" s="225"/>
      <c r="I66" s="379"/>
      <c r="J66" s="225"/>
      <c r="K66" s="379"/>
      <c r="L66" s="225"/>
      <c r="M66" s="379"/>
      <c r="N66" s="225"/>
      <c r="O66" s="379"/>
      <c r="P66" s="225"/>
      <c r="Q66" s="379"/>
      <c r="R66" s="225"/>
      <c r="S66" s="379"/>
      <c r="T66" s="225"/>
      <c r="U66" s="379"/>
      <c r="V66" s="225"/>
      <c r="W66" s="379"/>
      <c r="X66" s="225"/>
      <c r="Y66" s="379"/>
      <c r="Z66" s="225"/>
      <c r="AA66" s="379"/>
      <c r="AB66" s="225"/>
      <c r="AC66" s="379"/>
      <c r="AD66" s="225"/>
      <c r="AE66" s="379"/>
      <c r="AF66" s="165">
        <v>0</v>
      </c>
      <c r="AG66" s="379"/>
      <c r="AH66" s="165">
        <v>0</v>
      </c>
      <c r="AI66" s="379"/>
      <c r="AJ66" s="165">
        <v>0</v>
      </c>
      <c r="AK66" s="379"/>
      <c r="AL66" s="165">
        <v>0</v>
      </c>
      <c r="AM66" s="379"/>
      <c r="AN66" s="165">
        <v>0</v>
      </c>
      <c r="AO66" s="379"/>
      <c r="AP66" s="165">
        <v>0</v>
      </c>
      <c r="AQ66" s="379"/>
      <c r="AR66" s="165">
        <v>0</v>
      </c>
      <c r="AS66" s="379"/>
      <c r="AT66" s="165">
        <v>0</v>
      </c>
      <c r="AU66" s="379"/>
      <c r="AV66" s="165">
        <v>0</v>
      </c>
      <c r="AW66" s="379"/>
      <c r="AX66" s="165">
        <v>0</v>
      </c>
      <c r="AY66" s="379"/>
      <c r="AZ66" s="165">
        <v>0</v>
      </c>
      <c r="BA66" s="379"/>
      <c r="BB66" s="165">
        <v>0</v>
      </c>
      <c r="BC66" s="379"/>
      <c r="BD66" s="165">
        <v>0</v>
      </c>
      <c r="BE66" s="379"/>
      <c r="BF66" s="165">
        <v>0</v>
      </c>
      <c r="BG66" s="379"/>
      <c r="BH66" s="225"/>
      <c r="BI66" s="184"/>
      <c r="CJ66" s="150"/>
      <c r="CK66" s="150"/>
      <c r="CL66" s="150"/>
      <c r="CM66" s="151" t="s">
        <v>1141</v>
      </c>
      <c r="CN66" s="150" t="s">
        <v>1130</v>
      </c>
      <c r="CO66" s="150"/>
      <c r="CP66" s="150"/>
      <c r="CQ66" s="150"/>
      <c r="CR66" s="150"/>
      <c r="CS66" s="150"/>
      <c r="CT66" s="150"/>
    </row>
    <row r="67" spans="1:98" s="10" customFormat="1" ht="12.75" customHeight="1">
      <c r="A67" s="310"/>
      <c r="B67" s="308" t="str">
        <f>Parameters!Q66</f>
        <v>M71</v>
      </c>
      <c r="C67" s="309"/>
      <c r="D67" s="495" t="str">
        <f>Parameters!S66</f>
        <v>Architectural and engineering activities; technical testing and analysis</v>
      </c>
      <c r="E67" s="496"/>
      <c r="F67" s="224"/>
      <c r="G67" s="379"/>
      <c r="H67" s="225"/>
      <c r="I67" s="379"/>
      <c r="J67" s="225"/>
      <c r="K67" s="379"/>
      <c r="L67" s="225"/>
      <c r="M67" s="379"/>
      <c r="N67" s="225"/>
      <c r="O67" s="379"/>
      <c r="P67" s="225"/>
      <c r="Q67" s="379"/>
      <c r="R67" s="225"/>
      <c r="S67" s="379"/>
      <c r="T67" s="225"/>
      <c r="U67" s="379"/>
      <c r="V67" s="225"/>
      <c r="W67" s="379"/>
      <c r="X67" s="225"/>
      <c r="Y67" s="379"/>
      <c r="Z67" s="225"/>
      <c r="AA67" s="379"/>
      <c r="AB67" s="225"/>
      <c r="AC67" s="379"/>
      <c r="AD67" s="225"/>
      <c r="AE67" s="379"/>
      <c r="AF67" s="165">
        <v>0</v>
      </c>
      <c r="AG67" s="379"/>
      <c r="AH67" s="165">
        <v>0</v>
      </c>
      <c r="AI67" s="379"/>
      <c r="AJ67" s="165">
        <v>0</v>
      </c>
      <c r="AK67" s="379"/>
      <c r="AL67" s="165">
        <v>0</v>
      </c>
      <c r="AM67" s="379"/>
      <c r="AN67" s="165">
        <v>0</v>
      </c>
      <c r="AO67" s="379"/>
      <c r="AP67" s="165">
        <v>0</v>
      </c>
      <c r="AQ67" s="379"/>
      <c r="AR67" s="165">
        <v>0</v>
      </c>
      <c r="AS67" s="379"/>
      <c r="AT67" s="165">
        <v>0</v>
      </c>
      <c r="AU67" s="379"/>
      <c r="AV67" s="165">
        <v>0</v>
      </c>
      <c r="AW67" s="379"/>
      <c r="AX67" s="165">
        <v>0</v>
      </c>
      <c r="AY67" s="379"/>
      <c r="AZ67" s="165">
        <v>0</v>
      </c>
      <c r="BA67" s="379"/>
      <c r="BB67" s="165">
        <v>0</v>
      </c>
      <c r="BC67" s="379"/>
      <c r="BD67" s="165">
        <v>0</v>
      </c>
      <c r="BE67" s="379"/>
      <c r="BF67" s="165">
        <v>0</v>
      </c>
      <c r="BG67" s="379"/>
      <c r="BH67" s="225"/>
      <c r="BI67" s="184"/>
      <c r="CJ67" s="150"/>
      <c r="CK67" s="150"/>
      <c r="CL67" s="150"/>
      <c r="CM67" s="151" t="s">
        <v>1007</v>
      </c>
      <c r="CN67" s="150" t="s">
        <v>1130</v>
      </c>
      <c r="CO67" s="150"/>
      <c r="CP67" s="150"/>
      <c r="CQ67" s="150"/>
      <c r="CR67" s="150"/>
      <c r="CS67" s="150"/>
      <c r="CT67" s="150"/>
    </row>
    <row r="68" spans="1:98" s="10" customFormat="1" ht="12.75" customHeight="1">
      <c r="A68" s="26"/>
      <c r="B68" s="89" t="str">
        <f>Parameters!Q67</f>
        <v>M72</v>
      </c>
      <c r="C68" s="90"/>
      <c r="D68" s="504" t="str">
        <f>Parameters!S67</f>
        <v>Scientific research and development</v>
      </c>
      <c r="E68" s="505"/>
      <c r="F68" s="226"/>
      <c r="G68" s="379"/>
      <c r="H68" s="227"/>
      <c r="I68" s="379"/>
      <c r="J68" s="227"/>
      <c r="K68" s="379"/>
      <c r="L68" s="227"/>
      <c r="M68" s="379"/>
      <c r="N68" s="227"/>
      <c r="O68" s="379"/>
      <c r="P68" s="227"/>
      <c r="Q68" s="379"/>
      <c r="R68" s="227"/>
      <c r="S68" s="379"/>
      <c r="T68" s="227"/>
      <c r="U68" s="379"/>
      <c r="V68" s="227"/>
      <c r="W68" s="379"/>
      <c r="X68" s="227"/>
      <c r="Y68" s="379"/>
      <c r="Z68" s="227"/>
      <c r="AA68" s="379"/>
      <c r="AB68" s="227"/>
      <c r="AC68" s="379"/>
      <c r="AD68" s="227"/>
      <c r="AE68" s="379"/>
      <c r="AF68" s="166">
        <v>0</v>
      </c>
      <c r="AG68" s="379"/>
      <c r="AH68" s="166">
        <v>0</v>
      </c>
      <c r="AI68" s="379"/>
      <c r="AJ68" s="166">
        <v>0</v>
      </c>
      <c r="AK68" s="379"/>
      <c r="AL68" s="166">
        <v>0</v>
      </c>
      <c r="AM68" s="379"/>
      <c r="AN68" s="166">
        <v>0</v>
      </c>
      <c r="AO68" s="379"/>
      <c r="AP68" s="166">
        <v>0</v>
      </c>
      <c r="AQ68" s="379"/>
      <c r="AR68" s="166">
        <v>0</v>
      </c>
      <c r="AS68" s="379"/>
      <c r="AT68" s="166">
        <v>0</v>
      </c>
      <c r="AU68" s="379"/>
      <c r="AV68" s="166">
        <v>0</v>
      </c>
      <c r="AW68" s="379"/>
      <c r="AX68" s="166">
        <v>0</v>
      </c>
      <c r="AY68" s="379"/>
      <c r="AZ68" s="166">
        <v>0</v>
      </c>
      <c r="BA68" s="379"/>
      <c r="BB68" s="166">
        <v>0</v>
      </c>
      <c r="BC68" s="379"/>
      <c r="BD68" s="166">
        <v>0</v>
      </c>
      <c r="BE68" s="379"/>
      <c r="BF68" s="166">
        <v>0</v>
      </c>
      <c r="BG68" s="379"/>
      <c r="BH68" s="227"/>
      <c r="BI68" s="184"/>
      <c r="CJ68" s="150"/>
      <c r="CK68" s="150"/>
      <c r="CL68" s="150"/>
      <c r="CM68" s="151" t="s">
        <v>1011</v>
      </c>
      <c r="CN68" s="150" t="s">
        <v>1130</v>
      </c>
      <c r="CO68" s="150"/>
      <c r="CP68" s="150"/>
      <c r="CQ68" s="150"/>
      <c r="CR68" s="150"/>
      <c r="CS68" s="150"/>
      <c r="CT68" s="150"/>
    </row>
    <row r="69" spans="1:98" s="10" customFormat="1" ht="24" customHeight="1">
      <c r="A69" s="26"/>
      <c r="B69" s="89" t="str">
        <f>Parameters!Q68</f>
        <v>M73-M75</v>
      </c>
      <c r="C69" s="90"/>
      <c r="D69" s="504" t="str">
        <f>Parameters!S68</f>
        <v>Advertising and market research; other professional, scientific and technical activities; veterinary activities</v>
      </c>
      <c r="E69" s="506"/>
      <c r="F69" s="252"/>
      <c r="G69" s="380"/>
      <c r="H69" s="253"/>
      <c r="I69" s="380"/>
      <c r="J69" s="253"/>
      <c r="K69" s="380"/>
      <c r="L69" s="253"/>
      <c r="M69" s="380"/>
      <c r="N69" s="253"/>
      <c r="O69" s="380"/>
      <c r="P69" s="253"/>
      <c r="Q69" s="380"/>
      <c r="R69" s="253"/>
      <c r="S69" s="380"/>
      <c r="T69" s="253"/>
      <c r="U69" s="380"/>
      <c r="V69" s="253"/>
      <c r="W69" s="380"/>
      <c r="X69" s="253"/>
      <c r="Y69" s="380"/>
      <c r="Z69" s="253"/>
      <c r="AA69" s="380"/>
      <c r="AB69" s="253"/>
      <c r="AC69" s="380"/>
      <c r="AD69" s="253"/>
      <c r="AE69" s="380"/>
      <c r="AF69" s="253">
        <v>0</v>
      </c>
      <c r="AG69" s="380"/>
      <c r="AH69" s="253">
        <v>0</v>
      </c>
      <c r="AI69" s="380"/>
      <c r="AJ69" s="253">
        <v>0</v>
      </c>
      <c r="AK69" s="380"/>
      <c r="AL69" s="253">
        <v>0</v>
      </c>
      <c r="AM69" s="380"/>
      <c r="AN69" s="253">
        <v>0</v>
      </c>
      <c r="AO69" s="380"/>
      <c r="AP69" s="253">
        <v>0</v>
      </c>
      <c r="AQ69" s="380"/>
      <c r="AR69" s="253">
        <v>0</v>
      </c>
      <c r="AS69" s="380"/>
      <c r="AT69" s="253">
        <v>0</v>
      </c>
      <c r="AU69" s="380"/>
      <c r="AV69" s="253">
        <v>0</v>
      </c>
      <c r="AW69" s="380"/>
      <c r="AX69" s="253">
        <v>0</v>
      </c>
      <c r="AY69" s="380"/>
      <c r="AZ69" s="253">
        <v>0</v>
      </c>
      <c r="BA69" s="380"/>
      <c r="BB69" s="253">
        <v>0</v>
      </c>
      <c r="BC69" s="380"/>
      <c r="BD69" s="253">
        <v>0</v>
      </c>
      <c r="BE69" s="380"/>
      <c r="BF69" s="253">
        <v>0</v>
      </c>
      <c r="BG69" s="380"/>
      <c r="BH69" s="253"/>
      <c r="BI69" s="254"/>
      <c r="CJ69" s="150"/>
      <c r="CK69" s="150"/>
      <c r="CL69" s="150"/>
      <c r="CM69" s="151"/>
      <c r="CN69" s="150"/>
      <c r="CO69" s="150"/>
      <c r="CP69" s="150"/>
      <c r="CQ69" s="150"/>
      <c r="CR69" s="150"/>
      <c r="CS69" s="150"/>
      <c r="CT69" s="150"/>
    </row>
    <row r="70" spans="1:98" s="10" customFormat="1" ht="12.75" customHeight="1">
      <c r="A70" s="310"/>
      <c r="B70" s="308" t="str">
        <f>Parameters!Q69</f>
        <v>M73</v>
      </c>
      <c r="C70" s="309"/>
      <c r="D70" s="495" t="str">
        <f>Parameters!S69</f>
        <v>Advertising and market research</v>
      </c>
      <c r="E70" s="496"/>
      <c r="F70" s="224"/>
      <c r="G70" s="379"/>
      <c r="H70" s="225"/>
      <c r="I70" s="379"/>
      <c r="J70" s="225"/>
      <c r="K70" s="379"/>
      <c r="L70" s="225"/>
      <c r="M70" s="379"/>
      <c r="N70" s="225"/>
      <c r="O70" s="379"/>
      <c r="P70" s="225"/>
      <c r="Q70" s="379"/>
      <c r="R70" s="225"/>
      <c r="S70" s="379"/>
      <c r="T70" s="225"/>
      <c r="U70" s="379"/>
      <c r="V70" s="225"/>
      <c r="W70" s="379"/>
      <c r="X70" s="225"/>
      <c r="Y70" s="379"/>
      <c r="Z70" s="225"/>
      <c r="AA70" s="379"/>
      <c r="AB70" s="225"/>
      <c r="AC70" s="379"/>
      <c r="AD70" s="225"/>
      <c r="AE70" s="379"/>
      <c r="AF70" s="165">
        <v>0</v>
      </c>
      <c r="AG70" s="379"/>
      <c r="AH70" s="165">
        <v>0</v>
      </c>
      <c r="AI70" s="379"/>
      <c r="AJ70" s="165">
        <v>0</v>
      </c>
      <c r="AK70" s="379"/>
      <c r="AL70" s="165">
        <v>0</v>
      </c>
      <c r="AM70" s="379"/>
      <c r="AN70" s="165">
        <v>0</v>
      </c>
      <c r="AO70" s="379"/>
      <c r="AP70" s="165">
        <v>0</v>
      </c>
      <c r="AQ70" s="379"/>
      <c r="AR70" s="165">
        <v>0</v>
      </c>
      <c r="AS70" s="379"/>
      <c r="AT70" s="165">
        <v>0</v>
      </c>
      <c r="AU70" s="379"/>
      <c r="AV70" s="165">
        <v>0</v>
      </c>
      <c r="AW70" s="379"/>
      <c r="AX70" s="165">
        <v>0</v>
      </c>
      <c r="AY70" s="379"/>
      <c r="AZ70" s="165">
        <v>0</v>
      </c>
      <c r="BA70" s="379"/>
      <c r="BB70" s="165">
        <v>0</v>
      </c>
      <c r="BC70" s="379"/>
      <c r="BD70" s="165">
        <v>0</v>
      </c>
      <c r="BE70" s="379"/>
      <c r="BF70" s="165">
        <v>0</v>
      </c>
      <c r="BG70" s="379"/>
      <c r="BH70" s="225"/>
      <c r="BI70" s="184"/>
      <c r="CJ70" s="150"/>
      <c r="CK70" s="150"/>
      <c r="CL70" s="150"/>
      <c r="CM70" s="151" t="s">
        <v>1022</v>
      </c>
      <c r="CN70" s="150" t="s">
        <v>1130</v>
      </c>
      <c r="CO70" s="150"/>
      <c r="CP70" s="150"/>
      <c r="CQ70" s="150"/>
      <c r="CR70" s="150"/>
      <c r="CS70" s="150"/>
      <c r="CT70" s="150"/>
    </row>
    <row r="71" spans="1:98" s="11" customFormat="1" ht="12.75" customHeight="1">
      <c r="A71" s="310"/>
      <c r="B71" s="308" t="str">
        <f>Parameters!Q70</f>
        <v>M74_M75</v>
      </c>
      <c r="C71" s="309"/>
      <c r="D71" s="495" t="str">
        <f>Parameters!S70</f>
        <v>Other professional, scientific and technical activities; veterinary activities</v>
      </c>
      <c r="E71" s="496"/>
      <c r="F71" s="224"/>
      <c r="G71" s="379"/>
      <c r="H71" s="225"/>
      <c r="I71" s="379"/>
      <c r="J71" s="225"/>
      <c r="K71" s="379"/>
      <c r="L71" s="225"/>
      <c r="M71" s="379"/>
      <c r="N71" s="225"/>
      <c r="O71" s="379"/>
      <c r="P71" s="225"/>
      <c r="Q71" s="379"/>
      <c r="R71" s="225"/>
      <c r="S71" s="379"/>
      <c r="T71" s="225"/>
      <c r="U71" s="379"/>
      <c r="V71" s="225"/>
      <c r="W71" s="379"/>
      <c r="X71" s="225"/>
      <c r="Y71" s="379"/>
      <c r="Z71" s="225"/>
      <c r="AA71" s="379"/>
      <c r="AB71" s="225"/>
      <c r="AC71" s="379"/>
      <c r="AD71" s="225"/>
      <c r="AE71" s="379"/>
      <c r="AF71" s="165">
        <v>0</v>
      </c>
      <c r="AG71" s="379"/>
      <c r="AH71" s="165">
        <v>0</v>
      </c>
      <c r="AI71" s="379"/>
      <c r="AJ71" s="165">
        <v>0</v>
      </c>
      <c r="AK71" s="379"/>
      <c r="AL71" s="165">
        <v>0</v>
      </c>
      <c r="AM71" s="379"/>
      <c r="AN71" s="165">
        <v>0</v>
      </c>
      <c r="AO71" s="379"/>
      <c r="AP71" s="165">
        <v>0</v>
      </c>
      <c r="AQ71" s="379"/>
      <c r="AR71" s="165">
        <v>0</v>
      </c>
      <c r="AS71" s="379"/>
      <c r="AT71" s="165">
        <v>0</v>
      </c>
      <c r="AU71" s="379"/>
      <c r="AV71" s="165">
        <v>0</v>
      </c>
      <c r="AW71" s="379"/>
      <c r="AX71" s="165">
        <v>0</v>
      </c>
      <c r="AY71" s="379"/>
      <c r="AZ71" s="165">
        <v>0</v>
      </c>
      <c r="BA71" s="379"/>
      <c r="BB71" s="165">
        <v>0</v>
      </c>
      <c r="BC71" s="379"/>
      <c r="BD71" s="165">
        <v>0</v>
      </c>
      <c r="BE71" s="379"/>
      <c r="BF71" s="165">
        <v>0</v>
      </c>
      <c r="BG71" s="379"/>
      <c r="BH71" s="225"/>
      <c r="BI71" s="184"/>
      <c r="CJ71" s="150"/>
      <c r="CK71" s="150"/>
      <c r="CL71" s="150"/>
      <c r="CM71" s="151" t="s">
        <v>1142</v>
      </c>
      <c r="CN71" s="150" t="s">
        <v>1130</v>
      </c>
      <c r="CO71" s="150"/>
      <c r="CP71" s="150"/>
      <c r="CQ71" s="150"/>
      <c r="CR71" s="150"/>
      <c r="CS71" s="150"/>
      <c r="CT71" s="150"/>
    </row>
    <row r="72" spans="1:98" s="11" customFormat="1" ht="12.75" customHeight="1">
      <c r="A72" s="25"/>
      <c r="B72" s="87" t="str">
        <f>Parameters!Q71</f>
        <v>N</v>
      </c>
      <c r="C72" s="88"/>
      <c r="D72" s="498" t="str">
        <f>Parameters!S71</f>
        <v>Administrative and support service activities</v>
      </c>
      <c r="E72" s="499"/>
      <c r="F72" s="222"/>
      <c r="G72" s="379"/>
      <c r="H72" s="223"/>
      <c r="I72" s="379"/>
      <c r="J72" s="223"/>
      <c r="K72" s="379"/>
      <c r="L72" s="223"/>
      <c r="M72" s="379"/>
      <c r="N72" s="223"/>
      <c r="O72" s="379"/>
      <c r="P72" s="223"/>
      <c r="Q72" s="379"/>
      <c r="R72" s="223"/>
      <c r="S72" s="379"/>
      <c r="T72" s="223"/>
      <c r="U72" s="379"/>
      <c r="V72" s="223"/>
      <c r="W72" s="379"/>
      <c r="X72" s="223"/>
      <c r="Y72" s="379"/>
      <c r="Z72" s="223"/>
      <c r="AA72" s="379"/>
      <c r="AB72" s="223"/>
      <c r="AC72" s="379"/>
      <c r="AD72" s="223"/>
      <c r="AE72" s="379"/>
      <c r="AF72" s="164">
        <v>0</v>
      </c>
      <c r="AG72" s="379"/>
      <c r="AH72" s="164">
        <v>0</v>
      </c>
      <c r="AI72" s="379"/>
      <c r="AJ72" s="164">
        <v>0</v>
      </c>
      <c r="AK72" s="379"/>
      <c r="AL72" s="164">
        <v>0</v>
      </c>
      <c r="AM72" s="379"/>
      <c r="AN72" s="164">
        <v>0</v>
      </c>
      <c r="AO72" s="379"/>
      <c r="AP72" s="164">
        <v>0</v>
      </c>
      <c r="AQ72" s="379"/>
      <c r="AR72" s="164">
        <v>0</v>
      </c>
      <c r="AS72" s="379"/>
      <c r="AT72" s="164">
        <v>0</v>
      </c>
      <c r="AU72" s="379"/>
      <c r="AV72" s="164">
        <v>0</v>
      </c>
      <c r="AW72" s="379"/>
      <c r="AX72" s="164">
        <v>0</v>
      </c>
      <c r="AY72" s="379"/>
      <c r="AZ72" s="164">
        <v>0</v>
      </c>
      <c r="BA72" s="379"/>
      <c r="BB72" s="164">
        <v>0</v>
      </c>
      <c r="BC72" s="379"/>
      <c r="BD72" s="164">
        <v>0</v>
      </c>
      <c r="BE72" s="379"/>
      <c r="BF72" s="164">
        <v>0</v>
      </c>
      <c r="BG72" s="379"/>
      <c r="BH72" s="223"/>
      <c r="BI72" s="184"/>
      <c r="CJ72" s="150"/>
      <c r="CK72" s="150"/>
      <c r="CL72" s="150"/>
      <c r="CM72" s="151" t="s">
        <v>1031</v>
      </c>
      <c r="CN72" s="150" t="s">
        <v>1130</v>
      </c>
      <c r="CO72" s="150"/>
      <c r="CP72" s="150"/>
      <c r="CQ72" s="150"/>
      <c r="CR72" s="150"/>
      <c r="CS72" s="150"/>
      <c r="CT72" s="150"/>
    </row>
    <row r="73" spans="1:98" s="11" customFormat="1" ht="12.75" customHeight="1">
      <c r="A73" s="310"/>
      <c r="B73" s="308" t="str">
        <f>Parameters!Q72</f>
        <v>N77</v>
      </c>
      <c r="C73" s="309"/>
      <c r="D73" s="495" t="str">
        <f>Parameters!S72</f>
        <v>Rental and leasing activities</v>
      </c>
      <c r="E73" s="496"/>
      <c r="F73" s="224"/>
      <c r="G73" s="379"/>
      <c r="H73" s="225"/>
      <c r="I73" s="379"/>
      <c r="J73" s="225"/>
      <c r="K73" s="379"/>
      <c r="L73" s="225"/>
      <c r="M73" s="379"/>
      <c r="N73" s="225"/>
      <c r="O73" s="379"/>
      <c r="P73" s="225"/>
      <c r="Q73" s="379"/>
      <c r="R73" s="225"/>
      <c r="S73" s="379"/>
      <c r="T73" s="225"/>
      <c r="U73" s="379"/>
      <c r="V73" s="225"/>
      <c r="W73" s="379"/>
      <c r="X73" s="225"/>
      <c r="Y73" s="379"/>
      <c r="Z73" s="225"/>
      <c r="AA73" s="379"/>
      <c r="AB73" s="225"/>
      <c r="AC73" s="379"/>
      <c r="AD73" s="225"/>
      <c r="AE73" s="379"/>
      <c r="AF73" s="165">
        <v>0</v>
      </c>
      <c r="AG73" s="379"/>
      <c r="AH73" s="165">
        <v>0</v>
      </c>
      <c r="AI73" s="379"/>
      <c r="AJ73" s="165">
        <v>0</v>
      </c>
      <c r="AK73" s="379"/>
      <c r="AL73" s="165">
        <v>0</v>
      </c>
      <c r="AM73" s="379"/>
      <c r="AN73" s="165">
        <v>0</v>
      </c>
      <c r="AO73" s="379"/>
      <c r="AP73" s="165">
        <v>0</v>
      </c>
      <c r="AQ73" s="379"/>
      <c r="AR73" s="165">
        <v>0</v>
      </c>
      <c r="AS73" s="379"/>
      <c r="AT73" s="165">
        <v>0</v>
      </c>
      <c r="AU73" s="379"/>
      <c r="AV73" s="165">
        <v>0</v>
      </c>
      <c r="AW73" s="379"/>
      <c r="AX73" s="165">
        <v>0</v>
      </c>
      <c r="AY73" s="379"/>
      <c r="AZ73" s="165">
        <v>0</v>
      </c>
      <c r="BA73" s="379"/>
      <c r="BB73" s="165">
        <v>0</v>
      </c>
      <c r="BC73" s="379"/>
      <c r="BD73" s="165">
        <v>0</v>
      </c>
      <c r="BE73" s="379"/>
      <c r="BF73" s="165">
        <v>0</v>
      </c>
      <c r="BG73" s="379"/>
      <c r="BH73" s="225"/>
      <c r="BI73" s="184"/>
      <c r="CJ73" s="150"/>
      <c r="CK73" s="150"/>
      <c r="CL73" s="150"/>
      <c r="CM73" s="151" t="s">
        <v>1035</v>
      </c>
      <c r="CN73" s="150" t="s">
        <v>1130</v>
      </c>
      <c r="CO73" s="150"/>
      <c r="CP73" s="150"/>
      <c r="CQ73" s="150"/>
      <c r="CR73" s="150"/>
      <c r="CS73" s="150"/>
      <c r="CT73" s="150"/>
    </row>
    <row r="74" spans="1:98" s="11" customFormat="1" ht="12.75" customHeight="1">
      <c r="A74" s="310"/>
      <c r="B74" s="308" t="str">
        <f>Parameters!Q73</f>
        <v>N78</v>
      </c>
      <c r="C74" s="309"/>
      <c r="D74" s="495" t="str">
        <f>Parameters!S73</f>
        <v>Employment activities</v>
      </c>
      <c r="E74" s="496"/>
      <c r="F74" s="224"/>
      <c r="G74" s="379"/>
      <c r="H74" s="225"/>
      <c r="I74" s="379"/>
      <c r="J74" s="225"/>
      <c r="K74" s="379"/>
      <c r="L74" s="225"/>
      <c r="M74" s="379"/>
      <c r="N74" s="225"/>
      <c r="O74" s="379"/>
      <c r="P74" s="225"/>
      <c r="Q74" s="379"/>
      <c r="R74" s="225"/>
      <c r="S74" s="379"/>
      <c r="T74" s="225"/>
      <c r="U74" s="379"/>
      <c r="V74" s="225"/>
      <c r="W74" s="379"/>
      <c r="X74" s="225"/>
      <c r="Y74" s="379"/>
      <c r="Z74" s="225"/>
      <c r="AA74" s="379"/>
      <c r="AB74" s="225"/>
      <c r="AC74" s="379"/>
      <c r="AD74" s="225"/>
      <c r="AE74" s="379"/>
      <c r="AF74" s="165">
        <v>0</v>
      </c>
      <c r="AG74" s="379"/>
      <c r="AH74" s="165">
        <v>0</v>
      </c>
      <c r="AI74" s="379"/>
      <c r="AJ74" s="165">
        <v>0</v>
      </c>
      <c r="AK74" s="379"/>
      <c r="AL74" s="165">
        <v>0</v>
      </c>
      <c r="AM74" s="379"/>
      <c r="AN74" s="165">
        <v>0</v>
      </c>
      <c r="AO74" s="379"/>
      <c r="AP74" s="165">
        <v>0</v>
      </c>
      <c r="AQ74" s="379"/>
      <c r="AR74" s="165">
        <v>0</v>
      </c>
      <c r="AS74" s="379"/>
      <c r="AT74" s="165">
        <v>0</v>
      </c>
      <c r="AU74" s="379"/>
      <c r="AV74" s="165">
        <v>0</v>
      </c>
      <c r="AW74" s="379"/>
      <c r="AX74" s="165">
        <v>0</v>
      </c>
      <c r="AY74" s="379"/>
      <c r="AZ74" s="165">
        <v>0</v>
      </c>
      <c r="BA74" s="379"/>
      <c r="BB74" s="165">
        <v>0</v>
      </c>
      <c r="BC74" s="379"/>
      <c r="BD74" s="165">
        <v>0</v>
      </c>
      <c r="BE74" s="379"/>
      <c r="BF74" s="165">
        <v>0</v>
      </c>
      <c r="BG74" s="379"/>
      <c r="BH74" s="225"/>
      <c r="BI74" s="184"/>
      <c r="CJ74" s="150"/>
      <c r="CK74" s="150"/>
      <c r="CL74" s="150"/>
      <c r="CM74" s="151" t="s">
        <v>1039</v>
      </c>
      <c r="CN74" s="150" t="s">
        <v>1130</v>
      </c>
      <c r="CO74" s="150"/>
      <c r="CP74" s="150"/>
      <c r="CQ74" s="150"/>
      <c r="CR74" s="150"/>
      <c r="CS74" s="150"/>
      <c r="CT74" s="150"/>
    </row>
    <row r="75" spans="1:98" s="11" customFormat="1" ht="12.75" customHeight="1">
      <c r="A75" s="310"/>
      <c r="B75" s="308" t="str">
        <f>Parameters!Q74</f>
        <v>N79</v>
      </c>
      <c r="C75" s="309"/>
      <c r="D75" s="495" t="str">
        <f>Parameters!S74</f>
        <v>Travel agency, tour operator reservation service and related activities</v>
      </c>
      <c r="E75" s="496"/>
      <c r="F75" s="224"/>
      <c r="G75" s="379"/>
      <c r="H75" s="225"/>
      <c r="I75" s="379"/>
      <c r="J75" s="225"/>
      <c r="K75" s="379"/>
      <c r="L75" s="225"/>
      <c r="M75" s="379"/>
      <c r="N75" s="225"/>
      <c r="O75" s="379"/>
      <c r="P75" s="225"/>
      <c r="Q75" s="379"/>
      <c r="R75" s="225"/>
      <c r="S75" s="379"/>
      <c r="T75" s="225"/>
      <c r="U75" s="379"/>
      <c r="V75" s="225"/>
      <c r="W75" s="379"/>
      <c r="X75" s="225"/>
      <c r="Y75" s="379"/>
      <c r="Z75" s="225"/>
      <c r="AA75" s="379"/>
      <c r="AB75" s="225"/>
      <c r="AC75" s="379"/>
      <c r="AD75" s="225"/>
      <c r="AE75" s="379"/>
      <c r="AF75" s="165">
        <v>0</v>
      </c>
      <c r="AG75" s="379"/>
      <c r="AH75" s="165">
        <v>0</v>
      </c>
      <c r="AI75" s="379"/>
      <c r="AJ75" s="165">
        <v>0</v>
      </c>
      <c r="AK75" s="379"/>
      <c r="AL75" s="165">
        <v>0</v>
      </c>
      <c r="AM75" s="379"/>
      <c r="AN75" s="165">
        <v>0</v>
      </c>
      <c r="AO75" s="379"/>
      <c r="AP75" s="165">
        <v>0</v>
      </c>
      <c r="AQ75" s="379"/>
      <c r="AR75" s="165">
        <v>0</v>
      </c>
      <c r="AS75" s="379"/>
      <c r="AT75" s="165">
        <v>0</v>
      </c>
      <c r="AU75" s="379"/>
      <c r="AV75" s="165">
        <v>0</v>
      </c>
      <c r="AW75" s="379"/>
      <c r="AX75" s="165">
        <v>0</v>
      </c>
      <c r="AY75" s="379"/>
      <c r="AZ75" s="165">
        <v>0</v>
      </c>
      <c r="BA75" s="379"/>
      <c r="BB75" s="165">
        <v>0</v>
      </c>
      <c r="BC75" s="379"/>
      <c r="BD75" s="165">
        <v>0</v>
      </c>
      <c r="BE75" s="379"/>
      <c r="BF75" s="165">
        <v>0</v>
      </c>
      <c r="BG75" s="379"/>
      <c r="BH75" s="225"/>
      <c r="BI75" s="184"/>
      <c r="CJ75" s="150"/>
      <c r="CK75" s="150"/>
      <c r="CL75" s="150"/>
      <c r="CM75" s="151" t="s">
        <v>1043</v>
      </c>
      <c r="CN75" s="150" t="s">
        <v>1130</v>
      </c>
      <c r="CO75" s="150"/>
      <c r="CP75" s="150"/>
      <c r="CQ75" s="150"/>
      <c r="CR75" s="150"/>
      <c r="CS75" s="150"/>
      <c r="CT75" s="150"/>
    </row>
    <row r="76" spans="1:98" s="11" customFormat="1">
      <c r="A76" s="310"/>
      <c r="B76" s="308" t="str">
        <f>Parameters!Q75</f>
        <v>N80-N82</v>
      </c>
      <c r="C76" s="309"/>
      <c r="D76" s="495" t="str">
        <f>Parameters!S75</f>
        <v>Security and investigation, service and landscape, office administrative and support activities</v>
      </c>
      <c r="E76" s="497"/>
      <c r="F76" s="224"/>
      <c r="G76" s="379"/>
      <c r="H76" s="225"/>
      <c r="I76" s="379"/>
      <c r="J76" s="225"/>
      <c r="K76" s="379"/>
      <c r="L76" s="225"/>
      <c r="M76" s="379"/>
      <c r="N76" s="225"/>
      <c r="O76" s="379"/>
      <c r="P76" s="225"/>
      <c r="Q76" s="379"/>
      <c r="R76" s="225"/>
      <c r="S76" s="379"/>
      <c r="T76" s="225"/>
      <c r="U76" s="379"/>
      <c r="V76" s="225"/>
      <c r="W76" s="379"/>
      <c r="X76" s="225"/>
      <c r="Y76" s="379"/>
      <c r="Z76" s="225"/>
      <c r="AA76" s="379"/>
      <c r="AB76" s="225"/>
      <c r="AC76" s="379"/>
      <c r="AD76" s="225"/>
      <c r="AE76" s="379"/>
      <c r="AF76" s="165">
        <v>0</v>
      </c>
      <c r="AG76" s="379"/>
      <c r="AH76" s="165">
        <v>0</v>
      </c>
      <c r="AI76" s="379"/>
      <c r="AJ76" s="165">
        <v>0</v>
      </c>
      <c r="AK76" s="379"/>
      <c r="AL76" s="165">
        <v>0</v>
      </c>
      <c r="AM76" s="379"/>
      <c r="AN76" s="165">
        <v>0</v>
      </c>
      <c r="AO76" s="379"/>
      <c r="AP76" s="165">
        <v>0</v>
      </c>
      <c r="AQ76" s="379"/>
      <c r="AR76" s="165">
        <v>0</v>
      </c>
      <c r="AS76" s="379"/>
      <c r="AT76" s="165">
        <v>0</v>
      </c>
      <c r="AU76" s="379"/>
      <c r="AV76" s="165">
        <v>0</v>
      </c>
      <c r="AW76" s="379"/>
      <c r="AX76" s="165">
        <v>0</v>
      </c>
      <c r="AY76" s="379"/>
      <c r="AZ76" s="165">
        <v>0</v>
      </c>
      <c r="BA76" s="379"/>
      <c r="BB76" s="165">
        <v>0</v>
      </c>
      <c r="BC76" s="379"/>
      <c r="BD76" s="165">
        <v>0</v>
      </c>
      <c r="BE76" s="379"/>
      <c r="BF76" s="165">
        <v>0</v>
      </c>
      <c r="BG76" s="379"/>
      <c r="BH76" s="225"/>
      <c r="BI76" s="184"/>
      <c r="CJ76" s="150"/>
      <c r="CK76" s="150"/>
      <c r="CL76" s="150"/>
      <c r="CM76" s="151" t="s">
        <v>1143</v>
      </c>
      <c r="CN76" s="150" t="s">
        <v>1130</v>
      </c>
      <c r="CO76" s="150"/>
      <c r="CP76" s="150"/>
      <c r="CQ76" s="150"/>
      <c r="CR76" s="150"/>
      <c r="CS76" s="150"/>
      <c r="CT76" s="150"/>
    </row>
    <row r="77" spans="1:98" s="11" customFormat="1" ht="12.75" customHeight="1">
      <c r="A77" s="25"/>
      <c r="B77" s="87" t="str">
        <f>Parameters!Q76</f>
        <v>O</v>
      </c>
      <c r="C77" s="88"/>
      <c r="D77" s="498" t="str">
        <f>Parameters!S76</f>
        <v>Public administration and defence; compulsory social security</v>
      </c>
      <c r="E77" s="499"/>
      <c r="F77" s="222"/>
      <c r="G77" s="379"/>
      <c r="H77" s="223"/>
      <c r="I77" s="379"/>
      <c r="J77" s="223"/>
      <c r="K77" s="379"/>
      <c r="L77" s="223"/>
      <c r="M77" s="379"/>
      <c r="N77" s="223"/>
      <c r="O77" s="379"/>
      <c r="P77" s="223"/>
      <c r="Q77" s="379"/>
      <c r="R77" s="223"/>
      <c r="S77" s="379"/>
      <c r="T77" s="223"/>
      <c r="U77" s="379"/>
      <c r="V77" s="223"/>
      <c r="W77" s="379"/>
      <c r="X77" s="223"/>
      <c r="Y77" s="379"/>
      <c r="Z77" s="223"/>
      <c r="AA77" s="379"/>
      <c r="AB77" s="223"/>
      <c r="AC77" s="379"/>
      <c r="AD77" s="223"/>
      <c r="AE77" s="379"/>
      <c r="AF77" s="164">
        <v>0</v>
      </c>
      <c r="AG77" s="379"/>
      <c r="AH77" s="164">
        <v>0</v>
      </c>
      <c r="AI77" s="379"/>
      <c r="AJ77" s="164">
        <v>0</v>
      </c>
      <c r="AK77" s="379"/>
      <c r="AL77" s="164">
        <v>0</v>
      </c>
      <c r="AM77" s="379"/>
      <c r="AN77" s="164">
        <v>0</v>
      </c>
      <c r="AO77" s="379"/>
      <c r="AP77" s="164">
        <v>0</v>
      </c>
      <c r="AQ77" s="379"/>
      <c r="AR77" s="164">
        <v>0</v>
      </c>
      <c r="AS77" s="379"/>
      <c r="AT77" s="164">
        <v>0</v>
      </c>
      <c r="AU77" s="379"/>
      <c r="AV77" s="164">
        <v>0</v>
      </c>
      <c r="AW77" s="379"/>
      <c r="AX77" s="164">
        <v>0</v>
      </c>
      <c r="AY77" s="379"/>
      <c r="AZ77" s="164">
        <v>0</v>
      </c>
      <c r="BA77" s="379"/>
      <c r="BB77" s="164">
        <v>0</v>
      </c>
      <c r="BC77" s="379"/>
      <c r="BD77" s="164">
        <v>0</v>
      </c>
      <c r="BE77" s="379"/>
      <c r="BF77" s="164">
        <v>0</v>
      </c>
      <c r="BG77" s="379"/>
      <c r="BH77" s="223"/>
      <c r="BI77" s="184"/>
      <c r="CJ77" s="150"/>
      <c r="CK77" s="150"/>
      <c r="CL77" s="150"/>
      <c r="CM77" s="151" t="s">
        <v>1051</v>
      </c>
      <c r="CN77" s="150" t="s">
        <v>1130</v>
      </c>
      <c r="CO77" s="150"/>
      <c r="CP77" s="150"/>
      <c r="CQ77" s="150"/>
      <c r="CR77" s="150"/>
      <c r="CS77" s="150"/>
      <c r="CT77" s="150"/>
    </row>
    <row r="78" spans="1:98" s="11" customFormat="1" ht="12.75" customHeight="1">
      <c r="A78" s="25"/>
      <c r="B78" s="87" t="str">
        <f>Parameters!Q77</f>
        <v>P</v>
      </c>
      <c r="C78" s="88"/>
      <c r="D78" s="498" t="str">
        <f>Parameters!S77</f>
        <v>Education</v>
      </c>
      <c r="E78" s="499"/>
      <c r="F78" s="222"/>
      <c r="G78" s="379"/>
      <c r="H78" s="223"/>
      <c r="I78" s="379"/>
      <c r="J78" s="223"/>
      <c r="K78" s="379"/>
      <c r="L78" s="223"/>
      <c r="M78" s="379"/>
      <c r="N78" s="223"/>
      <c r="O78" s="379"/>
      <c r="P78" s="223"/>
      <c r="Q78" s="379"/>
      <c r="R78" s="223"/>
      <c r="S78" s="379"/>
      <c r="T78" s="223"/>
      <c r="U78" s="379"/>
      <c r="V78" s="223"/>
      <c r="W78" s="379"/>
      <c r="X78" s="223"/>
      <c r="Y78" s="379"/>
      <c r="Z78" s="223"/>
      <c r="AA78" s="379"/>
      <c r="AB78" s="223"/>
      <c r="AC78" s="379"/>
      <c r="AD78" s="223"/>
      <c r="AE78" s="379"/>
      <c r="AF78" s="164">
        <v>0</v>
      </c>
      <c r="AG78" s="379"/>
      <c r="AH78" s="164">
        <v>0</v>
      </c>
      <c r="AI78" s="379"/>
      <c r="AJ78" s="164">
        <v>0</v>
      </c>
      <c r="AK78" s="379"/>
      <c r="AL78" s="164">
        <v>0</v>
      </c>
      <c r="AM78" s="379"/>
      <c r="AN78" s="164">
        <v>0</v>
      </c>
      <c r="AO78" s="379"/>
      <c r="AP78" s="164">
        <v>0</v>
      </c>
      <c r="AQ78" s="379"/>
      <c r="AR78" s="164">
        <v>0</v>
      </c>
      <c r="AS78" s="379"/>
      <c r="AT78" s="164">
        <v>0</v>
      </c>
      <c r="AU78" s="379"/>
      <c r="AV78" s="164">
        <v>0</v>
      </c>
      <c r="AW78" s="379"/>
      <c r="AX78" s="164">
        <v>0</v>
      </c>
      <c r="AY78" s="379"/>
      <c r="AZ78" s="164">
        <v>0</v>
      </c>
      <c r="BA78" s="379"/>
      <c r="BB78" s="164">
        <v>0</v>
      </c>
      <c r="BC78" s="379"/>
      <c r="BD78" s="164">
        <v>0</v>
      </c>
      <c r="BE78" s="379"/>
      <c r="BF78" s="164">
        <v>0</v>
      </c>
      <c r="BG78" s="379"/>
      <c r="BH78" s="223"/>
      <c r="BI78" s="184"/>
      <c r="CJ78" s="150"/>
      <c r="CK78" s="150"/>
      <c r="CL78" s="150"/>
      <c r="CM78" s="151" t="s">
        <v>271</v>
      </c>
      <c r="CN78" s="150" t="s">
        <v>1130</v>
      </c>
      <c r="CO78" s="150"/>
      <c r="CP78" s="150"/>
      <c r="CQ78" s="150"/>
      <c r="CR78" s="150"/>
      <c r="CS78" s="150"/>
      <c r="CT78" s="150"/>
    </row>
    <row r="79" spans="1:98" s="11" customFormat="1" ht="12.75" customHeight="1">
      <c r="A79" s="25"/>
      <c r="B79" s="87" t="str">
        <f>Parameters!Q78</f>
        <v>Q</v>
      </c>
      <c r="C79" s="88"/>
      <c r="D79" s="498" t="str">
        <f>Parameters!S78</f>
        <v>Human health and social work activities</v>
      </c>
      <c r="E79" s="499"/>
      <c r="F79" s="222"/>
      <c r="G79" s="379"/>
      <c r="H79" s="223"/>
      <c r="I79" s="379"/>
      <c r="J79" s="223"/>
      <c r="K79" s="379"/>
      <c r="L79" s="223"/>
      <c r="M79" s="379"/>
      <c r="N79" s="223"/>
      <c r="O79" s="379"/>
      <c r="P79" s="223"/>
      <c r="Q79" s="379"/>
      <c r="R79" s="223"/>
      <c r="S79" s="379"/>
      <c r="T79" s="223"/>
      <c r="U79" s="379"/>
      <c r="V79" s="223"/>
      <c r="W79" s="379"/>
      <c r="X79" s="223"/>
      <c r="Y79" s="379"/>
      <c r="Z79" s="223"/>
      <c r="AA79" s="379"/>
      <c r="AB79" s="223"/>
      <c r="AC79" s="379"/>
      <c r="AD79" s="223"/>
      <c r="AE79" s="379"/>
      <c r="AF79" s="164">
        <v>0</v>
      </c>
      <c r="AG79" s="379"/>
      <c r="AH79" s="164">
        <v>0</v>
      </c>
      <c r="AI79" s="379"/>
      <c r="AJ79" s="164">
        <v>0</v>
      </c>
      <c r="AK79" s="379"/>
      <c r="AL79" s="164">
        <v>0</v>
      </c>
      <c r="AM79" s="379"/>
      <c r="AN79" s="164">
        <v>0</v>
      </c>
      <c r="AO79" s="379"/>
      <c r="AP79" s="164">
        <v>0</v>
      </c>
      <c r="AQ79" s="379"/>
      <c r="AR79" s="164">
        <v>0</v>
      </c>
      <c r="AS79" s="379"/>
      <c r="AT79" s="164">
        <v>0</v>
      </c>
      <c r="AU79" s="379"/>
      <c r="AV79" s="164">
        <v>0</v>
      </c>
      <c r="AW79" s="379"/>
      <c r="AX79" s="164">
        <v>0</v>
      </c>
      <c r="AY79" s="379"/>
      <c r="AZ79" s="164">
        <v>0</v>
      </c>
      <c r="BA79" s="379"/>
      <c r="BB79" s="164">
        <v>0</v>
      </c>
      <c r="BC79" s="379"/>
      <c r="BD79" s="164">
        <v>0</v>
      </c>
      <c r="BE79" s="379"/>
      <c r="BF79" s="164">
        <v>0</v>
      </c>
      <c r="BG79" s="379"/>
      <c r="BH79" s="223"/>
      <c r="BI79" s="184"/>
      <c r="CJ79" s="150"/>
      <c r="CK79" s="150"/>
      <c r="CL79" s="150"/>
      <c r="CM79" s="151" t="s">
        <v>1059</v>
      </c>
      <c r="CN79" s="150" t="s">
        <v>1130</v>
      </c>
      <c r="CO79" s="150"/>
      <c r="CP79" s="150"/>
      <c r="CQ79" s="150"/>
      <c r="CR79" s="150"/>
      <c r="CS79" s="150"/>
      <c r="CT79" s="150"/>
    </row>
    <row r="80" spans="1:98" s="11" customFormat="1" ht="12.75" customHeight="1">
      <c r="A80" s="310"/>
      <c r="B80" s="308" t="str">
        <f>Parameters!Q79</f>
        <v>Q86</v>
      </c>
      <c r="C80" s="309"/>
      <c r="D80" s="495" t="str">
        <f>Parameters!S79</f>
        <v>Human health activities</v>
      </c>
      <c r="E80" s="497"/>
      <c r="F80" s="224"/>
      <c r="G80" s="379"/>
      <c r="H80" s="225"/>
      <c r="I80" s="379"/>
      <c r="J80" s="225"/>
      <c r="K80" s="379"/>
      <c r="L80" s="225"/>
      <c r="M80" s="379"/>
      <c r="N80" s="225"/>
      <c r="O80" s="379"/>
      <c r="P80" s="225"/>
      <c r="Q80" s="379"/>
      <c r="R80" s="225"/>
      <c r="S80" s="379"/>
      <c r="T80" s="225"/>
      <c r="U80" s="379"/>
      <c r="V80" s="225"/>
      <c r="W80" s="379"/>
      <c r="X80" s="225"/>
      <c r="Y80" s="379"/>
      <c r="Z80" s="225"/>
      <c r="AA80" s="379"/>
      <c r="AB80" s="225"/>
      <c r="AC80" s="379"/>
      <c r="AD80" s="225"/>
      <c r="AE80" s="379"/>
      <c r="AF80" s="165">
        <v>0</v>
      </c>
      <c r="AG80" s="379"/>
      <c r="AH80" s="165">
        <v>0</v>
      </c>
      <c r="AI80" s="379"/>
      <c r="AJ80" s="165">
        <v>0</v>
      </c>
      <c r="AK80" s="379"/>
      <c r="AL80" s="165">
        <v>0</v>
      </c>
      <c r="AM80" s="379"/>
      <c r="AN80" s="165">
        <v>0</v>
      </c>
      <c r="AO80" s="379"/>
      <c r="AP80" s="165">
        <v>0</v>
      </c>
      <c r="AQ80" s="379"/>
      <c r="AR80" s="165">
        <v>0</v>
      </c>
      <c r="AS80" s="379"/>
      <c r="AT80" s="165">
        <v>0</v>
      </c>
      <c r="AU80" s="379"/>
      <c r="AV80" s="165">
        <v>0</v>
      </c>
      <c r="AW80" s="379"/>
      <c r="AX80" s="165">
        <v>0</v>
      </c>
      <c r="AY80" s="379"/>
      <c r="AZ80" s="165">
        <v>0</v>
      </c>
      <c r="BA80" s="379"/>
      <c r="BB80" s="165">
        <v>0</v>
      </c>
      <c r="BC80" s="379"/>
      <c r="BD80" s="165">
        <v>0</v>
      </c>
      <c r="BE80" s="379"/>
      <c r="BF80" s="165">
        <v>0</v>
      </c>
      <c r="BG80" s="379"/>
      <c r="BH80" s="225"/>
      <c r="BI80" s="184"/>
      <c r="CJ80" s="150"/>
      <c r="CK80" s="150"/>
      <c r="CL80" s="150"/>
      <c r="CM80" s="151" t="s">
        <v>1063</v>
      </c>
      <c r="CN80" s="150" t="s">
        <v>1130</v>
      </c>
      <c r="CO80" s="150"/>
      <c r="CP80" s="150"/>
      <c r="CQ80" s="150"/>
      <c r="CR80" s="150"/>
      <c r="CS80" s="150"/>
      <c r="CT80" s="150"/>
    </row>
    <row r="81" spans="1:98" s="11" customFormat="1" ht="12.75" customHeight="1">
      <c r="A81" s="310"/>
      <c r="B81" s="308" t="str">
        <f>Parameters!Q80</f>
        <v>Q87_Q88</v>
      </c>
      <c r="C81" s="309"/>
      <c r="D81" s="495" t="str">
        <f>Parameters!S80</f>
        <v>Residential care activities and social work activities without accommodation</v>
      </c>
      <c r="E81" s="497"/>
      <c r="F81" s="224"/>
      <c r="G81" s="379"/>
      <c r="H81" s="225"/>
      <c r="I81" s="379"/>
      <c r="J81" s="225"/>
      <c r="K81" s="379"/>
      <c r="L81" s="225"/>
      <c r="M81" s="379"/>
      <c r="N81" s="225"/>
      <c r="O81" s="379"/>
      <c r="P81" s="225"/>
      <c r="Q81" s="379"/>
      <c r="R81" s="225"/>
      <c r="S81" s="379"/>
      <c r="T81" s="225"/>
      <c r="U81" s="379"/>
      <c r="V81" s="225"/>
      <c r="W81" s="379"/>
      <c r="X81" s="225"/>
      <c r="Y81" s="379"/>
      <c r="Z81" s="225"/>
      <c r="AA81" s="379"/>
      <c r="AB81" s="225"/>
      <c r="AC81" s="379"/>
      <c r="AD81" s="225"/>
      <c r="AE81" s="379"/>
      <c r="AF81" s="165">
        <v>0</v>
      </c>
      <c r="AG81" s="379"/>
      <c r="AH81" s="165">
        <v>0</v>
      </c>
      <c r="AI81" s="379"/>
      <c r="AJ81" s="165">
        <v>0</v>
      </c>
      <c r="AK81" s="379"/>
      <c r="AL81" s="165">
        <v>0</v>
      </c>
      <c r="AM81" s="379"/>
      <c r="AN81" s="165">
        <v>0</v>
      </c>
      <c r="AO81" s="379"/>
      <c r="AP81" s="165">
        <v>0</v>
      </c>
      <c r="AQ81" s="379"/>
      <c r="AR81" s="165">
        <v>0</v>
      </c>
      <c r="AS81" s="379"/>
      <c r="AT81" s="165">
        <v>0</v>
      </c>
      <c r="AU81" s="379"/>
      <c r="AV81" s="165">
        <v>0</v>
      </c>
      <c r="AW81" s="379"/>
      <c r="AX81" s="165">
        <v>0</v>
      </c>
      <c r="AY81" s="379"/>
      <c r="AZ81" s="165">
        <v>0</v>
      </c>
      <c r="BA81" s="379"/>
      <c r="BB81" s="165">
        <v>0</v>
      </c>
      <c r="BC81" s="379"/>
      <c r="BD81" s="165">
        <v>0</v>
      </c>
      <c r="BE81" s="379"/>
      <c r="BF81" s="165">
        <v>0</v>
      </c>
      <c r="BG81" s="379"/>
      <c r="BH81" s="225"/>
      <c r="BI81" s="184"/>
      <c r="CJ81" s="157"/>
      <c r="CK81" s="150"/>
      <c r="CL81" s="157"/>
      <c r="CM81" s="151" t="s">
        <v>1144</v>
      </c>
      <c r="CN81" s="150" t="s">
        <v>1130</v>
      </c>
      <c r="CO81" s="157"/>
      <c r="CP81" s="157"/>
      <c r="CQ81" s="157"/>
      <c r="CR81" s="157"/>
      <c r="CS81" s="157"/>
      <c r="CT81" s="157"/>
    </row>
    <row r="82" spans="1:98" s="11" customFormat="1" ht="12.75" customHeight="1">
      <c r="A82" s="25"/>
      <c r="B82" s="87" t="str">
        <f>Parameters!Q81</f>
        <v>R</v>
      </c>
      <c r="C82" s="88"/>
      <c r="D82" s="498" t="str">
        <f>Parameters!S81</f>
        <v>Arts, entertainment and recreation</v>
      </c>
      <c r="E82" s="499"/>
      <c r="F82" s="222"/>
      <c r="G82" s="379"/>
      <c r="H82" s="223"/>
      <c r="I82" s="379"/>
      <c r="J82" s="223"/>
      <c r="K82" s="379"/>
      <c r="L82" s="223"/>
      <c r="M82" s="379"/>
      <c r="N82" s="223"/>
      <c r="O82" s="379"/>
      <c r="P82" s="223"/>
      <c r="Q82" s="379"/>
      <c r="R82" s="223"/>
      <c r="S82" s="379"/>
      <c r="T82" s="223"/>
      <c r="U82" s="379"/>
      <c r="V82" s="223"/>
      <c r="W82" s="379"/>
      <c r="X82" s="223"/>
      <c r="Y82" s="379"/>
      <c r="Z82" s="223"/>
      <c r="AA82" s="379"/>
      <c r="AB82" s="223"/>
      <c r="AC82" s="379"/>
      <c r="AD82" s="223"/>
      <c r="AE82" s="379"/>
      <c r="AF82" s="164">
        <v>0</v>
      </c>
      <c r="AG82" s="379"/>
      <c r="AH82" s="164">
        <v>0</v>
      </c>
      <c r="AI82" s="379"/>
      <c r="AJ82" s="164">
        <v>8.4280152000000008</v>
      </c>
      <c r="AK82" s="379"/>
      <c r="AL82" s="164">
        <v>10.0320266</v>
      </c>
      <c r="AM82" s="379"/>
      <c r="AN82" s="164">
        <v>9.6731251999999994</v>
      </c>
      <c r="AO82" s="379"/>
      <c r="AP82" s="164">
        <v>4.3073597000000001</v>
      </c>
      <c r="AQ82" s="379"/>
      <c r="AR82" s="164">
        <v>0</v>
      </c>
      <c r="AS82" s="379"/>
      <c r="AT82" s="164">
        <v>0</v>
      </c>
      <c r="AU82" s="379"/>
      <c r="AV82" s="164">
        <v>0</v>
      </c>
      <c r="AW82" s="379"/>
      <c r="AX82" s="164">
        <v>0</v>
      </c>
      <c r="AY82" s="379"/>
      <c r="AZ82" s="164">
        <v>0</v>
      </c>
      <c r="BA82" s="379"/>
      <c r="BB82" s="164">
        <v>0</v>
      </c>
      <c r="BC82" s="379"/>
      <c r="BD82" s="164">
        <v>0</v>
      </c>
      <c r="BE82" s="379"/>
      <c r="BF82" s="164">
        <v>0</v>
      </c>
      <c r="BG82" s="379"/>
      <c r="BH82" s="223"/>
      <c r="BI82" s="184"/>
      <c r="CJ82" s="157"/>
      <c r="CK82" s="150"/>
      <c r="CL82" s="157"/>
      <c r="CM82" s="151" t="s">
        <v>1070</v>
      </c>
      <c r="CN82" s="150" t="s">
        <v>1130</v>
      </c>
      <c r="CO82" s="157"/>
      <c r="CP82" s="157"/>
      <c r="CQ82" s="157"/>
      <c r="CR82" s="157"/>
      <c r="CS82" s="157"/>
      <c r="CT82" s="157"/>
    </row>
    <row r="83" spans="1:98" s="11" customFormat="1" ht="25.5" customHeight="1">
      <c r="A83" s="310"/>
      <c r="B83" s="308" t="str">
        <f>Parameters!Q82</f>
        <v>R90-R92</v>
      </c>
      <c r="C83" s="309"/>
      <c r="D83" s="495" t="str">
        <f>Parameters!S82</f>
        <v>Creative, arts and entertainment activities; libraries, archives, museums and other cultural activities; gambling and betting activities</v>
      </c>
      <c r="E83" s="497"/>
      <c r="F83" s="224"/>
      <c r="G83" s="379"/>
      <c r="H83" s="225"/>
      <c r="I83" s="379"/>
      <c r="J83" s="225"/>
      <c r="K83" s="379"/>
      <c r="L83" s="225"/>
      <c r="M83" s="379"/>
      <c r="N83" s="225"/>
      <c r="O83" s="379"/>
      <c r="P83" s="225"/>
      <c r="Q83" s="379"/>
      <c r="R83" s="225"/>
      <c r="S83" s="379"/>
      <c r="T83" s="225"/>
      <c r="U83" s="379"/>
      <c r="V83" s="225"/>
      <c r="W83" s="379"/>
      <c r="X83" s="225"/>
      <c r="Y83" s="379"/>
      <c r="Z83" s="225"/>
      <c r="AA83" s="379"/>
      <c r="AB83" s="225"/>
      <c r="AC83" s="379"/>
      <c r="AD83" s="225"/>
      <c r="AE83" s="379"/>
      <c r="AF83" s="165">
        <v>0</v>
      </c>
      <c r="AG83" s="379"/>
      <c r="AH83" s="165">
        <v>0</v>
      </c>
      <c r="AI83" s="379"/>
      <c r="AJ83" s="165">
        <v>0</v>
      </c>
      <c r="AK83" s="379"/>
      <c r="AL83" s="165">
        <v>0</v>
      </c>
      <c r="AM83" s="379"/>
      <c r="AN83" s="165">
        <v>0</v>
      </c>
      <c r="AO83" s="379"/>
      <c r="AP83" s="165">
        <v>0</v>
      </c>
      <c r="AQ83" s="379"/>
      <c r="AR83" s="165">
        <v>0</v>
      </c>
      <c r="AS83" s="379"/>
      <c r="AT83" s="165">
        <v>0</v>
      </c>
      <c r="AU83" s="379"/>
      <c r="AV83" s="165">
        <v>0</v>
      </c>
      <c r="AW83" s="379"/>
      <c r="AX83" s="165">
        <v>0</v>
      </c>
      <c r="AY83" s="379"/>
      <c r="AZ83" s="165">
        <v>0</v>
      </c>
      <c r="BA83" s="379"/>
      <c r="BB83" s="165">
        <v>0</v>
      </c>
      <c r="BC83" s="379"/>
      <c r="BD83" s="165">
        <v>0</v>
      </c>
      <c r="BE83" s="379"/>
      <c r="BF83" s="165">
        <v>0</v>
      </c>
      <c r="BG83" s="379"/>
      <c r="BH83" s="225"/>
      <c r="BI83" s="184"/>
      <c r="CJ83" s="157"/>
      <c r="CK83" s="150"/>
      <c r="CL83" s="157"/>
      <c r="CM83" s="151" t="s">
        <v>1145</v>
      </c>
      <c r="CN83" s="150" t="s">
        <v>1130</v>
      </c>
      <c r="CO83" s="157"/>
      <c r="CP83" s="157"/>
      <c r="CQ83" s="157"/>
      <c r="CR83" s="157"/>
      <c r="CS83" s="157"/>
      <c r="CT83" s="157"/>
    </row>
    <row r="84" spans="1:98" s="11" customFormat="1" ht="12.75" customHeight="1">
      <c r="A84" s="310"/>
      <c r="B84" s="308" t="str">
        <f>Parameters!Q83</f>
        <v>R93</v>
      </c>
      <c r="C84" s="309"/>
      <c r="D84" s="495" t="str">
        <f>Parameters!S83</f>
        <v>Sports activities and amusement and recreation activities</v>
      </c>
      <c r="E84" s="497"/>
      <c r="F84" s="224"/>
      <c r="G84" s="379"/>
      <c r="H84" s="225"/>
      <c r="I84" s="379"/>
      <c r="J84" s="225"/>
      <c r="K84" s="379"/>
      <c r="L84" s="225"/>
      <c r="M84" s="379"/>
      <c r="N84" s="225"/>
      <c r="O84" s="379"/>
      <c r="P84" s="225"/>
      <c r="Q84" s="379"/>
      <c r="R84" s="225"/>
      <c r="S84" s="379"/>
      <c r="T84" s="225"/>
      <c r="U84" s="379"/>
      <c r="V84" s="225"/>
      <c r="W84" s="379"/>
      <c r="X84" s="225"/>
      <c r="Y84" s="379"/>
      <c r="Z84" s="225"/>
      <c r="AA84" s="379"/>
      <c r="AB84" s="225"/>
      <c r="AC84" s="379"/>
      <c r="AD84" s="225"/>
      <c r="AE84" s="379"/>
      <c r="AF84" s="165">
        <v>0</v>
      </c>
      <c r="AG84" s="379"/>
      <c r="AH84" s="165">
        <v>0</v>
      </c>
      <c r="AI84" s="379"/>
      <c r="AJ84" s="165">
        <v>8.4280152000000008</v>
      </c>
      <c r="AK84" s="379"/>
      <c r="AL84" s="165">
        <v>10.0320266</v>
      </c>
      <c r="AM84" s="379"/>
      <c r="AN84" s="165">
        <v>9.6731251999999994</v>
      </c>
      <c r="AO84" s="379"/>
      <c r="AP84" s="165">
        <v>4.3073597000000001</v>
      </c>
      <c r="AQ84" s="379"/>
      <c r="AR84" s="165">
        <v>0</v>
      </c>
      <c r="AS84" s="379"/>
      <c r="AT84" s="165">
        <v>0</v>
      </c>
      <c r="AU84" s="379"/>
      <c r="AV84" s="165">
        <v>0</v>
      </c>
      <c r="AW84" s="379"/>
      <c r="AX84" s="165">
        <v>0</v>
      </c>
      <c r="AY84" s="379"/>
      <c r="AZ84" s="165">
        <v>0</v>
      </c>
      <c r="BA84" s="379"/>
      <c r="BB84" s="165">
        <v>0</v>
      </c>
      <c r="BC84" s="379"/>
      <c r="BD84" s="165">
        <v>0</v>
      </c>
      <c r="BE84" s="379"/>
      <c r="BF84" s="165">
        <v>0</v>
      </c>
      <c r="BG84" s="379"/>
      <c r="BH84" s="225"/>
      <c r="BI84" s="184"/>
      <c r="CJ84" s="157"/>
      <c r="CK84" s="150"/>
      <c r="CL84" s="157"/>
      <c r="CM84" s="151" t="s">
        <v>1074</v>
      </c>
      <c r="CN84" s="150" t="s">
        <v>1130</v>
      </c>
      <c r="CO84" s="157"/>
      <c r="CP84" s="157"/>
      <c r="CQ84" s="157"/>
      <c r="CR84" s="157"/>
      <c r="CS84" s="157"/>
      <c r="CT84" s="157"/>
    </row>
    <row r="85" spans="1:98" s="11" customFormat="1" ht="12.75" customHeight="1">
      <c r="A85" s="25"/>
      <c r="B85" s="87" t="str">
        <f>Parameters!Q84</f>
        <v>S</v>
      </c>
      <c r="C85" s="88"/>
      <c r="D85" s="498" t="str">
        <f>Parameters!S84</f>
        <v>Other service activities</v>
      </c>
      <c r="E85" s="499"/>
      <c r="F85" s="222"/>
      <c r="G85" s="379"/>
      <c r="H85" s="223"/>
      <c r="I85" s="379"/>
      <c r="J85" s="223"/>
      <c r="K85" s="379"/>
      <c r="L85" s="223"/>
      <c r="M85" s="379"/>
      <c r="N85" s="223"/>
      <c r="O85" s="379"/>
      <c r="P85" s="223"/>
      <c r="Q85" s="379"/>
      <c r="R85" s="223"/>
      <c r="S85" s="379"/>
      <c r="T85" s="223"/>
      <c r="U85" s="379"/>
      <c r="V85" s="223"/>
      <c r="W85" s="379"/>
      <c r="X85" s="223"/>
      <c r="Y85" s="379"/>
      <c r="Z85" s="223"/>
      <c r="AA85" s="379"/>
      <c r="AB85" s="223"/>
      <c r="AC85" s="379"/>
      <c r="AD85" s="223"/>
      <c r="AE85" s="379"/>
      <c r="AF85" s="164">
        <v>0</v>
      </c>
      <c r="AG85" s="379"/>
      <c r="AH85" s="164">
        <v>0</v>
      </c>
      <c r="AI85" s="379"/>
      <c r="AJ85" s="164">
        <v>0</v>
      </c>
      <c r="AK85" s="379"/>
      <c r="AL85" s="164">
        <v>0</v>
      </c>
      <c r="AM85" s="379"/>
      <c r="AN85" s="164">
        <v>0</v>
      </c>
      <c r="AO85" s="379"/>
      <c r="AP85" s="164">
        <v>0</v>
      </c>
      <c r="AQ85" s="379"/>
      <c r="AR85" s="164">
        <v>0</v>
      </c>
      <c r="AS85" s="379"/>
      <c r="AT85" s="164">
        <v>0</v>
      </c>
      <c r="AU85" s="379"/>
      <c r="AV85" s="164">
        <v>0</v>
      </c>
      <c r="AW85" s="379"/>
      <c r="AX85" s="164">
        <v>0</v>
      </c>
      <c r="AY85" s="379"/>
      <c r="AZ85" s="164">
        <v>0</v>
      </c>
      <c r="BA85" s="379"/>
      <c r="BB85" s="164">
        <v>0</v>
      </c>
      <c r="BC85" s="379"/>
      <c r="BD85" s="164">
        <v>0</v>
      </c>
      <c r="BE85" s="379"/>
      <c r="BF85" s="164">
        <v>0</v>
      </c>
      <c r="BG85" s="379"/>
      <c r="BH85" s="223"/>
      <c r="BI85" s="184"/>
      <c r="CJ85" s="157"/>
      <c r="CK85" s="150"/>
      <c r="CL85" s="157"/>
      <c r="CM85" s="151" t="s">
        <v>1076</v>
      </c>
      <c r="CN85" s="150" t="s">
        <v>1130</v>
      </c>
      <c r="CO85" s="157"/>
      <c r="CP85" s="157"/>
      <c r="CQ85" s="157"/>
      <c r="CR85" s="157"/>
      <c r="CS85" s="157"/>
      <c r="CT85" s="157"/>
    </row>
    <row r="86" spans="1:98" s="10" customFormat="1" ht="12.75" customHeight="1">
      <c r="A86" s="310"/>
      <c r="B86" s="308" t="str">
        <f>Parameters!Q85</f>
        <v>S94</v>
      </c>
      <c r="C86" s="309"/>
      <c r="D86" s="495" t="str">
        <f>Parameters!S85</f>
        <v>Activities of membership organisations</v>
      </c>
      <c r="E86" s="496"/>
      <c r="F86" s="224"/>
      <c r="G86" s="379"/>
      <c r="H86" s="225"/>
      <c r="I86" s="379"/>
      <c r="J86" s="225"/>
      <c r="K86" s="379"/>
      <c r="L86" s="225"/>
      <c r="M86" s="379"/>
      <c r="N86" s="225"/>
      <c r="O86" s="379"/>
      <c r="P86" s="225"/>
      <c r="Q86" s="379"/>
      <c r="R86" s="225"/>
      <c r="S86" s="379"/>
      <c r="T86" s="225"/>
      <c r="U86" s="379"/>
      <c r="V86" s="225"/>
      <c r="W86" s="379"/>
      <c r="X86" s="225"/>
      <c r="Y86" s="379"/>
      <c r="Z86" s="225"/>
      <c r="AA86" s="379"/>
      <c r="AB86" s="225"/>
      <c r="AC86" s="379"/>
      <c r="AD86" s="225"/>
      <c r="AE86" s="379"/>
      <c r="AF86" s="165">
        <v>0</v>
      </c>
      <c r="AG86" s="379"/>
      <c r="AH86" s="165">
        <v>0</v>
      </c>
      <c r="AI86" s="379"/>
      <c r="AJ86" s="165">
        <v>0</v>
      </c>
      <c r="AK86" s="379"/>
      <c r="AL86" s="165">
        <v>0</v>
      </c>
      <c r="AM86" s="379"/>
      <c r="AN86" s="165">
        <v>0</v>
      </c>
      <c r="AO86" s="379"/>
      <c r="AP86" s="165">
        <v>0</v>
      </c>
      <c r="AQ86" s="379"/>
      <c r="AR86" s="165">
        <v>0</v>
      </c>
      <c r="AS86" s="379"/>
      <c r="AT86" s="165">
        <v>0</v>
      </c>
      <c r="AU86" s="379"/>
      <c r="AV86" s="165">
        <v>0</v>
      </c>
      <c r="AW86" s="379"/>
      <c r="AX86" s="165">
        <v>0</v>
      </c>
      <c r="AY86" s="379"/>
      <c r="AZ86" s="165">
        <v>0</v>
      </c>
      <c r="BA86" s="379"/>
      <c r="BB86" s="165">
        <v>0</v>
      </c>
      <c r="BC86" s="379"/>
      <c r="BD86" s="165">
        <v>0</v>
      </c>
      <c r="BE86" s="379"/>
      <c r="BF86" s="165">
        <v>0</v>
      </c>
      <c r="BG86" s="379"/>
      <c r="BH86" s="225"/>
      <c r="BI86" s="184"/>
      <c r="CJ86" s="157"/>
      <c r="CK86" s="150"/>
      <c r="CL86" s="157"/>
      <c r="CM86" s="151" t="s">
        <v>1078</v>
      </c>
      <c r="CN86" s="150" t="s">
        <v>1130</v>
      </c>
      <c r="CO86" s="157"/>
      <c r="CP86" s="157"/>
      <c r="CQ86" s="157"/>
      <c r="CR86" s="157"/>
      <c r="CS86" s="157"/>
      <c r="CT86" s="157"/>
    </row>
    <row r="87" spans="1:98" s="10" customFormat="1" ht="12.75" customHeight="1">
      <c r="A87" s="310"/>
      <c r="B87" s="308" t="str">
        <f>Parameters!Q86</f>
        <v>S95</v>
      </c>
      <c r="C87" s="309"/>
      <c r="D87" s="495" t="str">
        <f>Parameters!S86</f>
        <v>Repair of computers and personal and household goods</v>
      </c>
      <c r="E87" s="497"/>
      <c r="F87" s="224"/>
      <c r="G87" s="379"/>
      <c r="H87" s="225"/>
      <c r="I87" s="379"/>
      <c r="J87" s="225"/>
      <c r="K87" s="379"/>
      <c r="L87" s="225"/>
      <c r="M87" s="379"/>
      <c r="N87" s="225"/>
      <c r="O87" s="379"/>
      <c r="P87" s="225"/>
      <c r="Q87" s="379"/>
      <c r="R87" s="225"/>
      <c r="S87" s="379"/>
      <c r="T87" s="225"/>
      <c r="U87" s="379"/>
      <c r="V87" s="225"/>
      <c r="W87" s="379"/>
      <c r="X87" s="225"/>
      <c r="Y87" s="379"/>
      <c r="Z87" s="225"/>
      <c r="AA87" s="379"/>
      <c r="AB87" s="225"/>
      <c r="AC87" s="379"/>
      <c r="AD87" s="225"/>
      <c r="AE87" s="379"/>
      <c r="AF87" s="165">
        <v>0</v>
      </c>
      <c r="AG87" s="379"/>
      <c r="AH87" s="165">
        <v>0</v>
      </c>
      <c r="AI87" s="379"/>
      <c r="AJ87" s="165">
        <v>0</v>
      </c>
      <c r="AK87" s="379"/>
      <c r="AL87" s="165">
        <v>0</v>
      </c>
      <c r="AM87" s="379"/>
      <c r="AN87" s="165">
        <v>0</v>
      </c>
      <c r="AO87" s="379"/>
      <c r="AP87" s="165">
        <v>0</v>
      </c>
      <c r="AQ87" s="379"/>
      <c r="AR87" s="165">
        <v>0</v>
      </c>
      <c r="AS87" s="379"/>
      <c r="AT87" s="165">
        <v>0</v>
      </c>
      <c r="AU87" s="379"/>
      <c r="AV87" s="165">
        <v>0</v>
      </c>
      <c r="AW87" s="379"/>
      <c r="AX87" s="165">
        <v>0</v>
      </c>
      <c r="AY87" s="379"/>
      <c r="AZ87" s="165">
        <v>0</v>
      </c>
      <c r="BA87" s="379"/>
      <c r="BB87" s="165">
        <v>0</v>
      </c>
      <c r="BC87" s="379"/>
      <c r="BD87" s="165">
        <v>0</v>
      </c>
      <c r="BE87" s="379"/>
      <c r="BF87" s="165">
        <v>0</v>
      </c>
      <c r="BG87" s="379"/>
      <c r="BH87" s="225"/>
      <c r="BI87" s="184"/>
      <c r="CJ87" s="157"/>
      <c r="CK87" s="150"/>
      <c r="CL87" s="157"/>
      <c r="CM87" s="151" t="s">
        <v>1080</v>
      </c>
      <c r="CN87" s="150" t="s">
        <v>1130</v>
      </c>
      <c r="CO87" s="157"/>
      <c r="CP87" s="157"/>
      <c r="CQ87" s="157"/>
      <c r="CR87" s="157"/>
      <c r="CS87" s="157"/>
      <c r="CT87" s="157"/>
    </row>
    <row r="88" spans="1:98" s="10" customFormat="1" ht="12.75" customHeight="1">
      <c r="A88" s="310"/>
      <c r="B88" s="308" t="str">
        <f>Parameters!Q87</f>
        <v>S96</v>
      </c>
      <c r="C88" s="309"/>
      <c r="D88" s="495" t="str">
        <f>Parameters!S87</f>
        <v>Other personal service activities</v>
      </c>
      <c r="E88" s="497"/>
      <c r="F88" s="224"/>
      <c r="G88" s="379"/>
      <c r="H88" s="225"/>
      <c r="I88" s="379"/>
      <c r="J88" s="225"/>
      <c r="K88" s="379"/>
      <c r="L88" s="225"/>
      <c r="M88" s="379"/>
      <c r="N88" s="225"/>
      <c r="O88" s="379"/>
      <c r="P88" s="225"/>
      <c r="Q88" s="379"/>
      <c r="R88" s="225"/>
      <c r="S88" s="379"/>
      <c r="T88" s="225"/>
      <c r="U88" s="379"/>
      <c r="V88" s="225"/>
      <c r="W88" s="379"/>
      <c r="X88" s="225"/>
      <c r="Y88" s="379"/>
      <c r="Z88" s="225"/>
      <c r="AA88" s="379"/>
      <c r="AB88" s="225"/>
      <c r="AC88" s="379"/>
      <c r="AD88" s="225"/>
      <c r="AE88" s="379"/>
      <c r="AF88" s="165">
        <v>0</v>
      </c>
      <c r="AG88" s="379"/>
      <c r="AH88" s="165">
        <v>0</v>
      </c>
      <c r="AI88" s="379"/>
      <c r="AJ88" s="165">
        <v>0</v>
      </c>
      <c r="AK88" s="379"/>
      <c r="AL88" s="165">
        <v>0</v>
      </c>
      <c r="AM88" s="379"/>
      <c r="AN88" s="165">
        <v>0</v>
      </c>
      <c r="AO88" s="379"/>
      <c r="AP88" s="165">
        <v>0</v>
      </c>
      <c r="AQ88" s="379"/>
      <c r="AR88" s="165">
        <v>0</v>
      </c>
      <c r="AS88" s="379"/>
      <c r="AT88" s="165">
        <v>0</v>
      </c>
      <c r="AU88" s="379"/>
      <c r="AV88" s="165">
        <v>0</v>
      </c>
      <c r="AW88" s="379"/>
      <c r="AX88" s="165">
        <v>0</v>
      </c>
      <c r="AY88" s="379"/>
      <c r="AZ88" s="165">
        <v>0</v>
      </c>
      <c r="BA88" s="379"/>
      <c r="BB88" s="165">
        <v>0</v>
      </c>
      <c r="BC88" s="379"/>
      <c r="BD88" s="165">
        <v>0</v>
      </c>
      <c r="BE88" s="379"/>
      <c r="BF88" s="165">
        <v>0</v>
      </c>
      <c r="BG88" s="379"/>
      <c r="BH88" s="225"/>
      <c r="BI88" s="184"/>
      <c r="CJ88" s="157"/>
      <c r="CK88" s="150"/>
      <c r="CL88" s="157"/>
      <c r="CM88" s="151" t="s">
        <v>1082</v>
      </c>
      <c r="CN88" s="150" t="s">
        <v>1130</v>
      </c>
      <c r="CO88" s="157"/>
      <c r="CP88" s="157"/>
      <c r="CQ88" s="157"/>
      <c r="CR88" s="157"/>
      <c r="CS88" s="157"/>
      <c r="CT88" s="157"/>
    </row>
    <row r="89" spans="1:98" s="10" customFormat="1" ht="30.75" customHeight="1">
      <c r="A89" s="25"/>
      <c r="B89" s="87" t="str">
        <f>Parameters!Q88</f>
        <v>T</v>
      </c>
      <c r="C89" s="88"/>
      <c r="D89" s="498" t="str">
        <f>Parameters!S88</f>
        <v>Activities of households as employers; undifferentiated goods- and services-producing activities of households for own use</v>
      </c>
      <c r="E89" s="499"/>
      <c r="F89" s="222"/>
      <c r="G89" s="379"/>
      <c r="H89" s="231"/>
      <c r="I89" s="379"/>
      <c r="J89" s="231"/>
      <c r="K89" s="379"/>
      <c r="L89" s="231"/>
      <c r="M89" s="379"/>
      <c r="N89" s="231"/>
      <c r="O89" s="379"/>
      <c r="P89" s="231"/>
      <c r="Q89" s="379"/>
      <c r="R89" s="231"/>
      <c r="S89" s="379"/>
      <c r="T89" s="231"/>
      <c r="U89" s="379"/>
      <c r="V89" s="231"/>
      <c r="W89" s="379"/>
      <c r="X89" s="231"/>
      <c r="Y89" s="379"/>
      <c r="Z89" s="231"/>
      <c r="AA89" s="379"/>
      <c r="AB89" s="231"/>
      <c r="AC89" s="379"/>
      <c r="AD89" s="231"/>
      <c r="AE89" s="379"/>
      <c r="AF89" s="169">
        <v>0</v>
      </c>
      <c r="AG89" s="379"/>
      <c r="AH89" s="169">
        <v>0</v>
      </c>
      <c r="AI89" s="379"/>
      <c r="AJ89" s="169">
        <v>0</v>
      </c>
      <c r="AK89" s="379"/>
      <c r="AL89" s="169">
        <v>0</v>
      </c>
      <c r="AM89" s="379"/>
      <c r="AN89" s="169">
        <v>0</v>
      </c>
      <c r="AO89" s="379"/>
      <c r="AP89" s="169">
        <v>0</v>
      </c>
      <c r="AQ89" s="379"/>
      <c r="AR89" s="169">
        <v>0</v>
      </c>
      <c r="AS89" s="379"/>
      <c r="AT89" s="169">
        <v>0</v>
      </c>
      <c r="AU89" s="379"/>
      <c r="AV89" s="164">
        <v>0</v>
      </c>
      <c r="AW89" s="379"/>
      <c r="AX89" s="164">
        <v>0</v>
      </c>
      <c r="AY89" s="379"/>
      <c r="AZ89" s="164">
        <v>0</v>
      </c>
      <c r="BA89" s="379"/>
      <c r="BB89" s="164">
        <v>0</v>
      </c>
      <c r="BC89" s="379"/>
      <c r="BD89" s="164">
        <v>0</v>
      </c>
      <c r="BE89" s="379"/>
      <c r="BF89" s="164">
        <v>0</v>
      </c>
      <c r="BG89" s="379"/>
      <c r="BH89" s="223"/>
      <c r="BI89" s="184"/>
      <c r="CJ89" s="157"/>
      <c r="CK89" s="150"/>
      <c r="CL89" s="157"/>
      <c r="CM89" s="151" t="s">
        <v>647</v>
      </c>
      <c r="CN89" s="150" t="s">
        <v>1130</v>
      </c>
      <c r="CO89" s="157"/>
      <c r="CP89" s="157"/>
      <c r="CQ89" s="157"/>
      <c r="CR89" s="157"/>
      <c r="CS89" s="157"/>
      <c r="CT89" s="157"/>
    </row>
    <row r="90" spans="1:98" s="10" customFormat="1" ht="17.25" customHeight="1" thickBot="1">
      <c r="A90" s="25"/>
      <c r="B90" s="98" t="str">
        <f>Parameters!Q89</f>
        <v>U</v>
      </c>
      <c r="C90" s="14"/>
      <c r="D90" s="500" t="str">
        <f>Parameters!S89</f>
        <v>Activities of extraterritorial organisations and bodies</v>
      </c>
      <c r="E90" s="501"/>
      <c r="F90" s="222"/>
      <c r="G90" s="379"/>
      <c r="H90" s="223"/>
      <c r="I90" s="379"/>
      <c r="J90" s="223"/>
      <c r="K90" s="379"/>
      <c r="L90" s="223"/>
      <c r="M90" s="379"/>
      <c r="N90" s="223"/>
      <c r="O90" s="379"/>
      <c r="P90" s="223"/>
      <c r="Q90" s="379"/>
      <c r="R90" s="223"/>
      <c r="S90" s="379"/>
      <c r="T90" s="223"/>
      <c r="U90" s="379"/>
      <c r="V90" s="223"/>
      <c r="W90" s="379"/>
      <c r="X90" s="223"/>
      <c r="Y90" s="379"/>
      <c r="Z90" s="223"/>
      <c r="AA90" s="379"/>
      <c r="AB90" s="223"/>
      <c r="AC90" s="379"/>
      <c r="AD90" s="223"/>
      <c r="AE90" s="379"/>
      <c r="AF90" s="164">
        <v>0</v>
      </c>
      <c r="AG90" s="379" t="s">
        <v>422</v>
      </c>
      <c r="AH90" s="164">
        <v>0</v>
      </c>
      <c r="AI90" s="379" t="s">
        <v>422</v>
      </c>
      <c r="AJ90" s="164">
        <v>0</v>
      </c>
      <c r="AK90" s="379" t="s">
        <v>422</v>
      </c>
      <c r="AL90" s="164">
        <v>0</v>
      </c>
      <c r="AM90" s="379" t="s">
        <v>422</v>
      </c>
      <c r="AN90" s="164">
        <v>0</v>
      </c>
      <c r="AO90" s="379" t="s">
        <v>422</v>
      </c>
      <c r="AP90" s="164">
        <v>0</v>
      </c>
      <c r="AQ90" s="379" t="s">
        <v>422</v>
      </c>
      <c r="AR90" s="164">
        <v>0</v>
      </c>
      <c r="AS90" s="379" t="s">
        <v>422</v>
      </c>
      <c r="AT90" s="164">
        <v>0</v>
      </c>
      <c r="AU90" s="379" t="s">
        <v>422</v>
      </c>
      <c r="AV90" s="164">
        <v>0</v>
      </c>
      <c r="AW90" s="379" t="s">
        <v>422</v>
      </c>
      <c r="AX90" s="164">
        <v>0</v>
      </c>
      <c r="AY90" s="379" t="s">
        <v>422</v>
      </c>
      <c r="AZ90" s="164">
        <v>0</v>
      </c>
      <c r="BA90" s="379" t="s">
        <v>422</v>
      </c>
      <c r="BB90" s="164">
        <v>0</v>
      </c>
      <c r="BC90" s="379" t="s">
        <v>422</v>
      </c>
      <c r="BD90" s="164">
        <v>0</v>
      </c>
      <c r="BE90" s="379" t="s">
        <v>422</v>
      </c>
      <c r="BF90" s="164">
        <v>0</v>
      </c>
      <c r="BG90" s="379" t="s">
        <v>422</v>
      </c>
      <c r="BH90" s="223"/>
      <c r="BI90" s="184"/>
      <c r="CJ90" s="157"/>
      <c r="CK90" s="150"/>
      <c r="CL90" s="157"/>
      <c r="CM90" s="151" t="s">
        <v>1085</v>
      </c>
      <c r="CN90" s="150" t="s">
        <v>1130</v>
      </c>
      <c r="CO90" s="157"/>
      <c r="CP90" s="157"/>
      <c r="CQ90" s="157"/>
      <c r="CR90" s="157"/>
      <c r="CS90" s="157"/>
      <c r="CT90" s="157"/>
    </row>
    <row r="91" spans="1:98" ht="45" customHeight="1">
      <c r="A91" s="66"/>
      <c r="B91" s="492" t="s">
        <v>571</v>
      </c>
      <c r="C91" s="502"/>
      <c r="D91" s="502"/>
      <c r="E91" s="503"/>
      <c r="F91" s="232"/>
      <c r="G91" s="181"/>
      <c r="H91" s="233"/>
      <c r="I91" s="181"/>
      <c r="J91" s="233"/>
      <c r="K91" s="181"/>
      <c r="L91" s="233"/>
      <c r="M91" s="181"/>
      <c r="N91" s="233"/>
      <c r="O91" s="181"/>
      <c r="P91" s="233"/>
      <c r="Q91" s="181"/>
      <c r="R91" s="233"/>
      <c r="S91" s="181"/>
      <c r="T91" s="233"/>
      <c r="U91" s="181"/>
      <c r="V91" s="233"/>
      <c r="W91" s="181"/>
      <c r="X91" s="233"/>
      <c r="Y91" s="181"/>
      <c r="Z91" s="233"/>
      <c r="AA91" s="181"/>
      <c r="AB91" s="233"/>
      <c r="AC91" s="181"/>
      <c r="AD91" s="233"/>
      <c r="AE91" s="181"/>
      <c r="AF91" s="170">
        <v>0</v>
      </c>
      <c r="AG91" s="181"/>
      <c r="AH91" s="170">
        <v>0</v>
      </c>
      <c r="AI91" s="181"/>
      <c r="AJ91" s="170">
        <v>0</v>
      </c>
      <c r="AK91" s="181"/>
      <c r="AL91" s="170">
        <v>0</v>
      </c>
      <c r="AM91" s="181"/>
      <c r="AN91" s="170">
        <v>0</v>
      </c>
      <c r="AO91" s="181"/>
      <c r="AP91" s="170">
        <v>0</v>
      </c>
      <c r="AQ91" s="181"/>
      <c r="AR91" s="170">
        <v>0</v>
      </c>
      <c r="AS91" s="181"/>
      <c r="AT91" s="170">
        <v>0</v>
      </c>
      <c r="AU91" s="181"/>
      <c r="AV91" s="171">
        <v>0</v>
      </c>
      <c r="AW91" s="181"/>
      <c r="AX91" s="171">
        <v>0</v>
      </c>
      <c r="AY91" s="181"/>
      <c r="AZ91" s="171">
        <v>0</v>
      </c>
      <c r="BA91" s="181"/>
      <c r="BB91" s="171">
        <v>0</v>
      </c>
      <c r="BC91" s="181"/>
      <c r="BD91" s="171">
        <v>0</v>
      </c>
      <c r="BE91" s="181"/>
      <c r="BF91" s="171">
        <v>0</v>
      </c>
      <c r="BG91" s="181"/>
      <c r="BH91" s="234"/>
      <c r="BI91" s="183"/>
      <c r="CJ91" s="157"/>
      <c r="CK91" s="150"/>
      <c r="CL91" s="157"/>
      <c r="CM91" s="151" t="s">
        <v>1088</v>
      </c>
      <c r="CN91" s="150" t="s">
        <v>1130</v>
      </c>
      <c r="CO91" s="157"/>
      <c r="CP91" s="157"/>
      <c r="CQ91" s="157"/>
      <c r="CR91" s="157"/>
      <c r="CS91" s="157"/>
      <c r="CT91" s="157"/>
    </row>
    <row r="92" spans="1:98">
      <c r="A92" s="66"/>
      <c r="B92" s="3"/>
      <c r="C92" s="99"/>
      <c r="D92" s="488" t="s">
        <v>572</v>
      </c>
      <c r="E92" s="489"/>
      <c r="F92" s="235"/>
      <c r="G92" s="379"/>
      <c r="H92" s="236"/>
      <c r="I92" s="379"/>
      <c r="J92" s="236"/>
      <c r="K92" s="379"/>
      <c r="L92" s="236"/>
      <c r="M92" s="379"/>
      <c r="N92" s="236"/>
      <c r="O92" s="379"/>
      <c r="P92" s="236"/>
      <c r="Q92" s="379"/>
      <c r="R92" s="236"/>
      <c r="S92" s="379"/>
      <c r="T92" s="236"/>
      <c r="U92" s="379"/>
      <c r="V92" s="236"/>
      <c r="W92" s="379"/>
      <c r="X92" s="236"/>
      <c r="Y92" s="379"/>
      <c r="Z92" s="236"/>
      <c r="AA92" s="379"/>
      <c r="AB92" s="236"/>
      <c r="AC92" s="379"/>
      <c r="AD92" s="236"/>
      <c r="AE92" s="379"/>
      <c r="AF92" s="172">
        <v>0</v>
      </c>
      <c r="AG92" s="379"/>
      <c r="AH92" s="172">
        <v>0</v>
      </c>
      <c r="AI92" s="379"/>
      <c r="AJ92" s="172">
        <v>0</v>
      </c>
      <c r="AK92" s="379"/>
      <c r="AL92" s="172">
        <v>0</v>
      </c>
      <c r="AM92" s="379"/>
      <c r="AN92" s="172">
        <v>0</v>
      </c>
      <c r="AO92" s="379"/>
      <c r="AP92" s="172">
        <v>0</v>
      </c>
      <c r="AQ92" s="379"/>
      <c r="AR92" s="172">
        <v>0</v>
      </c>
      <c r="AS92" s="379"/>
      <c r="AT92" s="172">
        <v>0</v>
      </c>
      <c r="AU92" s="379"/>
      <c r="AV92" s="173">
        <v>0</v>
      </c>
      <c r="AW92" s="379"/>
      <c r="AX92" s="173">
        <v>0</v>
      </c>
      <c r="AY92" s="379"/>
      <c r="AZ92" s="173">
        <v>0</v>
      </c>
      <c r="BA92" s="379"/>
      <c r="BB92" s="173">
        <v>0</v>
      </c>
      <c r="BC92" s="379"/>
      <c r="BD92" s="173">
        <v>0</v>
      </c>
      <c r="BE92" s="379"/>
      <c r="BF92" s="173">
        <v>0</v>
      </c>
      <c r="BG92" s="379"/>
      <c r="BH92" s="237"/>
      <c r="BI92" s="184"/>
      <c r="CJ92" s="157"/>
      <c r="CK92" s="150"/>
      <c r="CL92" s="157"/>
      <c r="CM92" s="151" t="s">
        <v>1146</v>
      </c>
      <c r="CN92" s="150" t="s">
        <v>1130</v>
      </c>
      <c r="CO92" s="157"/>
      <c r="CP92" s="157"/>
      <c r="CQ92" s="157"/>
      <c r="CR92" s="157"/>
      <c r="CS92" s="157"/>
      <c r="CT92" s="157"/>
    </row>
    <row r="93" spans="1:98">
      <c r="A93" s="314"/>
      <c r="B93" s="3"/>
      <c r="C93" s="99"/>
      <c r="D93" s="488" t="s">
        <v>573</v>
      </c>
      <c r="E93" s="489"/>
      <c r="F93" s="235"/>
      <c r="G93" s="379"/>
      <c r="H93" s="236"/>
      <c r="I93" s="379"/>
      <c r="J93" s="236"/>
      <c r="K93" s="379"/>
      <c r="L93" s="236"/>
      <c r="M93" s="379"/>
      <c r="N93" s="236"/>
      <c r="O93" s="379"/>
      <c r="P93" s="236"/>
      <c r="Q93" s="379"/>
      <c r="R93" s="236"/>
      <c r="S93" s="379"/>
      <c r="T93" s="236"/>
      <c r="U93" s="379"/>
      <c r="V93" s="236"/>
      <c r="W93" s="379"/>
      <c r="X93" s="236"/>
      <c r="Y93" s="379"/>
      <c r="Z93" s="236"/>
      <c r="AA93" s="379"/>
      <c r="AB93" s="236"/>
      <c r="AC93" s="379"/>
      <c r="AD93" s="236"/>
      <c r="AE93" s="379"/>
      <c r="AF93" s="172">
        <v>0</v>
      </c>
      <c r="AG93" s="379"/>
      <c r="AH93" s="172">
        <v>0</v>
      </c>
      <c r="AI93" s="379"/>
      <c r="AJ93" s="172">
        <v>0</v>
      </c>
      <c r="AK93" s="379"/>
      <c r="AL93" s="172">
        <v>0</v>
      </c>
      <c r="AM93" s="379"/>
      <c r="AN93" s="172">
        <v>0</v>
      </c>
      <c r="AO93" s="379"/>
      <c r="AP93" s="172">
        <v>0</v>
      </c>
      <c r="AQ93" s="379"/>
      <c r="AR93" s="172">
        <v>0</v>
      </c>
      <c r="AS93" s="379"/>
      <c r="AT93" s="172">
        <v>0</v>
      </c>
      <c r="AU93" s="379"/>
      <c r="AV93" s="173">
        <v>0</v>
      </c>
      <c r="AW93" s="379"/>
      <c r="AX93" s="173">
        <v>0</v>
      </c>
      <c r="AY93" s="379"/>
      <c r="AZ93" s="173">
        <v>0</v>
      </c>
      <c r="BA93" s="379"/>
      <c r="BB93" s="173">
        <v>0</v>
      </c>
      <c r="BC93" s="379"/>
      <c r="BD93" s="173">
        <v>0</v>
      </c>
      <c r="BE93" s="379"/>
      <c r="BF93" s="173">
        <v>0</v>
      </c>
      <c r="BG93" s="379"/>
      <c r="BH93" s="237"/>
      <c r="BI93" s="184"/>
      <c r="CJ93" s="157"/>
      <c r="CK93" s="150"/>
      <c r="CL93" s="157"/>
      <c r="CM93" s="151" t="s">
        <v>1094</v>
      </c>
      <c r="CN93" s="150" t="s">
        <v>1130</v>
      </c>
      <c r="CO93" s="157"/>
      <c r="CP93" s="157"/>
      <c r="CQ93" s="157"/>
      <c r="CR93" s="157"/>
      <c r="CS93" s="157"/>
      <c r="CT93" s="157"/>
    </row>
    <row r="94" spans="1:98" ht="15" customHeight="1" thickBot="1">
      <c r="A94" s="314"/>
      <c r="B94" s="4"/>
      <c r="C94" s="2"/>
      <c r="D94" s="490" t="s">
        <v>574</v>
      </c>
      <c r="E94" s="491"/>
      <c r="F94" s="238"/>
      <c r="G94" s="182"/>
      <c r="H94" s="239"/>
      <c r="I94" s="182"/>
      <c r="J94" s="239"/>
      <c r="K94" s="182"/>
      <c r="L94" s="239"/>
      <c r="M94" s="182"/>
      <c r="N94" s="239"/>
      <c r="O94" s="182"/>
      <c r="P94" s="239"/>
      <c r="Q94" s="182"/>
      <c r="R94" s="239"/>
      <c r="S94" s="182"/>
      <c r="T94" s="239"/>
      <c r="U94" s="182"/>
      <c r="V94" s="239"/>
      <c r="W94" s="182"/>
      <c r="X94" s="239"/>
      <c r="Y94" s="182"/>
      <c r="Z94" s="239"/>
      <c r="AA94" s="182"/>
      <c r="AB94" s="239"/>
      <c r="AC94" s="182"/>
      <c r="AD94" s="239"/>
      <c r="AE94" s="182"/>
      <c r="AF94" s="174">
        <v>0</v>
      </c>
      <c r="AG94" s="182"/>
      <c r="AH94" s="174">
        <v>0</v>
      </c>
      <c r="AI94" s="182"/>
      <c r="AJ94" s="174">
        <v>0</v>
      </c>
      <c r="AK94" s="182"/>
      <c r="AL94" s="174">
        <v>0</v>
      </c>
      <c r="AM94" s="182"/>
      <c r="AN94" s="174">
        <v>0</v>
      </c>
      <c r="AO94" s="182"/>
      <c r="AP94" s="174">
        <v>0</v>
      </c>
      <c r="AQ94" s="182"/>
      <c r="AR94" s="174">
        <v>0</v>
      </c>
      <c r="AS94" s="182"/>
      <c r="AT94" s="174">
        <v>0</v>
      </c>
      <c r="AU94" s="182"/>
      <c r="AV94" s="175">
        <v>0</v>
      </c>
      <c r="AW94" s="182"/>
      <c r="AX94" s="175">
        <v>0</v>
      </c>
      <c r="AY94" s="182"/>
      <c r="AZ94" s="175">
        <v>0</v>
      </c>
      <c r="BA94" s="182"/>
      <c r="BB94" s="175">
        <v>0</v>
      </c>
      <c r="BC94" s="182"/>
      <c r="BD94" s="175">
        <v>0</v>
      </c>
      <c r="BE94" s="182"/>
      <c r="BF94" s="175">
        <v>0</v>
      </c>
      <c r="BG94" s="182"/>
      <c r="BH94" s="240"/>
      <c r="BI94" s="185"/>
      <c r="CJ94" s="157"/>
      <c r="CK94" s="150"/>
      <c r="CL94" s="157"/>
      <c r="CM94" s="151" t="s">
        <v>1097</v>
      </c>
      <c r="CN94" s="150" t="s">
        <v>1130</v>
      </c>
      <c r="CO94" s="157"/>
      <c r="CP94" s="157"/>
      <c r="CQ94" s="157"/>
      <c r="CR94" s="157"/>
      <c r="CS94" s="157"/>
      <c r="CT94" s="157"/>
    </row>
    <row r="95" spans="1:98" ht="55.5" customHeight="1">
      <c r="A95" s="314"/>
      <c r="B95" s="556" t="s">
        <v>1171</v>
      </c>
      <c r="C95" s="557"/>
      <c r="D95" s="557"/>
      <c r="E95" s="558"/>
      <c r="F95" s="235"/>
      <c r="G95" s="379"/>
      <c r="H95" s="236"/>
      <c r="I95" s="379"/>
      <c r="J95" s="236"/>
      <c r="K95" s="379"/>
      <c r="L95" s="236"/>
      <c r="M95" s="379"/>
      <c r="N95" s="236"/>
      <c r="O95" s="379"/>
      <c r="P95" s="236"/>
      <c r="Q95" s="379"/>
      <c r="R95" s="236"/>
      <c r="S95" s="379"/>
      <c r="T95" s="236"/>
      <c r="U95" s="379"/>
      <c r="V95" s="236"/>
      <c r="W95" s="379"/>
      <c r="X95" s="236"/>
      <c r="Y95" s="379"/>
      <c r="Z95" s="236"/>
      <c r="AA95" s="379"/>
      <c r="AB95" s="236"/>
      <c r="AC95" s="379"/>
      <c r="AD95" s="236"/>
      <c r="AE95" s="379"/>
      <c r="AF95" s="172">
        <v>805399.92</v>
      </c>
      <c r="AG95" s="379"/>
      <c r="AH95" s="172">
        <v>394159.32</v>
      </c>
      <c r="AI95" s="379"/>
      <c r="AJ95" s="172">
        <v>214300.48688370001</v>
      </c>
      <c r="AK95" s="379"/>
      <c r="AL95" s="172">
        <v>236126.56933319999</v>
      </c>
      <c r="AM95" s="379"/>
      <c r="AN95" s="172">
        <v>180255.72113719999</v>
      </c>
      <c r="AO95" s="379"/>
      <c r="AP95" s="172">
        <v>162777.48314570001</v>
      </c>
      <c r="AQ95" s="379"/>
      <c r="AR95" s="172">
        <v>160883.47296350001</v>
      </c>
      <c r="AS95" s="379"/>
      <c r="AT95" s="172">
        <v>131627.6073</v>
      </c>
      <c r="AU95" s="379"/>
      <c r="AV95" s="173">
        <v>167403.85016999999</v>
      </c>
      <c r="AW95" s="379"/>
      <c r="AX95" s="173">
        <v>117750.33297</v>
      </c>
      <c r="AY95" s="379"/>
      <c r="AZ95" s="173">
        <v>133145.63834999999</v>
      </c>
      <c r="BA95" s="379"/>
      <c r="BB95" s="173">
        <v>157411.13544000001</v>
      </c>
      <c r="BC95" s="379"/>
      <c r="BD95" s="173">
        <v>145153.63521000001</v>
      </c>
      <c r="BE95" s="379"/>
      <c r="BF95" s="173">
        <v>222762.73788</v>
      </c>
      <c r="BG95" s="379"/>
      <c r="BH95" s="237"/>
      <c r="BI95" s="184"/>
      <c r="CJ95" s="157"/>
      <c r="CK95" s="150"/>
      <c r="CL95" s="157"/>
      <c r="CM95" s="151" t="s">
        <v>1148</v>
      </c>
      <c r="CN95" s="150" t="s">
        <v>1130</v>
      </c>
      <c r="CO95" s="157"/>
      <c r="CP95" s="157"/>
      <c r="CQ95" s="157"/>
      <c r="CR95" s="157"/>
      <c r="CS95" s="157"/>
      <c r="CT95" s="157"/>
    </row>
    <row r="96" spans="1:98" ht="17.25" customHeight="1">
      <c r="A96" s="317"/>
      <c r="B96" s="200">
        <v>2</v>
      </c>
      <c r="C96" s="101"/>
      <c r="D96" s="482" t="s">
        <v>576</v>
      </c>
      <c r="E96" s="483"/>
      <c r="F96" s="235"/>
      <c r="G96" s="379"/>
      <c r="H96" s="236"/>
      <c r="I96" s="379"/>
      <c r="J96" s="236"/>
      <c r="K96" s="379"/>
      <c r="L96" s="236"/>
      <c r="M96" s="379"/>
      <c r="N96" s="236"/>
      <c r="O96" s="379"/>
      <c r="P96" s="236"/>
      <c r="Q96" s="379"/>
      <c r="R96" s="236"/>
      <c r="S96" s="379"/>
      <c r="T96" s="236"/>
      <c r="U96" s="379"/>
      <c r="V96" s="236"/>
      <c r="W96" s="379"/>
      <c r="X96" s="236"/>
      <c r="Y96" s="379"/>
      <c r="Z96" s="236"/>
      <c r="AA96" s="379"/>
      <c r="AB96" s="236"/>
      <c r="AC96" s="379"/>
      <c r="AD96" s="236"/>
      <c r="AE96" s="379"/>
      <c r="AF96" s="172">
        <v>0</v>
      </c>
      <c r="AG96" s="379"/>
      <c r="AH96" s="172">
        <v>0</v>
      </c>
      <c r="AI96" s="379"/>
      <c r="AJ96" s="172">
        <v>0</v>
      </c>
      <c r="AK96" s="379"/>
      <c r="AL96" s="172">
        <v>0</v>
      </c>
      <c r="AM96" s="379"/>
      <c r="AN96" s="172">
        <v>0</v>
      </c>
      <c r="AO96" s="379"/>
      <c r="AP96" s="172">
        <v>0</v>
      </c>
      <c r="AQ96" s="379"/>
      <c r="AR96" s="172">
        <v>0</v>
      </c>
      <c r="AS96" s="379"/>
      <c r="AT96" s="172">
        <v>0</v>
      </c>
      <c r="AU96" s="379"/>
      <c r="AV96" s="173">
        <v>0</v>
      </c>
      <c r="AW96" s="379"/>
      <c r="AX96" s="173">
        <v>0</v>
      </c>
      <c r="AY96" s="379"/>
      <c r="AZ96" s="173">
        <v>0</v>
      </c>
      <c r="BA96" s="379"/>
      <c r="BB96" s="173">
        <v>0</v>
      </c>
      <c r="BC96" s="379"/>
      <c r="BD96" s="173">
        <v>0</v>
      </c>
      <c r="BE96" s="379"/>
      <c r="BF96" s="173">
        <v>0</v>
      </c>
      <c r="BG96" s="379"/>
      <c r="BH96" s="237"/>
      <c r="BI96" s="184"/>
      <c r="CJ96" s="157"/>
      <c r="CK96" s="150"/>
      <c r="CL96" s="157"/>
      <c r="CM96" s="151" t="s">
        <v>1148</v>
      </c>
      <c r="CN96" s="157" t="s">
        <v>1149</v>
      </c>
      <c r="CO96" s="157"/>
      <c r="CP96" s="157"/>
      <c r="CQ96" s="157"/>
      <c r="CR96" s="157"/>
      <c r="CS96" s="157"/>
      <c r="CT96" s="157"/>
    </row>
    <row r="97" spans="1:98" ht="12.75" customHeight="1">
      <c r="A97" s="317"/>
      <c r="B97" s="201">
        <v>2.1</v>
      </c>
      <c r="C97" s="102"/>
      <c r="D97" s="480" t="s">
        <v>577</v>
      </c>
      <c r="E97" s="481"/>
      <c r="F97" s="224"/>
      <c r="G97" s="379"/>
      <c r="H97" s="228"/>
      <c r="I97" s="379"/>
      <c r="J97" s="228"/>
      <c r="K97" s="379"/>
      <c r="L97" s="228"/>
      <c r="M97" s="379"/>
      <c r="N97" s="228"/>
      <c r="O97" s="379"/>
      <c r="P97" s="228"/>
      <c r="Q97" s="379"/>
      <c r="R97" s="228"/>
      <c r="S97" s="379"/>
      <c r="T97" s="228"/>
      <c r="U97" s="379"/>
      <c r="V97" s="228"/>
      <c r="W97" s="379"/>
      <c r="X97" s="228"/>
      <c r="Y97" s="379"/>
      <c r="Z97" s="228"/>
      <c r="AA97" s="379"/>
      <c r="AB97" s="228"/>
      <c r="AC97" s="379"/>
      <c r="AD97" s="228"/>
      <c r="AE97" s="379"/>
      <c r="AF97" s="167">
        <v>0</v>
      </c>
      <c r="AG97" s="379"/>
      <c r="AH97" s="167">
        <v>0</v>
      </c>
      <c r="AI97" s="379"/>
      <c r="AJ97" s="167">
        <v>0</v>
      </c>
      <c r="AK97" s="379"/>
      <c r="AL97" s="167">
        <v>0</v>
      </c>
      <c r="AM97" s="379"/>
      <c r="AN97" s="167">
        <v>0</v>
      </c>
      <c r="AO97" s="379"/>
      <c r="AP97" s="167">
        <v>0</v>
      </c>
      <c r="AQ97" s="379"/>
      <c r="AR97" s="167">
        <v>0</v>
      </c>
      <c r="AS97" s="379"/>
      <c r="AT97" s="167">
        <v>0</v>
      </c>
      <c r="AU97" s="379"/>
      <c r="AV97" s="165">
        <v>0</v>
      </c>
      <c r="AW97" s="379"/>
      <c r="AX97" s="165">
        <v>0</v>
      </c>
      <c r="AY97" s="379"/>
      <c r="AZ97" s="165">
        <v>0</v>
      </c>
      <c r="BA97" s="379"/>
      <c r="BB97" s="165">
        <v>0</v>
      </c>
      <c r="BC97" s="379"/>
      <c r="BD97" s="165">
        <v>0</v>
      </c>
      <c r="BE97" s="379"/>
      <c r="BF97" s="165">
        <v>0</v>
      </c>
      <c r="BG97" s="379"/>
      <c r="BH97" s="225"/>
      <c r="BI97" s="184"/>
      <c r="CJ97" s="157"/>
      <c r="CK97" s="150"/>
      <c r="CL97" s="157"/>
      <c r="CM97" s="151" t="s">
        <v>1148</v>
      </c>
      <c r="CN97" s="157" t="s">
        <v>1150</v>
      </c>
      <c r="CO97" s="157"/>
      <c r="CP97" s="157"/>
      <c r="CQ97" s="157"/>
      <c r="CR97" s="157"/>
      <c r="CS97" s="157"/>
      <c r="CT97" s="157"/>
    </row>
    <row r="98" spans="1:98" ht="12.75" customHeight="1">
      <c r="A98" s="317"/>
      <c r="B98" s="201">
        <v>2.2000000000000002</v>
      </c>
      <c r="C98" s="102"/>
      <c r="D98" s="480" t="s">
        <v>578</v>
      </c>
      <c r="E98" s="481"/>
      <c r="F98" s="224"/>
      <c r="G98" s="379"/>
      <c r="H98" s="228"/>
      <c r="I98" s="379"/>
      <c r="J98" s="228"/>
      <c r="K98" s="379"/>
      <c r="L98" s="228"/>
      <c r="M98" s="379"/>
      <c r="N98" s="228"/>
      <c r="O98" s="379"/>
      <c r="P98" s="228"/>
      <c r="Q98" s="379"/>
      <c r="R98" s="228"/>
      <c r="S98" s="379"/>
      <c r="T98" s="228"/>
      <c r="U98" s="379"/>
      <c r="V98" s="228"/>
      <c r="W98" s="379"/>
      <c r="X98" s="228"/>
      <c r="Y98" s="379"/>
      <c r="Z98" s="228"/>
      <c r="AA98" s="379"/>
      <c r="AB98" s="228"/>
      <c r="AC98" s="379"/>
      <c r="AD98" s="228"/>
      <c r="AE98" s="379"/>
      <c r="AF98" s="167">
        <v>0</v>
      </c>
      <c r="AG98" s="379"/>
      <c r="AH98" s="167">
        <v>0</v>
      </c>
      <c r="AI98" s="379"/>
      <c r="AJ98" s="167">
        <v>0</v>
      </c>
      <c r="AK98" s="379"/>
      <c r="AL98" s="167">
        <v>0</v>
      </c>
      <c r="AM98" s="379"/>
      <c r="AN98" s="167">
        <v>0</v>
      </c>
      <c r="AO98" s="379"/>
      <c r="AP98" s="167">
        <v>0</v>
      </c>
      <c r="AQ98" s="379"/>
      <c r="AR98" s="167">
        <v>0</v>
      </c>
      <c r="AS98" s="379"/>
      <c r="AT98" s="167">
        <v>0</v>
      </c>
      <c r="AU98" s="379"/>
      <c r="AV98" s="165">
        <v>0</v>
      </c>
      <c r="AW98" s="379"/>
      <c r="AX98" s="165">
        <v>0</v>
      </c>
      <c r="AY98" s="379"/>
      <c r="AZ98" s="165">
        <v>0</v>
      </c>
      <c r="BA98" s="379"/>
      <c r="BB98" s="165">
        <v>0</v>
      </c>
      <c r="BC98" s="379"/>
      <c r="BD98" s="165">
        <v>0</v>
      </c>
      <c r="BE98" s="379"/>
      <c r="BF98" s="165">
        <v>0</v>
      </c>
      <c r="BG98" s="379"/>
      <c r="BH98" s="225"/>
      <c r="BI98" s="184"/>
      <c r="CJ98" s="157"/>
      <c r="CK98" s="150"/>
      <c r="CL98" s="157"/>
      <c r="CM98" s="151" t="s">
        <v>1148</v>
      </c>
      <c r="CN98" s="157" t="s">
        <v>1151</v>
      </c>
      <c r="CO98" s="157"/>
      <c r="CP98" s="157"/>
      <c r="CQ98" s="157"/>
      <c r="CR98" s="157"/>
      <c r="CS98" s="157"/>
      <c r="CT98" s="157"/>
    </row>
    <row r="99" spans="1:98" ht="12.75" customHeight="1">
      <c r="A99" s="317"/>
      <c r="B99" s="201">
        <v>2.2999999999999998</v>
      </c>
      <c r="C99" s="102"/>
      <c r="D99" s="480" t="s">
        <v>579</v>
      </c>
      <c r="E99" s="481"/>
      <c r="F99" s="224"/>
      <c r="G99" s="379"/>
      <c r="H99" s="228"/>
      <c r="I99" s="379"/>
      <c r="J99" s="228"/>
      <c r="K99" s="379"/>
      <c r="L99" s="228"/>
      <c r="M99" s="379"/>
      <c r="N99" s="228"/>
      <c r="O99" s="379"/>
      <c r="P99" s="228"/>
      <c r="Q99" s="379"/>
      <c r="R99" s="228"/>
      <c r="S99" s="379"/>
      <c r="T99" s="228"/>
      <c r="U99" s="379"/>
      <c r="V99" s="228"/>
      <c r="W99" s="379"/>
      <c r="X99" s="228"/>
      <c r="Y99" s="379"/>
      <c r="Z99" s="228"/>
      <c r="AA99" s="379"/>
      <c r="AB99" s="228"/>
      <c r="AC99" s="379"/>
      <c r="AD99" s="228"/>
      <c r="AE99" s="379"/>
      <c r="AF99" s="167">
        <v>0</v>
      </c>
      <c r="AG99" s="379"/>
      <c r="AH99" s="167">
        <v>0</v>
      </c>
      <c r="AI99" s="379"/>
      <c r="AJ99" s="167">
        <v>0</v>
      </c>
      <c r="AK99" s="379"/>
      <c r="AL99" s="167">
        <v>0</v>
      </c>
      <c r="AM99" s="379"/>
      <c r="AN99" s="167">
        <v>0</v>
      </c>
      <c r="AO99" s="379"/>
      <c r="AP99" s="167">
        <v>0</v>
      </c>
      <c r="AQ99" s="379"/>
      <c r="AR99" s="167">
        <v>0</v>
      </c>
      <c r="AS99" s="379"/>
      <c r="AT99" s="167">
        <v>0</v>
      </c>
      <c r="AU99" s="379"/>
      <c r="AV99" s="165">
        <v>0</v>
      </c>
      <c r="AW99" s="379"/>
      <c r="AX99" s="165">
        <v>0</v>
      </c>
      <c r="AY99" s="379"/>
      <c r="AZ99" s="165">
        <v>0</v>
      </c>
      <c r="BA99" s="379"/>
      <c r="BB99" s="165">
        <v>0</v>
      </c>
      <c r="BC99" s="379"/>
      <c r="BD99" s="165">
        <v>0</v>
      </c>
      <c r="BE99" s="379"/>
      <c r="BF99" s="165">
        <v>0</v>
      </c>
      <c r="BG99" s="379"/>
      <c r="BH99" s="225"/>
      <c r="BI99" s="184"/>
      <c r="CJ99" s="157"/>
      <c r="CK99" s="150"/>
      <c r="CL99" s="157"/>
      <c r="CM99" s="151" t="s">
        <v>1148</v>
      </c>
      <c r="CN99" s="157" t="s">
        <v>1152</v>
      </c>
      <c r="CO99" s="157"/>
      <c r="CP99" s="157"/>
      <c r="CQ99" s="157"/>
      <c r="CR99" s="157"/>
      <c r="CS99" s="157"/>
      <c r="CT99" s="157"/>
    </row>
    <row r="100" spans="1:98" ht="12.75" customHeight="1">
      <c r="A100" s="317"/>
      <c r="B100" s="201">
        <v>2.4</v>
      </c>
      <c r="C100" s="102"/>
      <c r="D100" s="480" t="s">
        <v>580</v>
      </c>
      <c r="E100" s="481"/>
      <c r="F100" s="224"/>
      <c r="G100" s="379"/>
      <c r="H100" s="228"/>
      <c r="I100" s="379"/>
      <c r="J100" s="228"/>
      <c r="K100" s="379"/>
      <c r="L100" s="228"/>
      <c r="M100" s="379"/>
      <c r="N100" s="228"/>
      <c r="O100" s="379"/>
      <c r="P100" s="228"/>
      <c r="Q100" s="379"/>
      <c r="R100" s="228"/>
      <c r="S100" s="379"/>
      <c r="T100" s="228"/>
      <c r="U100" s="379"/>
      <c r="V100" s="228"/>
      <c r="W100" s="379"/>
      <c r="X100" s="228"/>
      <c r="Y100" s="379"/>
      <c r="Z100" s="228"/>
      <c r="AA100" s="379"/>
      <c r="AB100" s="228"/>
      <c r="AC100" s="379"/>
      <c r="AD100" s="228"/>
      <c r="AE100" s="379"/>
      <c r="AF100" s="167">
        <v>0</v>
      </c>
      <c r="AG100" s="379"/>
      <c r="AH100" s="167">
        <v>0</v>
      </c>
      <c r="AI100" s="379"/>
      <c r="AJ100" s="167">
        <v>0</v>
      </c>
      <c r="AK100" s="379"/>
      <c r="AL100" s="167">
        <v>0</v>
      </c>
      <c r="AM100" s="379"/>
      <c r="AN100" s="167">
        <v>0</v>
      </c>
      <c r="AO100" s="379"/>
      <c r="AP100" s="167">
        <v>0</v>
      </c>
      <c r="AQ100" s="379"/>
      <c r="AR100" s="167">
        <v>0</v>
      </c>
      <c r="AS100" s="379"/>
      <c r="AT100" s="167">
        <v>0</v>
      </c>
      <c r="AU100" s="379"/>
      <c r="AV100" s="165">
        <v>0</v>
      </c>
      <c r="AW100" s="379"/>
      <c r="AX100" s="165">
        <v>0</v>
      </c>
      <c r="AY100" s="379"/>
      <c r="AZ100" s="165">
        <v>0</v>
      </c>
      <c r="BA100" s="379"/>
      <c r="BB100" s="165">
        <v>0</v>
      </c>
      <c r="BC100" s="379"/>
      <c r="BD100" s="165">
        <v>0</v>
      </c>
      <c r="BE100" s="379"/>
      <c r="BF100" s="165">
        <v>0</v>
      </c>
      <c r="BG100" s="379"/>
      <c r="BH100" s="225"/>
      <c r="BI100" s="184"/>
      <c r="CJ100" s="157"/>
      <c r="CK100" s="150"/>
      <c r="CL100" s="157"/>
      <c r="CM100" s="151" t="s">
        <v>1148</v>
      </c>
      <c r="CN100" s="157" t="s">
        <v>1153</v>
      </c>
      <c r="CO100" s="157"/>
      <c r="CP100" s="157"/>
      <c r="CQ100" s="157"/>
      <c r="CR100" s="157"/>
      <c r="CS100" s="157"/>
      <c r="CT100" s="157"/>
    </row>
    <row r="101" spans="1:98" ht="19.5" customHeight="1">
      <c r="A101" s="317"/>
      <c r="B101" s="200">
        <v>3</v>
      </c>
      <c r="C101" s="101"/>
      <c r="D101" s="482" t="s">
        <v>581</v>
      </c>
      <c r="E101" s="483"/>
      <c r="F101" s="235"/>
      <c r="G101" s="379"/>
      <c r="H101" s="236"/>
      <c r="I101" s="379"/>
      <c r="J101" s="236"/>
      <c r="K101" s="379"/>
      <c r="L101" s="236"/>
      <c r="M101" s="379"/>
      <c r="N101" s="236"/>
      <c r="O101" s="379"/>
      <c r="P101" s="236"/>
      <c r="Q101" s="379"/>
      <c r="R101" s="236"/>
      <c r="S101" s="379"/>
      <c r="T101" s="236"/>
      <c r="U101" s="379"/>
      <c r="V101" s="236"/>
      <c r="W101" s="379"/>
      <c r="X101" s="236"/>
      <c r="Y101" s="379"/>
      <c r="Z101" s="236"/>
      <c r="AA101" s="379"/>
      <c r="AB101" s="236"/>
      <c r="AC101" s="379"/>
      <c r="AD101" s="236"/>
      <c r="AE101" s="379"/>
      <c r="AF101" s="172">
        <v>0</v>
      </c>
      <c r="AG101" s="379"/>
      <c r="AH101" s="172">
        <v>0</v>
      </c>
      <c r="AI101" s="379"/>
      <c r="AJ101" s="172">
        <v>0</v>
      </c>
      <c r="AK101" s="379"/>
      <c r="AL101" s="172">
        <v>0</v>
      </c>
      <c r="AM101" s="379"/>
      <c r="AN101" s="172">
        <v>0</v>
      </c>
      <c r="AO101" s="379"/>
      <c r="AP101" s="172">
        <v>0</v>
      </c>
      <c r="AQ101" s="379"/>
      <c r="AR101" s="172">
        <v>0</v>
      </c>
      <c r="AS101" s="379"/>
      <c r="AT101" s="172">
        <v>0</v>
      </c>
      <c r="AU101" s="379"/>
      <c r="AV101" s="173">
        <v>0</v>
      </c>
      <c r="AW101" s="379"/>
      <c r="AX101" s="173">
        <v>0</v>
      </c>
      <c r="AY101" s="379"/>
      <c r="AZ101" s="173">
        <v>0</v>
      </c>
      <c r="BA101" s="379"/>
      <c r="BB101" s="173">
        <v>0</v>
      </c>
      <c r="BC101" s="379"/>
      <c r="BD101" s="173">
        <v>0</v>
      </c>
      <c r="BE101" s="379"/>
      <c r="BF101" s="173">
        <v>0</v>
      </c>
      <c r="BG101" s="379"/>
      <c r="BH101" s="237"/>
      <c r="BI101" s="184"/>
      <c r="CJ101" s="157"/>
      <c r="CK101" s="150"/>
      <c r="CL101" s="157"/>
      <c r="CM101" s="151" t="s">
        <v>1148</v>
      </c>
      <c r="CN101" s="157" t="s">
        <v>1154</v>
      </c>
      <c r="CO101" s="157"/>
      <c r="CP101" s="157"/>
      <c r="CQ101" s="157"/>
      <c r="CR101" s="157"/>
      <c r="CS101" s="157"/>
      <c r="CT101" s="157"/>
    </row>
    <row r="102" spans="1:98" ht="12.75" customHeight="1">
      <c r="A102" s="317"/>
      <c r="B102" s="201">
        <v>3.1</v>
      </c>
      <c r="C102" s="102"/>
      <c r="D102" s="480" t="s">
        <v>582</v>
      </c>
      <c r="E102" s="481"/>
      <c r="F102" s="224"/>
      <c r="G102" s="379"/>
      <c r="H102" s="228"/>
      <c r="I102" s="379"/>
      <c r="J102" s="228"/>
      <c r="K102" s="379"/>
      <c r="L102" s="228"/>
      <c r="M102" s="379"/>
      <c r="N102" s="228"/>
      <c r="O102" s="379"/>
      <c r="P102" s="228"/>
      <c r="Q102" s="379"/>
      <c r="R102" s="228"/>
      <c r="S102" s="379"/>
      <c r="T102" s="228"/>
      <c r="U102" s="379"/>
      <c r="V102" s="228"/>
      <c r="W102" s="379"/>
      <c r="X102" s="228"/>
      <c r="Y102" s="379"/>
      <c r="Z102" s="228"/>
      <c r="AA102" s="379"/>
      <c r="AB102" s="228"/>
      <c r="AC102" s="379"/>
      <c r="AD102" s="228"/>
      <c r="AE102" s="379"/>
      <c r="AF102" s="167">
        <v>0</v>
      </c>
      <c r="AG102" s="379"/>
      <c r="AH102" s="167">
        <v>0</v>
      </c>
      <c r="AI102" s="379"/>
      <c r="AJ102" s="167">
        <v>0</v>
      </c>
      <c r="AK102" s="379"/>
      <c r="AL102" s="167">
        <v>0</v>
      </c>
      <c r="AM102" s="379"/>
      <c r="AN102" s="167">
        <v>0</v>
      </c>
      <c r="AO102" s="379"/>
      <c r="AP102" s="167">
        <v>0</v>
      </c>
      <c r="AQ102" s="379"/>
      <c r="AR102" s="167">
        <v>0</v>
      </c>
      <c r="AS102" s="379"/>
      <c r="AT102" s="167">
        <v>0</v>
      </c>
      <c r="AU102" s="379"/>
      <c r="AV102" s="165">
        <v>0</v>
      </c>
      <c r="AW102" s="379"/>
      <c r="AX102" s="165">
        <v>0</v>
      </c>
      <c r="AY102" s="379"/>
      <c r="AZ102" s="165">
        <v>0</v>
      </c>
      <c r="BA102" s="379"/>
      <c r="BB102" s="165">
        <v>0</v>
      </c>
      <c r="BC102" s="379"/>
      <c r="BD102" s="165">
        <v>0</v>
      </c>
      <c r="BE102" s="379"/>
      <c r="BF102" s="165">
        <v>0</v>
      </c>
      <c r="BG102" s="379"/>
      <c r="BH102" s="225"/>
      <c r="BI102" s="184"/>
      <c r="CJ102" s="157"/>
      <c r="CK102" s="150"/>
      <c r="CL102" s="157"/>
      <c r="CM102" s="151" t="s">
        <v>1148</v>
      </c>
      <c r="CN102" s="157" t="s">
        <v>1155</v>
      </c>
      <c r="CO102" s="157"/>
      <c r="CP102" s="157"/>
      <c r="CQ102" s="157"/>
      <c r="CR102" s="157"/>
      <c r="CS102" s="157"/>
      <c r="CT102" s="157"/>
    </row>
    <row r="103" spans="1:98" ht="12.75" customHeight="1">
      <c r="A103" s="317"/>
      <c r="B103" s="201">
        <v>3.2</v>
      </c>
      <c r="C103" s="102"/>
      <c r="D103" s="480" t="s">
        <v>583</v>
      </c>
      <c r="E103" s="481"/>
      <c r="F103" s="224"/>
      <c r="G103" s="379"/>
      <c r="H103" s="228"/>
      <c r="I103" s="379"/>
      <c r="J103" s="228"/>
      <c r="K103" s="379"/>
      <c r="L103" s="228"/>
      <c r="M103" s="379"/>
      <c r="N103" s="228"/>
      <c r="O103" s="379"/>
      <c r="P103" s="228"/>
      <c r="Q103" s="379"/>
      <c r="R103" s="228"/>
      <c r="S103" s="379"/>
      <c r="T103" s="228"/>
      <c r="U103" s="379"/>
      <c r="V103" s="228"/>
      <c r="W103" s="379"/>
      <c r="X103" s="228"/>
      <c r="Y103" s="379"/>
      <c r="Z103" s="228"/>
      <c r="AA103" s="379"/>
      <c r="AB103" s="228"/>
      <c r="AC103" s="379"/>
      <c r="AD103" s="228"/>
      <c r="AE103" s="379"/>
      <c r="AF103" s="167">
        <v>0</v>
      </c>
      <c r="AG103" s="379"/>
      <c r="AH103" s="167">
        <v>0</v>
      </c>
      <c r="AI103" s="379"/>
      <c r="AJ103" s="167">
        <v>0</v>
      </c>
      <c r="AK103" s="379"/>
      <c r="AL103" s="167">
        <v>0</v>
      </c>
      <c r="AM103" s="379"/>
      <c r="AN103" s="167">
        <v>0</v>
      </c>
      <c r="AO103" s="379"/>
      <c r="AP103" s="167">
        <v>0</v>
      </c>
      <c r="AQ103" s="379"/>
      <c r="AR103" s="167">
        <v>0</v>
      </c>
      <c r="AS103" s="379"/>
      <c r="AT103" s="167">
        <v>0</v>
      </c>
      <c r="AU103" s="379"/>
      <c r="AV103" s="165">
        <v>0</v>
      </c>
      <c r="AW103" s="379"/>
      <c r="AX103" s="165">
        <v>0</v>
      </c>
      <c r="AY103" s="379"/>
      <c r="AZ103" s="165">
        <v>0</v>
      </c>
      <c r="BA103" s="379"/>
      <c r="BB103" s="165">
        <v>0</v>
      </c>
      <c r="BC103" s="379"/>
      <c r="BD103" s="165">
        <v>0</v>
      </c>
      <c r="BE103" s="379"/>
      <c r="BF103" s="165">
        <v>0</v>
      </c>
      <c r="BG103" s="379"/>
      <c r="BH103" s="225"/>
      <c r="BI103" s="184"/>
      <c r="CJ103" s="157"/>
      <c r="CK103" s="150"/>
      <c r="CL103" s="157"/>
      <c r="CM103" s="151" t="s">
        <v>1148</v>
      </c>
      <c r="CN103" s="157" t="s">
        <v>1156</v>
      </c>
      <c r="CO103" s="157"/>
      <c r="CP103" s="157"/>
      <c r="CQ103" s="157"/>
      <c r="CR103" s="157"/>
      <c r="CS103" s="157"/>
      <c r="CT103" s="157"/>
    </row>
    <row r="104" spans="1:98" ht="12.75" customHeight="1">
      <c r="A104" s="317"/>
      <c r="B104" s="201">
        <v>3.3</v>
      </c>
      <c r="C104" s="102"/>
      <c r="D104" s="480" t="s">
        <v>584</v>
      </c>
      <c r="E104" s="481"/>
      <c r="F104" s="224"/>
      <c r="G104" s="379"/>
      <c r="H104" s="228"/>
      <c r="I104" s="379"/>
      <c r="J104" s="228"/>
      <c r="K104" s="379"/>
      <c r="L104" s="228"/>
      <c r="M104" s="379"/>
      <c r="N104" s="228"/>
      <c r="O104" s="379"/>
      <c r="P104" s="228"/>
      <c r="Q104" s="379"/>
      <c r="R104" s="228"/>
      <c r="S104" s="379"/>
      <c r="T104" s="228"/>
      <c r="U104" s="379"/>
      <c r="V104" s="228"/>
      <c r="W104" s="379"/>
      <c r="X104" s="228"/>
      <c r="Y104" s="379"/>
      <c r="Z104" s="228"/>
      <c r="AA104" s="379"/>
      <c r="AB104" s="228"/>
      <c r="AC104" s="379"/>
      <c r="AD104" s="228"/>
      <c r="AE104" s="379"/>
      <c r="AF104" s="167">
        <v>0</v>
      </c>
      <c r="AG104" s="379"/>
      <c r="AH104" s="167">
        <v>0</v>
      </c>
      <c r="AI104" s="379"/>
      <c r="AJ104" s="167">
        <v>0</v>
      </c>
      <c r="AK104" s="379"/>
      <c r="AL104" s="167">
        <v>0</v>
      </c>
      <c r="AM104" s="379"/>
      <c r="AN104" s="167">
        <v>0</v>
      </c>
      <c r="AO104" s="379"/>
      <c r="AP104" s="167">
        <v>0</v>
      </c>
      <c r="AQ104" s="379"/>
      <c r="AR104" s="167">
        <v>0</v>
      </c>
      <c r="AS104" s="379"/>
      <c r="AT104" s="167">
        <v>0</v>
      </c>
      <c r="AU104" s="379"/>
      <c r="AV104" s="165">
        <v>0</v>
      </c>
      <c r="AW104" s="379"/>
      <c r="AX104" s="165">
        <v>0</v>
      </c>
      <c r="AY104" s="379"/>
      <c r="AZ104" s="165">
        <v>0</v>
      </c>
      <c r="BA104" s="379"/>
      <c r="BB104" s="165">
        <v>0</v>
      </c>
      <c r="BC104" s="379"/>
      <c r="BD104" s="165">
        <v>0</v>
      </c>
      <c r="BE104" s="379"/>
      <c r="BF104" s="165">
        <v>0</v>
      </c>
      <c r="BG104" s="379"/>
      <c r="BH104" s="225"/>
      <c r="BI104" s="184"/>
      <c r="CJ104" s="157"/>
      <c r="CK104" s="150"/>
      <c r="CL104" s="157"/>
      <c r="CM104" s="151" t="s">
        <v>1148</v>
      </c>
      <c r="CN104" s="157" t="s">
        <v>1157</v>
      </c>
      <c r="CO104" s="157"/>
      <c r="CP104" s="157"/>
      <c r="CQ104" s="157"/>
      <c r="CR104" s="157"/>
      <c r="CS104" s="157"/>
      <c r="CT104" s="157"/>
    </row>
    <row r="105" spans="1:98" ht="17.25" customHeight="1">
      <c r="A105" s="317"/>
      <c r="B105" s="200">
        <v>4</v>
      </c>
      <c r="C105" s="101"/>
      <c r="D105" s="482" t="s">
        <v>585</v>
      </c>
      <c r="E105" s="483"/>
      <c r="F105" s="235"/>
      <c r="G105" s="379"/>
      <c r="H105" s="236"/>
      <c r="I105" s="379"/>
      <c r="J105" s="236"/>
      <c r="K105" s="379"/>
      <c r="L105" s="236"/>
      <c r="M105" s="379"/>
      <c r="N105" s="236"/>
      <c r="O105" s="379"/>
      <c r="P105" s="236"/>
      <c r="Q105" s="379"/>
      <c r="R105" s="236"/>
      <c r="S105" s="379"/>
      <c r="T105" s="236"/>
      <c r="U105" s="379"/>
      <c r="V105" s="236"/>
      <c r="W105" s="379"/>
      <c r="X105" s="236"/>
      <c r="Y105" s="379"/>
      <c r="Z105" s="236"/>
      <c r="AA105" s="379"/>
      <c r="AB105" s="236"/>
      <c r="AC105" s="379"/>
      <c r="AD105" s="236"/>
      <c r="AE105" s="379"/>
      <c r="AF105" s="172">
        <v>90590.939999999944</v>
      </c>
      <c r="AG105" s="379" t="s">
        <v>506</v>
      </c>
      <c r="AH105" s="172">
        <v>44187.239999999991</v>
      </c>
      <c r="AI105" s="379" t="s">
        <v>506</v>
      </c>
      <c r="AJ105" s="172">
        <v>24050.103084221977</v>
      </c>
      <c r="AK105" s="379" t="s">
        <v>506</v>
      </c>
      <c r="AL105" s="172">
        <v>26475.385125308007</v>
      </c>
      <c r="AM105" s="379" t="s">
        <v>506</v>
      </c>
      <c r="AN105" s="172">
        <v>20218.275652220997</v>
      </c>
      <c r="AO105" s="379" t="s">
        <v>506</v>
      </c>
      <c r="AP105" s="172">
        <v>18255.731488057005</v>
      </c>
      <c r="AQ105" s="379" t="s">
        <v>506</v>
      </c>
      <c r="AR105" s="172">
        <v>18035.806136123982</v>
      </c>
      <c r="AS105" s="379" t="s">
        <v>506</v>
      </c>
      <c r="AT105" s="172">
        <v>14760.772800000006</v>
      </c>
      <c r="AU105" s="379" t="s">
        <v>506</v>
      </c>
      <c r="AV105" s="173">
        <v>18767.46034000002</v>
      </c>
      <c r="AW105" s="379" t="s">
        <v>506</v>
      </c>
      <c r="AX105" s="173">
        <v>13206.145739999993</v>
      </c>
      <c r="AY105" s="379" t="s">
        <v>506</v>
      </c>
      <c r="AZ105" s="173">
        <v>14934.352000000014</v>
      </c>
      <c r="BA105" s="379" t="s">
        <v>506</v>
      </c>
      <c r="BB105" s="173">
        <v>17657.441879999998</v>
      </c>
      <c r="BC105" s="379" t="s">
        <v>506</v>
      </c>
      <c r="BD105" s="173">
        <v>16270.854120000004</v>
      </c>
      <c r="BE105" s="379" t="s">
        <v>506</v>
      </c>
      <c r="BF105" s="173">
        <v>24970.747560000018</v>
      </c>
      <c r="BG105" s="379" t="s">
        <v>506</v>
      </c>
      <c r="BH105" s="237"/>
      <c r="BI105" s="184"/>
      <c r="CJ105" s="157"/>
      <c r="CK105" s="150"/>
      <c r="CL105" s="157"/>
      <c r="CM105" s="151" t="s">
        <v>1148</v>
      </c>
      <c r="CN105" s="157" t="s">
        <v>1158</v>
      </c>
      <c r="CO105" s="157"/>
      <c r="CP105" s="157"/>
      <c r="CQ105" s="157"/>
      <c r="CR105" s="157"/>
      <c r="CS105" s="157"/>
      <c r="CT105" s="157"/>
    </row>
    <row r="106" spans="1:98" ht="32.25" customHeight="1">
      <c r="A106" s="317"/>
      <c r="B106" s="200">
        <v>5</v>
      </c>
      <c r="C106" s="101"/>
      <c r="D106" s="484" t="s">
        <v>1179</v>
      </c>
      <c r="E106" s="485"/>
      <c r="F106" s="222"/>
      <c r="G106" s="379"/>
      <c r="H106" s="231"/>
      <c r="I106" s="379"/>
      <c r="J106" s="231"/>
      <c r="K106" s="379"/>
      <c r="L106" s="231"/>
      <c r="M106" s="379"/>
      <c r="N106" s="231"/>
      <c r="O106" s="379"/>
      <c r="P106" s="231"/>
      <c r="Q106" s="379"/>
      <c r="R106" s="231"/>
      <c r="S106" s="379"/>
      <c r="T106" s="231"/>
      <c r="U106" s="379"/>
      <c r="V106" s="231"/>
      <c r="W106" s="379"/>
      <c r="X106" s="231"/>
      <c r="Y106" s="379"/>
      <c r="Z106" s="231"/>
      <c r="AA106" s="379"/>
      <c r="AB106" s="231"/>
      <c r="AC106" s="379"/>
      <c r="AD106" s="231"/>
      <c r="AE106" s="379"/>
      <c r="AF106" s="169">
        <v>895990.86</v>
      </c>
      <c r="AG106" s="379"/>
      <c r="AH106" s="169">
        <v>438346.56</v>
      </c>
      <c r="AI106" s="379"/>
      <c r="AJ106" s="169">
        <v>238350.58996792199</v>
      </c>
      <c r="AK106" s="379"/>
      <c r="AL106" s="169">
        <v>262601.954458508</v>
      </c>
      <c r="AM106" s="379"/>
      <c r="AN106" s="169">
        <v>200473.99678942098</v>
      </c>
      <c r="AO106" s="379"/>
      <c r="AP106" s="169">
        <v>181033.21463375702</v>
      </c>
      <c r="AQ106" s="379"/>
      <c r="AR106" s="169">
        <v>178919.27909962399</v>
      </c>
      <c r="AS106" s="379"/>
      <c r="AT106" s="169">
        <v>146388.38010000001</v>
      </c>
      <c r="AU106" s="379"/>
      <c r="AV106" s="164">
        <v>186171.31051000001</v>
      </c>
      <c r="AW106" s="379"/>
      <c r="AX106" s="164">
        <v>130956.47871</v>
      </c>
      <c r="AY106" s="379"/>
      <c r="AZ106" s="164">
        <v>148079.99035000001</v>
      </c>
      <c r="BA106" s="379"/>
      <c r="BB106" s="164">
        <v>175068.57732000001</v>
      </c>
      <c r="BC106" s="379"/>
      <c r="BD106" s="164">
        <v>161424.48933000001</v>
      </c>
      <c r="BE106" s="379"/>
      <c r="BF106" s="164">
        <v>247733.48544000002</v>
      </c>
      <c r="BG106" s="379"/>
      <c r="BH106" s="223"/>
      <c r="BI106" s="184"/>
      <c r="CJ106" s="157"/>
      <c r="CK106" s="150"/>
      <c r="CL106" s="157"/>
      <c r="CM106" s="151" t="s">
        <v>1148</v>
      </c>
      <c r="CN106" s="157" t="s">
        <v>1160</v>
      </c>
      <c r="CO106" s="157"/>
      <c r="CP106" s="157"/>
      <c r="CQ106" s="157"/>
      <c r="CR106" s="157"/>
      <c r="CS106" s="157"/>
      <c r="CT106" s="157"/>
    </row>
    <row r="107" spans="1:98" ht="21" customHeight="1" thickBot="1">
      <c r="A107" s="317"/>
      <c r="B107" s="64"/>
      <c r="C107" s="65"/>
      <c r="D107" s="486" t="s">
        <v>587</v>
      </c>
      <c r="E107" s="487"/>
      <c r="F107" s="241"/>
      <c r="G107" s="194"/>
      <c r="H107" s="242"/>
      <c r="I107" s="194"/>
      <c r="J107" s="242"/>
      <c r="K107" s="194"/>
      <c r="L107" s="242"/>
      <c r="M107" s="194"/>
      <c r="N107" s="242"/>
      <c r="O107" s="194"/>
      <c r="P107" s="242"/>
      <c r="Q107" s="194"/>
      <c r="R107" s="242"/>
      <c r="S107" s="194"/>
      <c r="T107" s="242"/>
      <c r="U107" s="194"/>
      <c r="V107" s="242"/>
      <c r="W107" s="194"/>
      <c r="X107" s="242"/>
      <c r="Y107" s="194"/>
      <c r="Z107" s="242"/>
      <c r="AA107" s="194"/>
      <c r="AB107" s="242"/>
      <c r="AC107" s="194"/>
      <c r="AD107" s="242"/>
      <c r="AE107" s="194"/>
      <c r="AF107" s="104">
        <v>2023</v>
      </c>
      <c r="AG107" s="194"/>
      <c r="AH107" s="104">
        <v>2023</v>
      </c>
      <c r="AI107" s="194"/>
      <c r="AJ107" s="104">
        <v>2023</v>
      </c>
      <c r="AK107" s="194"/>
      <c r="AL107" s="104">
        <v>2023</v>
      </c>
      <c r="AM107" s="194"/>
      <c r="AN107" s="104">
        <v>2023</v>
      </c>
      <c r="AO107" s="194"/>
      <c r="AP107" s="104">
        <v>2023</v>
      </c>
      <c r="AQ107" s="194"/>
      <c r="AR107" s="104">
        <v>2023</v>
      </c>
      <c r="AS107" s="194"/>
      <c r="AT107" s="104">
        <v>2023</v>
      </c>
      <c r="AU107" s="194"/>
      <c r="AV107" s="104">
        <v>2023</v>
      </c>
      <c r="AW107" s="194"/>
      <c r="AX107" s="105">
        <v>2023</v>
      </c>
      <c r="AY107" s="194"/>
      <c r="AZ107" s="105">
        <v>2023</v>
      </c>
      <c r="BA107" s="194"/>
      <c r="BB107" s="105">
        <v>2023</v>
      </c>
      <c r="BC107" s="194"/>
      <c r="BD107" s="105">
        <v>2023</v>
      </c>
      <c r="BE107" s="194"/>
      <c r="BF107" s="105">
        <v>2023</v>
      </c>
      <c r="BG107" s="194"/>
      <c r="BH107" s="243"/>
      <c r="BI107" s="195"/>
      <c r="CJ107" s="157"/>
      <c r="CK107" s="150"/>
      <c r="CL107" s="157"/>
      <c r="CM107" s="159"/>
      <c r="CN107" s="157"/>
      <c r="CO107" s="157"/>
      <c r="CP107" s="157"/>
      <c r="CQ107" s="157"/>
      <c r="CR107" s="157"/>
      <c r="CS107" s="157"/>
      <c r="CT107" s="157"/>
    </row>
    <row r="108" spans="1:98">
      <c r="CJ108" s="160"/>
      <c r="CK108" s="155"/>
      <c r="CL108" s="160"/>
      <c r="CM108" s="161"/>
      <c r="CN108" s="160"/>
      <c r="CO108" s="160"/>
      <c r="CP108" s="160"/>
      <c r="CQ108" s="160"/>
      <c r="CR108" s="160"/>
      <c r="CS108" s="160"/>
      <c r="CT108" s="160"/>
    </row>
    <row r="109" spans="1:98">
      <c r="B109" s="202" t="s">
        <v>1161</v>
      </c>
      <c r="CJ109" s="160"/>
      <c r="CK109" s="155"/>
      <c r="CL109" s="160"/>
      <c r="CM109" s="161"/>
      <c r="CN109" s="160"/>
      <c r="CO109" s="160"/>
      <c r="CP109" s="160"/>
      <c r="CQ109" s="160"/>
      <c r="CR109" s="160"/>
      <c r="CS109" s="160"/>
      <c r="CT109" s="160"/>
    </row>
    <row r="110" spans="1:98">
      <c r="B110" s="203">
        <v>1</v>
      </c>
      <c r="C110" t="s">
        <v>1162</v>
      </c>
      <c r="CJ110" s="160"/>
      <c r="CK110" s="155"/>
      <c r="CL110" s="160"/>
      <c r="CM110" s="161"/>
      <c r="CN110" s="160"/>
      <c r="CO110" s="160"/>
      <c r="CP110" s="160"/>
      <c r="CQ110" s="160"/>
      <c r="CR110" s="160"/>
      <c r="CS110" s="160"/>
      <c r="CT110" s="160"/>
    </row>
    <row r="111" spans="1:98">
      <c r="B111" s="203"/>
      <c r="CJ111" s="160"/>
      <c r="CK111" s="155"/>
      <c r="CL111" s="160"/>
      <c r="CM111" s="161"/>
      <c r="CN111" s="160"/>
      <c r="CO111" s="160"/>
      <c r="CP111" s="160"/>
      <c r="CQ111" s="160"/>
      <c r="CR111" s="160"/>
      <c r="CS111" s="160"/>
      <c r="CT111" s="160"/>
    </row>
    <row r="112" spans="1:98">
      <c r="B112">
        <v>2.1</v>
      </c>
      <c r="C112" s="36" t="s">
        <v>1163</v>
      </c>
      <c r="CJ112" s="160"/>
      <c r="CK112" s="155"/>
      <c r="CL112" s="160"/>
      <c r="CM112" s="161"/>
      <c r="CN112" s="160"/>
      <c r="CO112" s="160"/>
      <c r="CP112" s="160"/>
      <c r="CQ112" s="160"/>
      <c r="CR112" s="160"/>
      <c r="CS112" s="160"/>
      <c r="CT112" s="160"/>
    </row>
    <row r="113" spans="2:98">
      <c r="B113">
        <v>2.2000000000000002</v>
      </c>
      <c r="C113" s="36" t="s">
        <v>1164</v>
      </c>
      <c r="CJ113" s="160"/>
      <c r="CK113" s="155"/>
      <c r="CL113" s="160"/>
      <c r="CM113" s="161"/>
      <c r="CN113" s="160"/>
      <c r="CO113" s="160"/>
      <c r="CP113" s="160"/>
      <c r="CQ113" s="160"/>
      <c r="CR113" s="160"/>
      <c r="CS113" s="160"/>
      <c r="CT113" s="160"/>
    </row>
    <row r="114" spans="2:98">
      <c r="B114">
        <v>2.2999999999999998</v>
      </c>
      <c r="C114" s="36" t="s">
        <v>1165</v>
      </c>
      <c r="CJ114" s="160"/>
      <c r="CK114" s="155"/>
      <c r="CL114" s="160"/>
      <c r="CM114" s="161"/>
      <c r="CN114" s="160"/>
      <c r="CO114" s="160"/>
      <c r="CP114" s="160"/>
      <c r="CQ114" s="160"/>
      <c r="CR114" s="160"/>
      <c r="CS114" s="160"/>
      <c r="CT114" s="160"/>
    </row>
    <row r="115" spans="2:98">
      <c r="B115">
        <v>2.4</v>
      </c>
      <c r="C115" s="36" t="s">
        <v>1166</v>
      </c>
      <c r="CJ115" s="160"/>
      <c r="CK115" s="155"/>
      <c r="CL115" s="160"/>
      <c r="CM115" s="161"/>
      <c r="CN115" s="160"/>
      <c r="CO115" s="160"/>
      <c r="CP115" s="160"/>
      <c r="CQ115" s="160"/>
      <c r="CR115" s="160"/>
      <c r="CS115" s="160"/>
      <c r="CT115" s="160"/>
    </row>
    <row r="116" spans="2:98">
      <c r="CJ116" s="160"/>
      <c r="CK116" s="155"/>
      <c r="CL116" s="160"/>
      <c r="CM116" s="161"/>
      <c r="CN116" s="160"/>
      <c r="CO116" s="160"/>
      <c r="CP116" s="160"/>
      <c r="CQ116" s="160"/>
      <c r="CR116" s="160"/>
      <c r="CS116" s="160"/>
      <c r="CT116" s="160"/>
    </row>
    <row r="117" spans="2:98">
      <c r="B117">
        <v>3.1</v>
      </c>
      <c r="C117" s="36" t="s">
        <v>1167</v>
      </c>
      <c r="CJ117" s="160"/>
      <c r="CK117" s="155"/>
      <c r="CL117" s="160"/>
      <c r="CM117" s="161"/>
      <c r="CN117" s="160"/>
      <c r="CO117" s="160"/>
      <c r="CP117" s="160"/>
      <c r="CQ117" s="160"/>
      <c r="CR117" s="160"/>
      <c r="CS117" s="160"/>
      <c r="CT117" s="160"/>
    </row>
    <row r="118" spans="2:98">
      <c r="B118">
        <v>3.2</v>
      </c>
      <c r="C118" s="36" t="s">
        <v>1168</v>
      </c>
      <c r="CJ118" s="160"/>
      <c r="CK118" s="155"/>
      <c r="CL118" s="160"/>
      <c r="CM118" s="161"/>
      <c r="CN118" s="160"/>
      <c r="CO118" s="160"/>
      <c r="CP118" s="160"/>
      <c r="CQ118" s="160"/>
      <c r="CR118" s="160"/>
      <c r="CS118" s="160"/>
      <c r="CT118" s="160"/>
    </row>
    <row r="119" spans="2:98">
      <c r="B119">
        <v>3.3</v>
      </c>
      <c r="C119" s="36" t="s">
        <v>1169</v>
      </c>
      <c r="CJ119" s="160"/>
      <c r="CK119" s="155"/>
      <c r="CL119" s="160"/>
      <c r="CM119" s="161"/>
      <c r="CN119" s="160"/>
      <c r="CO119" s="160"/>
      <c r="CP119" s="160"/>
      <c r="CQ119" s="160"/>
      <c r="CR119" s="160"/>
      <c r="CS119" s="160"/>
      <c r="CT119" s="160"/>
    </row>
    <row r="120" spans="2:98">
      <c r="CJ120" s="160"/>
      <c r="CK120" s="155"/>
      <c r="CL120" s="160"/>
      <c r="CM120" s="161"/>
      <c r="CN120" s="160"/>
      <c r="CO120" s="160"/>
      <c r="CP120" s="160"/>
      <c r="CQ120" s="160"/>
      <c r="CR120" s="160"/>
      <c r="CS120" s="160"/>
      <c r="CT120" s="160"/>
    </row>
    <row r="121" spans="2:98">
      <c r="B121" s="203">
        <v>5</v>
      </c>
      <c r="C121" s="36" t="s">
        <v>1170</v>
      </c>
      <c r="CJ121" s="160"/>
      <c r="CK121" s="155"/>
      <c r="CL121" s="160"/>
      <c r="CM121" s="161"/>
      <c r="CN121" s="160"/>
      <c r="CO121" s="160"/>
      <c r="CP121" s="160"/>
      <c r="CQ121" s="160"/>
      <c r="CR121" s="160"/>
      <c r="CS121" s="160"/>
      <c r="CT121" s="160"/>
    </row>
    <row r="122" spans="2:98">
      <c r="CJ122" s="160"/>
      <c r="CK122" s="155"/>
      <c r="CL122" s="160"/>
      <c r="CM122" s="161"/>
      <c r="CN122" s="160"/>
      <c r="CO122" s="160"/>
      <c r="CP122" s="160"/>
      <c r="CQ122" s="160"/>
      <c r="CR122" s="160"/>
      <c r="CS122" s="160"/>
      <c r="CT122" s="160"/>
    </row>
    <row r="123" spans="2:98">
      <c r="CJ123" s="160"/>
      <c r="CK123" s="155"/>
      <c r="CL123" s="160"/>
      <c r="CM123" s="161"/>
      <c r="CN123" s="160"/>
      <c r="CO123" s="160"/>
      <c r="CP123" s="160"/>
      <c r="CQ123" s="160"/>
      <c r="CR123" s="160"/>
      <c r="CS123" s="160"/>
      <c r="CT123" s="160"/>
    </row>
    <row r="124" spans="2:98">
      <c r="CJ124" s="160"/>
      <c r="CK124" s="155"/>
      <c r="CL124" s="160"/>
      <c r="CM124" s="161"/>
      <c r="CN124" s="160"/>
      <c r="CO124" s="160"/>
      <c r="CP124" s="160"/>
      <c r="CQ124" s="160"/>
      <c r="CR124" s="160"/>
      <c r="CS124" s="160"/>
      <c r="CT124" s="160"/>
    </row>
    <row r="125" spans="2:98">
      <c r="CJ125" s="160"/>
      <c r="CK125" s="155"/>
      <c r="CL125" s="160"/>
      <c r="CM125" s="161"/>
      <c r="CN125" s="160"/>
      <c r="CO125" s="160"/>
      <c r="CP125" s="160"/>
      <c r="CQ125" s="160"/>
      <c r="CR125" s="160"/>
      <c r="CS125" s="160"/>
      <c r="CT125" s="160"/>
    </row>
    <row r="126" spans="2:98">
      <c r="CJ126" s="160"/>
      <c r="CK126" s="155"/>
      <c r="CL126" s="160"/>
      <c r="CM126" s="161"/>
      <c r="CN126" s="160"/>
      <c r="CO126" s="160"/>
      <c r="CP126" s="160"/>
      <c r="CQ126" s="160"/>
      <c r="CR126" s="160"/>
      <c r="CS126" s="160"/>
      <c r="CT126" s="160"/>
    </row>
    <row r="127" spans="2:98">
      <c r="CJ127" s="160"/>
      <c r="CK127" s="155"/>
      <c r="CL127" s="160"/>
      <c r="CM127" s="161"/>
      <c r="CN127" s="160"/>
      <c r="CO127" s="160"/>
      <c r="CP127" s="160"/>
      <c r="CQ127" s="160"/>
      <c r="CR127" s="160"/>
      <c r="CS127" s="160"/>
      <c r="CT127" s="160"/>
    </row>
    <row r="128" spans="2:98">
      <c r="CJ128" s="160"/>
      <c r="CK128" s="155"/>
      <c r="CL128" s="160"/>
      <c r="CM128" s="161"/>
      <c r="CN128" s="160"/>
      <c r="CO128" s="160"/>
      <c r="CP128" s="160"/>
      <c r="CQ128" s="160"/>
      <c r="CR128" s="160"/>
      <c r="CS128" s="160"/>
      <c r="CT128" s="160"/>
    </row>
    <row r="129" spans="88:98">
      <c r="CJ129" s="160"/>
      <c r="CK129" s="155"/>
      <c r="CL129" s="160"/>
      <c r="CM129" s="161"/>
      <c r="CN129" s="160"/>
      <c r="CO129" s="160"/>
      <c r="CP129" s="160"/>
      <c r="CQ129" s="160"/>
      <c r="CR129" s="160"/>
      <c r="CS129" s="160"/>
      <c r="CT129" s="160"/>
    </row>
    <row r="130" spans="88:98">
      <c r="CJ130" s="160"/>
      <c r="CK130" s="155"/>
      <c r="CL130" s="160"/>
      <c r="CM130" s="161"/>
      <c r="CN130" s="160"/>
      <c r="CO130" s="160"/>
      <c r="CP130" s="160"/>
      <c r="CQ130" s="160"/>
      <c r="CR130" s="160"/>
      <c r="CS130" s="160"/>
      <c r="CT130" s="160"/>
    </row>
    <row r="131" spans="88:98">
      <c r="CJ131" s="160"/>
      <c r="CK131" s="155"/>
      <c r="CL131" s="160"/>
      <c r="CM131" s="161"/>
      <c r="CN131" s="160"/>
      <c r="CO131" s="160"/>
      <c r="CP131" s="160"/>
      <c r="CQ131" s="160"/>
      <c r="CR131" s="160"/>
      <c r="CS131" s="160"/>
      <c r="CT131" s="160"/>
    </row>
    <row r="132" spans="88:98">
      <c r="CJ132" s="160"/>
      <c r="CK132" s="155"/>
      <c r="CL132" s="160"/>
      <c r="CM132" s="161"/>
      <c r="CN132" s="160"/>
      <c r="CO132" s="160"/>
      <c r="CP132" s="160"/>
      <c r="CQ132" s="160"/>
      <c r="CR132" s="160"/>
      <c r="CS132" s="160"/>
      <c r="CT132" s="160"/>
    </row>
    <row r="133" spans="88:98">
      <c r="CJ133" s="160"/>
      <c r="CK133" s="155"/>
      <c r="CL133" s="160"/>
      <c r="CM133" s="161"/>
      <c r="CN133" s="160"/>
      <c r="CO133" s="160"/>
      <c r="CP133" s="160"/>
      <c r="CQ133" s="160"/>
      <c r="CR133" s="160"/>
      <c r="CS133" s="160"/>
      <c r="CT133" s="160"/>
    </row>
    <row r="134" spans="88:98">
      <c r="CJ134" s="160"/>
      <c r="CK134" s="155"/>
      <c r="CL134" s="160"/>
      <c r="CM134" s="161"/>
      <c r="CN134" s="160"/>
      <c r="CO134" s="160"/>
      <c r="CP134" s="160"/>
      <c r="CQ134" s="160"/>
      <c r="CR134" s="160"/>
      <c r="CS134" s="160"/>
      <c r="CT134" s="160"/>
    </row>
    <row r="135" spans="88:98">
      <c r="CJ135" s="160"/>
      <c r="CK135" s="155"/>
      <c r="CL135" s="160"/>
      <c r="CM135" s="161"/>
      <c r="CN135" s="160"/>
      <c r="CO135" s="160"/>
      <c r="CP135" s="160"/>
      <c r="CQ135" s="160"/>
      <c r="CR135" s="160"/>
      <c r="CS135" s="160"/>
      <c r="CT135" s="160"/>
    </row>
    <row r="136" spans="88:98">
      <c r="CJ136" s="160"/>
      <c r="CK136" s="155"/>
      <c r="CL136" s="160"/>
      <c r="CM136" s="161"/>
      <c r="CN136" s="160"/>
      <c r="CO136" s="160"/>
      <c r="CP136" s="160"/>
      <c r="CQ136" s="160"/>
      <c r="CR136" s="160"/>
      <c r="CS136" s="160"/>
      <c r="CT136" s="160"/>
    </row>
    <row r="137" spans="88:98">
      <c r="CJ137" s="160"/>
      <c r="CK137" s="155"/>
      <c r="CL137" s="160"/>
      <c r="CM137" s="161"/>
      <c r="CN137" s="160"/>
      <c r="CO137" s="160"/>
      <c r="CP137" s="160"/>
      <c r="CQ137" s="160"/>
      <c r="CR137" s="160"/>
      <c r="CS137" s="160"/>
      <c r="CT137" s="160"/>
    </row>
    <row r="138" spans="88:98">
      <c r="CJ138" s="160"/>
      <c r="CK138" s="155"/>
      <c r="CL138" s="160"/>
      <c r="CM138" s="161"/>
      <c r="CN138" s="160"/>
      <c r="CO138" s="160"/>
      <c r="CP138" s="160"/>
      <c r="CQ138" s="160"/>
      <c r="CR138" s="160"/>
      <c r="CS138" s="160"/>
      <c r="CT138" s="160"/>
    </row>
    <row r="139" spans="88:98">
      <c r="CJ139" s="160"/>
      <c r="CK139" s="155"/>
      <c r="CL139" s="160"/>
      <c r="CM139" s="161"/>
      <c r="CN139" s="160"/>
      <c r="CO139" s="160"/>
      <c r="CP139" s="160"/>
      <c r="CQ139" s="160"/>
      <c r="CR139" s="160"/>
      <c r="CS139" s="160"/>
      <c r="CT139" s="160"/>
    </row>
    <row r="140" spans="88:98">
      <c r="CJ140" s="160"/>
      <c r="CK140" s="155"/>
      <c r="CL140" s="160"/>
      <c r="CM140" s="161"/>
      <c r="CN140" s="160"/>
      <c r="CO140" s="160"/>
      <c r="CP140" s="160"/>
      <c r="CQ140" s="160"/>
      <c r="CR140" s="160"/>
      <c r="CS140" s="160"/>
      <c r="CT140" s="160"/>
    </row>
    <row r="141" spans="88:98">
      <c r="CJ141" s="160"/>
      <c r="CK141" s="155"/>
      <c r="CL141" s="160"/>
      <c r="CM141" s="161"/>
      <c r="CN141" s="160"/>
      <c r="CO141" s="160"/>
      <c r="CP141" s="160"/>
      <c r="CQ141" s="160"/>
      <c r="CR141" s="160"/>
      <c r="CS141" s="160"/>
      <c r="CT141" s="160"/>
    </row>
    <row r="142" spans="88:98">
      <c r="CJ142" s="161"/>
      <c r="CK142" s="156"/>
      <c r="CL142" s="161"/>
      <c r="CM142" s="161"/>
      <c r="CN142" s="161"/>
      <c r="CO142" s="161"/>
      <c r="CP142" s="161"/>
      <c r="CQ142" s="161"/>
      <c r="CR142" s="161"/>
      <c r="CS142" s="161"/>
      <c r="CT142" s="161"/>
    </row>
    <row r="143" spans="88:98">
      <c r="CJ143" s="161"/>
      <c r="CK143" s="156"/>
      <c r="CL143" s="161"/>
      <c r="CM143" s="161"/>
      <c r="CN143" s="161"/>
      <c r="CO143" s="161"/>
      <c r="CP143" s="161"/>
      <c r="CQ143" s="161"/>
      <c r="CR143" s="161"/>
      <c r="CS143" s="161"/>
      <c r="CT143" s="161"/>
    </row>
    <row r="144" spans="88:98">
      <c r="CJ144" s="161"/>
      <c r="CK144" s="156"/>
      <c r="CL144" s="161"/>
      <c r="CM144" s="161"/>
      <c r="CN144" s="161"/>
      <c r="CO144" s="161"/>
      <c r="CP144" s="161"/>
      <c r="CQ144" s="161"/>
      <c r="CR144" s="161"/>
      <c r="CS144" s="161"/>
      <c r="CT144" s="161"/>
    </row>
  </sheetData>
  <sheetProtection sheet="1" objects="1" scenarios="1"/>
  <dataConsolidate/>
  <mergeCells count="137">
    <mergeCell ref="CS1:CS3"/>
    <mergeCell ref="CT1:CT3"/>
    <mergeCell ref="CM1:CM3"/>
    <mergeCell ref="CN1:CN3"/>
    <mergeCell ref="CO1:CO3"/>
    <mergeCell ref="CP1:CP3"/>
    <mergeCell ref="CQ1:CQ3"/>
    <mergeCell ref="CR1:CR3"/>
    <mergeCell ref="D104:E104"/>
    <mergeCell ref="D81:E81"/>
    <mergeCell ref="D82:E82"/>
    <mergeCell ref="D83:E83"/>
    <mergeCell ref="D84:E84"/>
    <mergeCell ref="D85:E85"/>
    <mergeCell ref="D74:E74"/>
    <mergeCell ref="D75:E75"/>
    <mergeCell ref="D76:E76"/>
    <mergeCell ref="D77:E77"/>
    <mergeCell ref="D78:E78"/>
    <mergeCell ref="D79:E79"/>
    <mergeCell ref="D68:E68"/>
    <mergeCell ref="D69:E69"/>
    <mergeCell ref="D70:E70"/>
    <mergeCell ref="D71:E71"/>
    <mergeCell ref="D105:E105"/>
    <mergeCell ref="D106:E106"/>
    <mergeCell ref="D107:E107"/>
    <mergeCell ref="CJ1:CJ3"/>
    <mergeCell ref="CL1:CL3"/>
    <mergeCell ref="D98:E98"/>
    <mergeCell ref="D99:E99"/>
    <mergeCell ref="D100:E100"/>
    <mergeCell ref="D101:E101"/>
    <mergeCell ref="D102:E102"/>
    <mergeCell ref="D103:E103"/>
    <mergeCell ref="D92:E92"/>
    <mergeCell ref="D93:E93"/>
    <mergeCell ref="D94:E94"/>
    <mergeCell ref="B95:E95"/>
    <mergeCell ref="D96:E96"/>
    <mergeCell ref="D97:E97"/>
    <mergeCell ref="D86:E86"/>
    <mergeCell ref="D87:E87"/>
    <mergeCell ref="D88:E88"/>
    <mergeCell ref="D89:E89"/>
    <mergeCell ref="D90:E90"/>
    <mergeCell ref="B91:E91"/>
    <mergeCell ref="D80:E80"/>
    <mergeCell ref="D72:E72"/>
    <mergeCell ref="D73:E73"/>
    <mergeCell ref="D62:E62"/>
    <mergeCell ref="D63:E63"/>
    <mergeCell ref="D64:E64"/>
    <mergeCell ref="D65:E65"/>
    <mergeCell ref="D66:E66"/>
    <mergeCell ref="D67:E67"/>
    <mergeCell ref="D56:E56"/>
    <mergeCell ref="D57:E57"/>
    <mergeCell ref="D58:E58"/>
    <mergeCell ref="D59:E59"/>
    <mergeCell ref="D60:E60"/>
    <mergeCell ref="D61:E61"/>
    <mergeCell ref="D50:E50"/>
    <mergeCell ref="D51:E51"/>
    <mergeCell ref="D52:E52"/>
    <mergeCell ref="D53:E53"/>
    <mergeCell ref="D54:E54"/>
    <mergeCell ref="D55:E55"/>
    <mergeCell ref="D44:E44"/>
    <mergeCell ref="D45:E45"/>
    <mergeCell ref="D46:E46"/>
    <mergeCell ref="D47:E47"/>
    <mergeCell ref="D48:E48"/>
    <mergeCell ref="D49:E49"/>
    <mergeCell ref="D38:E38"/>
    <mergeCell ref="D39:E39"/>
    <mergeCell ref="D40:E40"/>
    <mergeCell ref="D41:E41"/>
    <mergeCell ref="D42:E42"/>
    <mergeCell ref="D43:E43"/>
    <mergeCell ref="D32:E32"/>
    <mergeCell ref="D33:E33"/>
    <mergeCell ref="D34:E34"/>
    <mergeCell ref="D35:E35"/>
    <mergeCell ref="D36:E36"/>
    <mergeCell ref="D37:E37"/>
    <mergeCell ref="D26:E26"/>
    <mergeCell ref="D27:E27"/>
    <mergeCell ref="D28:E28"/>
    <mergeCell ref="D29:E29"/>
    <mergeCell ref="D30:E30"/>
    <mergeCell ref="D31:E31"/>
    <mergeCell ref="D20:E20"/>
    <mergeCell ref="D21:E21"/>
    <mergeCell ref="D22:E22"/>
    <mergeCell ref="D23:E23"/>
    <mergeCell ref="D24:E24"/>
    <mergeCell ref="D25:E25"/>
    <mergeCell ref="F1:G3"/>
    <mergeCell ref="H1:I3"/>
    <mergeCell ref="J1:K3"/>
    <mergeCell ref="D14:E14"/>
    <mergeCell ref="D15:E15"/>
    <mergeCell ref="D16:E16"/>
    <mergeCell ref="D17:E17"/>
    <mergeCell ref="D18:E18"/>
    <mergeCell ref="D19:E19"/>
    <mergeCell ref="D8:E8"/>
    <mergeCell ref="D9:E9"/>
    <mergeCell ref="D10:E10"/>
    <mergeCell ref="D11:E11"/>
    <mergeCell ref="D12:E12"/>
    <mergeCell ref="D13:E13"/>
    <mergeCell ref="CK1:CK3"/>
    <mergeCell ref="L1:M3"/>
    <mergeCell ref="N1:O3"/>
    <mergeCell ref="AV3:AW3"/>
    <mergeCell ref="B4:E4"/>
    <mergeCell ref="B5:C5"/>
    <mergeCell ref="D5:E5"/>
    <mergeCell ref="D6:E6"/>
    <mergeCell ref="D7:E7"/>
    <mergeCell ref="AB1:AC3"/>
    <mergeCell ref="AD1:AE3"/>
    <mergeCell ref="AF1:AG3"/>
    <mergeCell ref="AH1:AI3"/>
    <mergeCell ref="AJ1:AK3"/>
    <mergeCell ref="B2:C2"/>
    <mergeCell ref="B3:C3"/>
    <mergeCell ref="D3:E3"/>
    <mergeCell ref="P1:Q3"/>
    <mergeCell ref="R1:S3"/>
    <mergeCell ref="T1:U3"/>
    <mergeCell ref="V1:W3"/>
    <mergeCell ref="X1:Y3"/>
    <mergeCell ref="Z1:AA3"/>
    <mergeCell ref="B1:C1"/>
  </mergeCells>
  <dataValidations count="4">
    <dataValidation allowBlank="1" showErrorMessage="1" sqref="E1" xr:uid="{00000000-0002-0000-1100-000000000000}"/>
    <dataValidation type="textLength" allowBlank="1" showInputMessage="1" showErrorMessage="1" prompt="Please select your country in worksheet &quot;Intro&quot; (for all pollutant sheets)" sqref="D1" xr:uid="{00000000-0002-0000-1100-000001000000}">
      <formula1>2</formula1>
      <formula2>2</formula2>
    </dataValidation>
    <dataValidation type="custom" allowBlank="1" showInputMessage="1" showErrorMessage="1" errorTitle="Wrong data input" error="Data entry is limited to positive values or zero._x000d__x000a_: symbol can be used for not available data." sqref="F5:F95 F101:F104 F106:F107 BH5:BH95 BH101:BH104 BH106:BH107 BF5:BF95 BF101:BF104 BF106:BF107 BD5:BD95 BD101:BD104 BD106:BD107 BB5:BB95 BB101:BB104 BB106:BB107 AZ5:AZ95 AZ101:AZ104 AZ106:AZ107 AX5:AX95 AX101:AX104 AX106:AX107 AV5:AV95 AV101:AV104 AV106:AV107 AT5:AT95 AT101:AT104 AT106:AT107 AR5:AR95 AR101:AR104 AR106:AR107 AP5:AP95 AP101:AP104 AP106:AP107 AN5:AN95 AN101:AN104 AN106:AN107 AL5:AL95 AL101:AL104 AL106:AL107 AJ5:AJ95 AJ101:AJ104 AJ106:AJ107 AH5:AH95 AH101:AH104 AH106:AH107 AF5:AF95 AF101:AF104 AF106:AF107 AD5:AD95 AD101:AD104 AD106:AD107 AB5:AB95 AB101:AB104 AB106:AB107 Z5:Z95 Z101:Z104 Z106:Z107 X5:X95 X101:X104 X106:X107 V5:V95 V101:V104 V106:V107 T5:T95 T101:T104 T106:T107 R5:R95 R101:R104 R106:R107 P5:P95 P101:P104 P106:P107 N5:N95 N101:N104 N106:N107 L5:L95 L101:L104 L106:L107 J5:J95 J101:J104 J106:J107 H5:H95 H101:H104 H106:H107" xr:uid="{25AEE09F-CDE7-4227-B9E4-9FA9A88207F8}">
      <formula1>OR(AND(ISNUMBER(F5),F5&gt;=0),F5=":")</formula1>
    </dataValidation>
    <dataValidation type="custom" allowBlank="1" showInputMessage="1" showErrorMessage="1" errorTitle="Wrong data input" error="Data entry is limited to numbers._x000d__x000a_: symbol can be used for not available data." sqref="BH105 BH96:BH100 BF105 BF96:BF100 BD105 BD96:BD100 BB105 BB96:BB100 AZ105 AZ96:AZ100 AX105 AX96:AX100 AV105 AV96:AV100 AT105 AT96:AT100 AR105 AR96:AR100 AP105 AP96:AP100 AN105 AN96:AN100 AL105 AL96:AL100 AJ105 AJ96:AJ100 AH105 AH96:AH100 AF105 AF96:AF100 AD105 AD96:AD100 AB105 AB96:AB100 Z105 Z96:Z100 X105 X96:X100 V105 V96:V100 T105 T96:T100 R105 R96:R100 P105 P96:P100 N105 N96:N100 L105 L96:L100 J105 J96:J100 H105 H96:H100 F105 F96:F100" xr:uid="{CA215F6F-7C93-42D1-9524-309D77602210}">
      <formula1>OR(ISNUMBER(F96),F96=":")</formula1>
    </dataValidation>
  </dataValidations>
  <printOptions headings="1" gridLines="1"/>
  <pageMargins left="0.2" right="0.39370078740157499" top="0.17" bottom="0.47" header="0" footer="0"/>
  <pageSetup paperSize="9" scale="60" fitToHeight="3" pageOrder="overThenDown" orientation="portrait" r:id="rId1"/>
  <headerFooter alignWithMargins="0">
    <oddFooter>&amp;L&amp;A&amp;C&amp;P&amp;R&amp;F</oddFooter>
  </headerFooter>
  <rowBreaks count="1" manualBreakCount="1">
    <brk id="94" min="1" max="22" man="1"/>
  </rowBreaks>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CheckThisSheet">
                <anchor moveWithCells="1" sizeWithCells="1">
                  <from>
                    <xdr:col>4</xdr:col>
                    <xdr:colOff>3105150</xdr:colOff>
                    <xdr:row>1</xdr:row>
                    <xdr:rowOff>76200</xdr:rowOff>
                  </from>
                  <to>
                    <xdr:col>4</xdr:col>
                    <xdr:colOff>3810000</xdr:colOff>
                    <xdr:row>2</xdr:row>
                    <xdr:rowOff>304800</xdr:rowOff>
                  </to>
                </anchor>
              </controlPr>
            </control>
          </mc:Choice>
        </mc:AlternateContent>
        <mc:AlternateContent xmlns:mc="http://schemas.openxmlformats.org/markup-compatibility/2006">
          <mc:Choice Requires="x14">
            <control shapeId="822274" r:id="rId5" name="Button 2">
              <controlPr defaultSize="0" print="0" autoFill="0" autoPict="0" macro="[0]!Interface.SetPinkColor">
                <anchor moveWithCells="1" sizeWithCells="1">
                  <from>
                    <xdr:col>4</xdr:col>
                    <xdr:colOff>2914650</xdr:colOff>
                    <xdr:row>3</xdr:row>
                    <xdr:rowOff>76200</xdr:rowOff>
                  </from>
                  <to>
                    <xdr:col>4</xdr:col>
                    <xdr:colOff>3162300</xdr:colOff>
                    <xdr:row>3</xdr:row>
                    <xdr:rowOff>323850</xdr:rowOff>
                  </to>
                </anchor>
              </controlPr>
            </control>
          </mc:Choice>
        </mc:AlternateContent>
        <mc:AlternateContent xmlns:mc="http://schemas.openxmlformats.org/markup-compatibility/2006">
          <mc:Choice Requires="x14">
            <control shapeId="822275" r:id="rId6" name="Button 3">
              <controlPr defaultSize="0" print="0" autoFill="0" autoPict="0" macro="[0]!Interface.SetGreyColor">
                <anchor moveWithCells="1" sizeWithCells="1">
                  <from>
                    <xdr:col>4</xdr:col>
                    <xdr:colOff>3257550</xdr:colOff>
                    <xdr:row>3</xdr:row>
                    <xdr:rowOff>76200</xdr:rowOff>
                  </from>
                  <to>
                    <xdr:col>4</xdr:col>
                    <xdr:colOff>3505200</xdr:colOff>
                    <xdr:row>3</xdr:row>
                    <xdr:rowOff>323850</xdr:rowOff>
                  </to>
                </anchor>
              </controlPr>
            </control>
          </mc:Choice>
        </mc:AlternateContent>
        <mc:AlternateContent xmlns:mc="http://schemas.openxmlformats.org/markup-compatibility/2006">
          <mc:Choice Requires="x14">
            <control shapeId="822276" r:id="rId7" name="Button 4">
              <controlPr defaultSize="0" print="0" autoFill="0" autoPict="0" macro="[0]!Interface.SetBlankColor">
                <anchor moveWithCells="1" sizeWithCells="1">
                  <from>
                    <xdr:col>4</xdr:col>
                    <xdr:colOff>3600450</xdr:colOff>
                    <xdr:row>3</xdr:row>
                    <xdr:rowOff>66675</xdr:rowOff>
                  </from>
                  <to>
                    <xdr:col>4</xdr:col>
                    <xdr:colOff>3838575</xdr:colOff>
                    <xdr:row>3</xdr:row>
                    <xdr:rowOff>323850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1CE41-B66C-43B7-9413-69EE669F8BCE}">
  <sheetPr codeName="MODEL8">
    <tabColor indexed="42"/>
  </sheetPr>
  <dimension ref="A1:CT144"/>
  <sheetViews>
    <sheetView showGridLines="0" tabSelected="1" showOutlineSymbols="0" zoomScale="80" zoomScaleNormal="80" zoomScaleSheetLayoutView="100" workbookViewId="0">
      <pane xSplit="5" ySplit="4" topLeftCell="Z82" activePane="bottomRight" state="frozen"/>
      <selection pane="topRight" activeCell="AN63" sqref="AN63"/>
      <selection pane="bottomLeft" activeCell="AN63" sqref="AN63"/>
      <selection pane="bottomRight" activeCell="AJ112" sqref="AJ112"/>
    </sheetView>
  </sheetViews>
  <sheetFormatPr defaultColWidth="9.28515625" defaultRowHeight="12.75" outlineLevelCol="1"/>
  <cols>
    <col min="1" max="1" width="11.7109375" hidden="1" customWidth="1" outlineLevel="1" collapsed="1"/>
    <col min="2" max="2" width="10.28515625" customWidth="1" collapsed="1"/>
    <col min="3" max="3" width="2.7109375" customWidth="1"/>
    <col min="4" max="4" width="10" customWidth="1"/>
    <col min="5" max="5" width="56.7109375" customWidth="1"/>
    <col min="6" max="6" width="15.28515625" customWidth="1"/>
    <col min="7" max="7" width="2.28515625" customWidth="1"/>
    <col min="8" max="8" width="14.7109375" customWidth="1"/>
    <col min="9" max="9" width="2.28515625" customWidth="1"/>
    <col min="10" max="10" width="14.7109375" customWidth="1"/>
    <col min="11" max="11" width="2.28515625" customWidth="1"/>
    <col min="12" max="12" width="14.7109375" customWidth="1"/>
    <col min="13" max="13" width="2.28515625" customWidth="1"/>
    <col min="14" max="14" width="14.7109375" customWidth="1"/>
    <col min="15" max="15" width="2.28515625" customWidth="1"/>
    <col min="16" max="16" width="14.7109375" customWidth="1"/>
    <col min="17" max="17" width="2.28515625" customWidth="1"/>
    <col min="18" max="18" width="14.7109375" customWidth="1"/>
    <col min="19" max="19" width="2.28515625" customWidth="1"/>
    <col min="20" max="20" width="14.7109375" customWidth="1"/>
    <col min="21" max="21" width="2.28515625" customWidth="1"/>
    <col min="22" max="22" width="14.7109375" customWidth="1"/>
    <col min="23" max="23" width="2.28515625" customWidth="1"/>
    <col min="24" max="24" width="14.7109375" customWidth="1"/>
    <col min="25" max="25" width="2.28515625" customWidth="1"/>
    <col min="26" max="26" width="14.7109375" customWidth="1"/>
    <col min="27" max="27" width="2.28515625" customWidth="1"/>
    <col min="28" max="28" width="14.7109375" customWidth="1"/>
    <col min="29" max="29" width="2.28515625" customWidth="1"/>
    <col min="30" max="30" width="14.7109375" customWidth="1"/>
    <col min="31" max="31" width="2.28515625" customWidth="1"/>
    <col min="32" max="32" width="14.7109375" customWidth="1"/>
    <col min="33" max="33" width="2.28515625" customWidth="1"/>
    <col min="34" max="34" width="14.7109375" customWidth="1"/>
    <col min="35" max="35" width="2.28515625" customWidth="1"/>
    <col min="36" max="36" width="14.7109375" customWidth="1"/>
    <col min="37" max="37" width="2.28515625" customWidth="1"/>
    <col min="38" max="38" width="14.7109375" customWidth="1"/>
    <col min="39" max="39" width="2.28515625" customWidth="1"/>
    <col min="40" max="40" width="14.7109375" customWidth="1"/>
    <col min="41" max="41" width="2.28515625" customWidth="1"/>
    <col min="42" max="42" width="14.7109375" customWidth="1"/>
    <col min="43" max="43" width="2.28515625" customWidth="1"/>
    <col min="44" max="44" width="14.7109375" customWidth="1"/>
    <col min="45" max="45" width="2.28515625" customWidth="1"/>
    <col min="46" max="46" width="14.7109375" customWidth="1"/>
    <col min="47" max="47" width="2.28515625" customWidth="1"/>
    <col min="48" max="48" width="14.7109375" customWidth="1"/>
    <col min="49" max="49" width="2.28515625" customWidth="1"/>
    <col min="50" max="50" width="14.7109375" customWidth="1"/>
    <col min="51" max="51" width="2.28515625" customWidth="1"/>
    <col min="52" max="52" width="14.7109375" customWidth="1"/>
    <col min="53" max="53" width="2.28515625" customWidth="1"/>
    <col min="54" max="54" width="14.7109375" customWidth="1"/>
    <col min="55" max="55" width="2.28515625" customWidth="1"/>
    <col min="56" max="56" width="14.7109375" customWidth="1"/>
    <col min="57" max="57" width="2.28515625" customWidth="1"/>
    <col min="58" max="58" width="14.7109375" customWidth="1"/>
    <col min="59" max="59" width="2.28515625" customWidth="1"/>
    <col min="60" max="60" width="14.7109375" customWidth="1"/>
    <col min="61" max="61" width="2.28515625" customWidth="1"/>
    <col min="88" max="90" width="4.7109375" customWidth="1"/>
    <col min="91" max="91" width="6.7109375" customWidth="1"/>
    <col min="92" max="92" width="13.42578125" customWidth="1"/>
    <col min="93" max="98" width="4.7109375" customWidth="1"/>
  </cols>
  <sheetData>
    <row r="1" spans="1:98" ht="30" customHeight="1" thickBot="1">
      <c r="A1" t="s">
        <v>562</v>
      </c>
      <c r="B1" s="528" t="s">
        <v>563</v>
      </c>
      <c r="C1" s="529"/>
      <c r="D1" s="204" t="str">
        <f>intro!F7</f>
        <v>NO</v>
      </c>
      <c r="E1" s="15"/>
      <c r="F1" s="521"/>
      <c r="G1" s="555"/>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1"/>
      <c r="AI1" s="521"/>
      <c r="AJ1" s="521"/>
      <c r="AK1" s="521"/>
      <c r="CJ1" s="554" t="s">
        <v>214</v>
      </c>
      <c r="CK1" s="554" t="s">
        <v>218</v>
      </c>
      <c r="CL1" s="554" t="s">
        <v>222</v>
      </c>
      <c r="CM1" s="554" t="s">
        <v>225</v>
      </c>
      <c r="CN1" s="554" t="s">
        <v>1126</v>
      </c>
      <c r="CO1" s="554" t="s">
        <v>234</v>
      </c>
      <c r="CP1" s="554" t="s">
        <v>236</v>
      </c>
      <c r="CQ1" s="554" t="s">
        <v>238</v>
      </c>
      <c r="CR1" s="554" t="s">
        <v>259</v>
      </c>
      <c r="CS1" s="554" t="s">
        <v>240</v>
      </c>
      <c r="CT1" s="554" t="s">
        <v>242</v>
      </c>
    </row>
    <row r="2" spans="1:98" ht="30" customHeight="1" thickBot="1">
      <c r="B2" s="522" t="s">
        <v>564</v>
      </c>
      <c r="C2" s="523"/>
      <c r="D2" s="7" t="s">
        <v>195</v>
      </c>
      <c r="E2" s="297" t="s">
        <v>626</v>
      </c>
      <c r="F2" s="521"/>
      <c r="G2" s="521"/>
      <c r="H2" s="521"/>
      <c r="I2" s="521"/>
      <c r="J2" s="521"/>
      <c r="K2" s="521"/>
      <c r="L2" s="521"/>
      <c r="M2" s="521"/>
      <c r="N2" s="521"/>
      <c r="O2" s="521"/>
      <c r="P2" s="521"/>
      <c r="Q2" s="521"/>
      <c r="R2" s="521"/>
      <c r="S2" s="521"/>
      <c r="T2" s="521"/>
      <c r="U2" s="521"/>
      <c r="V2" s="521"/>
      <c r="W2" s="521"/>
      <c r="X2" s="521"/>
      <c r="Y2" s="521"/>
      <c r="Z2" s="521"/>
      <c r="AA2" s="521"/>
      <c r="AB2" s="521"/>
      <c r="AC2" s="521"/>
      <c r="AD2" s="521"/>
      <c r="AE2" s="521"/>
      <c r="AF2" s="521"/>
      <c r="AG2" s="521"/>
      <c r="AH2" s="521"/>
      <c r="AI2" s="521"/>
      <c r="AJ2" s="521"/>
      <c r="AK2" s="521"/>
      <c r="CI2" s="36"/>
      <c r="CJ2" s="554"/>
      <c r="CK2" s="554"/>
      <c r="CL2" s="554"/>
      <c r="CM2" s="554"/>
      <c r="CN2" s="554"/>
      <c r="CO2" s="554"/>
      <c r="CP2" s="554"/>
      <c r="CQ2" s="554"/>
      <c r="CR2" s="554"/>
      <c r="CS2" s="554"/>
      <c r="CT2" s="554"/>
    </row>
    <row r="3" spans="1:98" ht="30" customHeight="1" thickBot="1">
      <c r="A3" s="21" t="s">
        <v>625</v>
      </c>
      <c r="B3" s="524" t="s">
        <v>567</v>
      </c>
      <c r="C3" s="525" t="s">
        <v>568</v>
      </c>
      <c r="D3" s="526" t="s">
        <v>1127</v>
      </c>
      <c r="E3" s="527"/>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1"/>
      <c r="AI3" s="521"/>
      <c r="AJ3" s="521"/>
      <c r="AK3" s="521"/>
      <c r="AV3" s="511"/>
      <c r="AW3" s="511"/>
      <c r="CJ3" s="554"/>
      <c r="CK3" s="554"/>
      <c r="CL3" s="554"/>
      <c r="CM3" s="554"/>
      <c r="CN3" s="554"/>
      <c r="CO3" s="554"/>
      <c r="CP3" s="554"/>
      <c r="CQ3" s="554"/>
      <c r="CR3" s="554"/>
      <c r="CS3" s="554"/>
      <c r="CT3" s="554"/>
    </row>
    <row r="4" spans="1:98" ht="30" customHeight="1" thickBot="1">
      <c r="A4" s="22"/>
      <c r="B4" s="512" t="s">
        <v>570</v>
      </c>
      <c r="C4" s="513"/>
      <c r="D4" s="513"/>
      <c r="E4" s="514"/>
      <c r="F4" s="190">
        <v>1995</v>
      </c>
      <c r="G4" s="191"/>
      <c r="H4" s="192">
        <v>1996</v>
      </c>
      <c r="I4" s="191"/>
      <c r="J4" s="192">
        <v>1997</v>
      </c>
      <c r="K4" s="191"/>
      <c r="L4" s="192">
        <v>1998</v>
      </c>
      <c r="M4" s="191"/>
      <c r="N4" s="192">
        <v>1999</v>
      </c>
      <c r="O4" s="191"/>
      <c r="P4" s="192">
        <v>2000</v>
      </c>
      <c r="Q4" s="191"/>
      <c r="R4" s="192">
        <v>2001</v>
      </c>
      <c r="S4" s="191"/>
      <c r="T4" s="192">
        <v>2002</v>
      </c>
      <c r="U4" s="191"/>
      <c r="V4" s="192">
        <v>2003</v>
      </c>
      <c r="W4" s="191"/>
      <c r="X4" s="192">
        <v>2004</v>
      </c>
      <c r="Y4" s="191"/>
      <c r="Z4" s="192">
        <v>2005</v>
      </c>
      <c r="AA4" s="191"/>
      <c r="AB4" s="192">
        <v>2006</v>
      </c>
      <c r="AC4" s="191"/>
      <c r="AD4" s="192">
        <v>2007</v>
      </c>
      <c r="AE4" s="191"/>
      <c r="AF4" s="192">
        <v>2008</v>
      </c>
      <c r="AG4" s="191"/>
      <c r="AH4" s="192">
        <v>2009</v>
      </c>
      <c r="AI4" s="191"/>
      <c r="AJ4" s="192">
        <v>2010</v>
      </c>
      <c r="AK4" s="191"/>
      <c r="AL4" s="192">
        <v>2011</v>
      </c>
      <c r="AM4" s="191"/>
      <c r="AN4" s="192">
        <v>2012</v>
      </c>
      <c r="AO4" s="191"/>
      <c r="AP4" s="192">
        <v>2013</v>
      </c>
      <c r="AQ4" s="191"/>
      <c r="AR4" s="192">
        <v>2014</v>
      </c>
      <c r="AS4" s="191"/>
      <c r="AT4" s="192">
        <v>2015</v>
      </c>
      <c r="AU4" s="191"/>
      <c r="AV4" s="192">
        <v>2016</v>
      </c>
      <c r="AW4" s="191"/>
      <c r="AX4" s="192">
        <v>2017</v>
      </c>
      <c r="AY4" s="191"/>
      <c r="AZ4" s="192">
        <v>2018</v>
      </c>
      <c r="BA4" s="191"/>
      <c r="BB4" s="193">
        <v>2019</v>
      </c>
      <c r="BC4" s="191"/>
      <c r="BD4" s="193">
        <v>2020</v>
      </c>
      <c r="BE4" s="191"/>
      <c r="BF4" s="193">
        <v>2021</v>
      </c>
      <c r="BG4" s="191"/>
      <c r="BH4" s="67">
        <v>2022</v>
      </c>
      <c r="BI4" s="301"/>
      <c r="CJ4" s="149"/>
      <c r="CK4" s="149"/>
      <c r="CL4" s="149"/>
      <c r="CM4" s="149"/>
      <c r="CN4" s="149"/>
      <c r="CO4" s="149"/>
      <c r="CP4" s="149"/>
      <c r="CQ4" s="149"/>
      <c r="CR4" s="149"/>
      <c r="CS4" s="149"/>
      <c r="CT4" s="149"/>
    </row>
    <row r="5" spans="1:98" s="9" customFormat="1" ht="20.100000000000001" customHeight="1">
      <c r="A5" s="23"/>
      <c r="B5" s="515" t="str">
        <f>Parameters!Q4</f>
        <v>A_U   01-99</v>
      </c>
      <c r="C5" s="516"/>
      <c r="D5" s="517" t="str">
        <f>Parameters!S4</f>
        <v>Total industries</v>
      </c>
      <c r="E5" s="518"/>
      <c r="F5" s="220"/>
      <c r="G5" s="181"/>
      <c r="H5" s="221"/>
      <c r="I5" s="181"/>
      <c r="J5" s="221"/>
      <c r="K5" s="181"/>
      <c r="L5" s="221"/>
      <c r="M5" s="181"/>
      <c r="N5" s="221"/>
      <c r="O5" s="181"/>
      <c r="P5" s="221"/>
      <c r="Q5" s="181"/>
      <c r="R5" s="221"/>
      <c r="S5" s="181"/>
      <c r="T5" s="221"/>
      <c r="U5" s="181"/>
      <c r="V5" s="221"/>
      <c r="W5" s="181"/>
      <c r="X5" s="221"/>
      <c r="Y5" s="181"/>
      <c r="Z5" s="221"/>
      <c r="AA5" s="181"/>
      <c r="AB5" s="221"/>
      <c r="AC5" s="181"/>
      <c r="AD5" s="221"/>
      <c r="AE5" s="181"/>
      <c r="AF5" s="163">
        <f>+'CO2'!AF5+char!$C$4*N2O!AF5+char!$C$5*SF6_NF3!AF5+char!$C$6*'CH4'!AF5+char!$C$7*HFC!AF5+char!$C$8*PFC!AF5</f>
        <v>58691.005222102205</v>
      </c>
      <c r="AG5" s="181">
        <f>+'CO2'!AG5+char!$C$4*N2O!AG5+char!$C$5*SF6_NF3!AG5+char!$C$6*'CH4'!AG5+char!$C$7*HFC!AG5+char!$C$8*PFC!AG5</f>
        <v>0</v>
      </c>
      <c r="AH5" s="163">
        <f>+'CO2'!AH5+char!$C$4*N2O!AH5+char!$C$5*SF6_NF3!AH5+char!$C$6*'CH4'!AH5+char!$C$7*HFC!AH5+char!$C$8*PFC!AH5</f>
        <v>54894.432742313402</v>
      </c>
      <c r="AI5" s="181">
        <f>+'CO2'!AI5+char!$C$4*N2O!AI5+char!$C$5*SF6_NF3!AI5+char!$C$6*'CH4'!AI5+char!$C$7*HFC!AI5+char!$C$8*PFC!AI5</f>
        <v>0</v>
      </c>
      <c r="AJ5" s="163">
        <f>+'CO2'!AJ5+char!$C$4*N2O!AJ5+char!$C$5*SF6_NF3!AJ5+char!$C$6*'CH4'!AJ5+char!$C$7*HFC!AJ5+char!$C$8*PFC!AJ5</f>
        <v>57995.819589668194</v>
      </c>
      <c r="AK5" s="181">
        <f>+'CO2'!AK5+char!$C$4*N2O!AK5+char!$C$5*SF6_NF3!AK5+char!$C$6*'CH4'!AK5+char!$C$7*HFC!AK5+char!$C$8*PFC!AK5</f>
        <v>0</v>
      </c>
      <c r="AL5" s="163">
        <f>+'CO2'!AL5+char!$C$4*N2O!AL5+char!$C$5*SF6_NF3!AL5+char!$C$6*'CH4'!AL5+char!$C$7*HFC!AL5+char!$C$8*PFC!AL5</f>
        <v>62908.651977693902</v>
      </c>
      <c r="AM5" s="181">
        <f>+'CO2'!AM5+char!$C$4*N2O!AM5+char!$C$5*SF6_NF3!AM5+char!$C$6*'CH4'!AM5+char!$C$7*HFC!AM5+char!$C$8*PFC!AM5</f>
        <v>0</v>
      </c>
      <c r="AN5" s="163">
        <f>+'CO2'!AN5+char!$C$4*N2O!AN5+char!$C$5*SF6_NF3!AN5+char!$C$6*'CH4'!AN5+char!$C$7*HFC!AN5+char!$C$8*PFC!AN5</f>
        <v>62360.172104479192</v>
      </c>
      <c r="AO5" s="181">
        <f>+'CO2'!AO5+char!$C$4*N2O!AO5+char!$C$5*SF6_NF3!AO5+char!$C$6*'CH4'!AO5+char!$C$7*HFC!AO5+char!$C$8*PFC!AO5</f>
        <v>0</v>
      </c>
      <c r="AP5" s="163">
        <f>+'CO2'!AP5+char!$C$4*N2O!AP5+char!$C$5*SF6_NF3!AP5+char!$C$6*'CH4'!AP5+char!$C$7*HFC!AP5+char!$C$8*PFC!AP5</f>
        <v>62691.875822875198</v>
      </c>
      <c r="AQ5" s="181">
        <f>+'CO2'!AQ5+char!$C$4*N2O!AQ5+char!$C$5*SF6_NF3!AQ5+char!$C$6*'CH4'!AQ5+char!$C$7*HFC!AQ5+char!$C$8*PFC!AQ5</f>
        <v>0</v>
      </c>
      <c r="AR5" s="163">
        <f>+'CO2'!AR5+char!$C$4*N2O!AR5+char!$C$5*SF6_NF3!AR5+char!$C$6*'CH4'!AR5+char!$C$7*HFC!AR5+char!$C$8*PFC!AR5</f>
        <v>62148.089985724699</v>
      </c>
      <c r="AS5" s="181">
        <f>+'CO2'!AS5+char!$C$4*N2O!AS5+char!$C$5*SF6_NF3!AS5+char!$C$6*'CH4'!AS5+char!$C$7*HFC!AS5+char!$C$8*PFC!AS5</f>
        <v>0</v>
      </c>
      <c r="AT5" s="163">
        <f>+'CO2'!AT5+char!$C$4*N2O!AT5+char!$C$5*SF6_NF3!AT5+char!$C$6*'CH4'!AT5+char!$C$7*HFC!AT5+char!$C$8*PFC!AT5</f>
        <v>69134.4257733306</v>
      </c>
      <c r="AU5" s="181">
        <f>+'CO2'!AU5+char!$C$4*N2O!AU5+char!$C$5*SF6_NF3!AU5+char!$C$6*'CH4'!AU5+char!$C$7*HFC!AU5+char!$C$8*PFC!AU5</f>
        <v>0</v>
      </c>
      <c r="AV5" s="163">
        <f>+'CO2'!AV5+char!$C$4*N2O!AV5+char!$C$5*SF6_NF3!AV5+char!$C$6*'CH4'!AV5+char!$C$7*HFC!AV5+char!$C$8*PFC!AV5</f>
        <v>60372.057690228103</v>
      </c>
      <c r="AW5" s="181">
        <f>+'CO2'!AW5+char!$C$4*N2O!AW5+char!$C$5*SF6_NF3!AW5+char!$C$6*'CH4'!AW5+char!$C$7*HFC!AW5+char!$C$8*PFC!AW5</f>
        <v>0</v>
      </c>
      <c r="AX5" s="163">
        <f>+'CO2'!AX5+char!$C$4*N2O!AX5+char!$C$5*SF6_NF3!AX5+char!$C$6*'CH4'!AX5+char!$C$7*HFC!AX5+char!$C$8*PFC!AX5</f>
        <v>62743.243671231496</v>
      </c>
      <c r="AY5" s="181">
        <f>+'CO2'!AY5+char!$C$4*N2O!AY5+char!$C$5*SF6_NF3!AY5+char!$C$6*'CH4'!AY5+char!$C$7*HFC!AY5+char!$C$8*PFC!AY5</f>
        <v>0</v>
      </c>
      <c r="AZ5" s="163">
        <f>+'CO2'!AZ5+char!$C$4*N2O!AZ5+char!$C$5*SF6_NF3!AZ5+char!$C$6*'CH4'!AZ5+char!$C$7*HFC!AZ5+char!$C$8*PFC!AZ5</f>
        <v>65744.680790749495</v>
      </c>
      <c r="BA5" s="181">
        <f>+'CO2'!BA5+char!$C$4*N2O!BA5+char!$C$5*SF6_NF3!BA5+char!$C$6*'CH4'!BA5+char!$C$7*HFC!BA5+char!$C$8*PFC!BA5</f>
        <v>0</v>
      </c>
      <c r="BB5" s="163">
        <f>+'CO2'!BB5+char!$C$4*N2O!BB5+char!$C$5*SF6_NF3!BB5+char!$C$6*'CH4'!BB5+char!$C$7*HFC!BB5+char!$C$8*PFC!BB5</f>
        <v>65978.112718201693</v>
      </c>
      <c r="BC5" s="181">
        <f>+'CO2'!BC5+char!$C$4*N2O!BC5+char!$C$5*SF6_NF3!BC5+char!$C$6*'CH4'!BC5+char!$C$7*HFC!BC5+char!$C$8*PFC!BC5</f>
        <v>0</v>
      </c>
      <c r="BD5" s="163">
        <f>+'CO2'!BD5+char!$C$4*N2O!BD5+char!$C$5*SF6_NF3!BD5+char!$C$6*'CH4'!BD5+char!$C$7*HFC!BD5+char!$C$8*PFC!BD5</f>
        <v>60145.831547595699</v>
      </c>
      <c r="BE5" s="181">
        <f>+'CO2'!BE5+char!$C$4*N2O!BE5+char!$C$5*SF6_NF3!BE5+char!$C$6*'CH4'!BE5+char!$C$7*HFC!BE5+char!$C$8*PFC!BE5</f>
        <v>0</v>
      </c>
      <c r="BF5" s="163">
        <f>+'CO2'!BF5+char!$C$4*N2O!BF5+char!$C$5*SF6_NF3!BF5+char!$C$6*'CH4'!BF5+char!$C$7*HFC!BF5+char!$C$8*PFC!BF5</f>
        <v>59643.066236474806</v>
      </c>
      <c r="BG5" s="181"/>
      <c r="BH5" s="221"/>
      <c r="BI5" s="183"/>
      <c r="CJ5" s="150" t="s">
        <v>271</v>
      </c>
      <c r="CK5" s="150" t="s">
        <v>219</v>
      </c>
      <c r="CL5" s="150" t="s">
        <v>1128</v>
      </c>
      <c r="CM5" s="150" t="s">
        <v>1129</v>
      </c>
      <c r="CN5" s="150" t="s">
        <v>1130</v>
      </c>
      <c r="CO5" s="150" t="s">
        <v>195</v>
      </c>
      <c r="CP5" s="150" t="s">
        <v>1131</v>
      </c>
      <c r="CQ5" s="150" t="s">
        <v>1132</v>
      </c>
      <c r="CR5" s="150">
        <v>3</v>
      </c>
      <c r="CS5" s="150" t="s">
        <v>1133</v>
      </c>
      <c r="CT5" s="150" t="s">
        <v>1134</v>
      </c>
    </row>
    <row r="6" spans="1:98" s="9" customFormat="1" ht="20.100000000000001" customHeight="1">
      <c r="A6" s="24"/>
      <c r="B6" s="83" t="str">
        <f>Parameters!Q5</f>
        <v>A</v>
      </c>
      <c r="C6" s="305"/>
      <c r="D6" s="519" t="str">
        <f>Parameters!S5</f>
        <v>Agriculture, forestry and fishing</v>
      </c>
      <c r="E6" s="520"/>
      <c r="F6" s="222"/>
      <c r="G6" s="379"/>
      <c r="H6" s="223"/>
      <c r="I6" s="379"/>
      <c r="J6" s="223"/>
      <c r="K6" s="379"/>
      <c r="L6" s="223"/>
      <c r="M6" s="379"/>
      <c r="N6" s="223"/>
      <c r="O6" s="379"/>
      <c r="P6" s="223"/>
      <c r="Q6" s="379"/>
      <c r="R6" s="223"/>
      <c r="S6" s="379"/>
      <c r="T6" s="223"/>
      <c r="U6" s="379"/>
      <c r="V6" s="223"/>
      <c r="W6" s="379"/>
      <c r="X6" s="223"/>
      <c r="Y6" s="379"/>
      <c r="Z6" s="223"/>
      <c r="AA6" s="379"/>
      <c r="AB6" s="223"/>
      <c r="AC6" s="379"/>
      <c r="AD6" s="223"/>
      <c r="AE6" s="379"/>
      <c r="AF6" s="164">
        <f>+'CO2'!AF6+char!$C$4*N2O!AF6+char!$C$5*SF6_NF3!AF6+char!$C$6*'CH4'!AF6+char!$C$7*HFC!AF6+char!$C$8*PFC!AF6</f>
        <v>5817.3655940486997</v>
      </c>
      <c r="AG6" s="379">
        <f>+'CO2'!AG6+char!$C$4*N2O!AG6+char!$C$5*SF6_NF3!AG6+char!$C$6*'CH4'!AG6+char!$C$7*HFC!AG6+char!$C$8*PFC!AG6</f>
        <v>0</v>
      </c>
      <c r="AH6" s="164">
        <f>+'CO2'!AH6+char!$C$4*N2O!AH6+char!$C$5*SF6_NF3!AH6+char!$C$6*'CH4'!AH6+char!$C$7*HFC!AH6+char!$C$8*PFC!AH6</f>
        <v>5884.8208328275005</v>
      </c>
      <c r="AI6" s="379">
        <f>+'CO2'!AI6+char!$C$4*N2O!AI6+char!$C$5*SF6_NF3!AI6+char!$C$6*'CH4'!AI6+char!$C$7*HFC!AI6+char!$C$8*PFC!AI6</f>
        <v>0</v>
      </c>
      <c r="AJ6" s="164">
        <f>+'CO2'!AJ6+char!$C$4*N2O!AJ6+char!$C$5*SF6_NF3!AJ6+char!$C$6*'CH4'!AJ6+char!$C$7*HFC!AJ6+char!$C$8*PFC!AJ6</f>
        <v>5750.2314671049999</v>
      </c>
      <c r="AK6" s="379">
        <f>+'CO2'!AK6+char!$C$4*N2O!AK6+char!$C$5*SF6_NF3!AK6+char!$C$6*'CH4'!AK6+char!$C$7*HFC!AK6+char!$C$8*PFC!AK6</f>
        <v>0</v>
      </c>
      <c r="AL6" s="164">
        <f>+'CO2'!AL6+char!$C$4*N2O!AL6+char!$C$5*SF6_NF3!AL6+char!$C$6*'CH4'!AL6+char!$C$7*HFC!AL6+char!$C$8*PFC!AL6</f>
        <v>5597.9366518805</v>
      </c>
      <c r="AM6" s="379">
        <f>+'CO2'!AM6+char!$C$4*N2O!AM6+char!$C$5*SF6_NF3!AM6+char!$C$6*'CH4'!AM6+char!$C$7*HFC!AM6+char!$C$8*PFC!AM6</f>
        <v>0</v>
      </c>
      <c r="AN6" s="164">
        <f>+'CO2'!AN6+char!$C$4*N2O!AN6+char!$C$5*SF6_NF3!AN6+char!$C$6*'CH4'!AN6+char!$C$7*HFC!AN6+char!$C$8*PFC!AN6</f>
        <v>5626.9259534960001</v>
      </c>
      <c r="AO6" s="379">
        <f>+'CO2'!AO6+char!$C$4*N2O!AO6+char!$C$5*SF6_NF3!AO6+char!$C$6*'CH4'!AO6+char!$C$7*HFC!AO6+char!$C$8*PFC!AO6</f>
        <v>0</v>
      </c>
      <c r="AP6" s="164">
        <f>+'CO2'!AP6+char!$C$4*N2O!AP6+char!$C$5*SF6_NF3!AP6+char!$C$6*'CH4'!AP6+char!$C$7*HFC!AP6+char!$C$8*PFC!AP6</f>
        <v>5627.9869543544</v>
      </c>
      <c r="AQ6" s="379">
        <f>+'CO2'!AQ6+char!$C$4*N2O!AQ6+char!$C$5*SF6_NF3!AQ6+char!$C$6*'CH4'!AQ6+char!$C$7*HFC!AQ6+char!$C$8*PFC!AQ6</f>
        <v>0</v>
      </c>
      <c r="AR6" s="164">
        <f>+'CO2'!AR6+char!$C$4*N2O!AR6+char!$C$5*SF6_NF3!AR6+char!$C$6*'CH4'!AR6+char!$C$7*HFC!AR6+char!$C$8*PFC!AR6</f>
        <v>5703.0684201559015</v>
      </c>
      <c r="AS6" s="379">
        <f>+'CO2'!AS6+char!$C$4*N2O!AS6+char!$C$5*SF6_NF3!AS6+char!$C$6*'CH4'!AS6+char!$C$7*HFC!AS6+char!$C$8*PFC!AS6</f>
        <v>0</v>
      </c>
      <c r="AT6" s="164">
        <f>+'CO2'!AT6+char!$C$4*N2O!AT6+char!$C$5*SF6_NF3!AT6+char!$C$6*'CH4'!AT6+char!$C$7*HFC!AT6+char!$C$8*PFC!AT6</f>
        <v>5767.4013693775996</v>
      </c>
      <c r="AU6" s="379">
        <f>+'CO2'!AU6+char!$C$4*N2O!AU6+char!$C$5*SF6_NF3!AU6+char!$C$6*'CH4'!AU6+char!$C$7*HFC!AU6+char!$C$8*PFC!AU6</f>
        <v>0</v>
      </c>
      <c r="AV6" s="164">
        <f>+'CO2'!AV6+char!$C$4*N2O!AV6+char!$C$5*SF6_NF3!AV6+char!$C$6*'CH4'!AV6+char!$C$7*HFC!AV6+char!$C$8*PFC!AV6</f>
        <v>5886.5917045524002</v>
      </c>
      <c r="AW6" s="379">
        <f>+'CO2'!AW6+char!$C$4*N2O!AW6+char!$C$5*SF6_NF3!AW6+char!$C$6*'CH4'!AW6+char!$C$7*HFC!AW6+char!$C$8*PFC!AW6</f>
        <v>0</v>
      </c>
      <c r="AX6" s="164">
        <f>+'CO2'!AX6+char!$C$4*N2O!AX6+char!$C$5*SF6_NF3!AX6+char!$C$6*'CH4'!AX6+char!$C$7*HFC!AX6+char!$C$8*PFC!AX6</f>
        <v>5932.1430283124009</v>
      </c>
      <c r="AY6" s="379">
        <f>+'CO2'!AY6+char!$C$4*N2O!AY6+char!$C$5*SF6_NF3!AY6+char!$C$6*'CH4'!AY6+char!$C$7*HFC!AY6+char!$C$8*PFC!AY6</f>
        <v>0</v>
      </c>
      <c r="AZ6" s="164">
        <f>+'CO2'!AZ6+char!$C$4*N2O!AZ6+char!$C$5*SF6_NF3!AZ6+char!$C$6*'CH4'!AZ6+char!$C$7*HFC!AZ6+char!$C$8*PFC!AZ6</f>
        <v>5963.2316898201998</v>
      </c>
      <c r="BA6" s="379">
        <f>+'CO2'!BA6+char!$C$4*N2O!BA6+char!$C$5*SF6_NF3!BA6+char!$C$6*'CH4'!BA6+char!$C$7*HFC!BA6+char!$C$8*PFC!BA6</f>
        <v>0</v>
      </c>
      <c r="BB6" s="164">
        <f>+'CO2'!BB6+char!$C$4*N2O!BB6+char!$C$5*SF6_NF3!BB6+char!$C$6*'CH4'!BB6+char!$C$7*HFC!BB6+char!$C$8*PFC!BB6</f>
        <v>5886.0940994677994</v>
      </c>
      <c r="BC6" s="379">
        <f>+'CO2'!BC6+char!$C$4*N2O!BC6+char!$C$5*SF6_NF3!BC6+char!$C$6*'CH4'!BC6+char!$C$7*HFC!BC6+char!$C$8*PFC!BC6</f>
        <v>0</v>
      </c>
      <c r="BD6" s="164">
        <f>+'CO2'!BD6+char!$C$4*N2O!BD6+char!$C$5*SF6_NF3!BD6+char!$C$6*'CH4'!BD6+char!$C$7*HFC!BD6+char!$C$8*PFC!BD6</f>
        <v>6007.4733512732009</v>
      </c>
      <c r="BE6" s="379">
        <f>+'CO2'!BE6+char!$C$4*N2O!BE6+char!$C$5*SF6_NF3!BE6+char!$C$6*'CH4'!BE6+char!$C$7*HFC!BE6+char!$C$8*PFC!BE6</f>
        <v>0</v>
      </c>
      <c r="BF6" s="164">
        <f>+'CO2'!BF6+char!$C$4*N2O!BF6+char!$C$5*SF6_NF3!BF6+char!$C$6*'CH4'!BF6+char!$C$7*HFC!BF6+char!$C$8*PFC!BF6</f>
        <v>6097.4484179340006</v>
      </c>
      <c r="BG6" s="379"/>
      <c r="BH6" s="223"/>
      <c r="BI6" s="184"/>
      <c r="CJ6" s="150"/>
      <c r="CK6" s="150"/>
      <c r="CL6" s="150"/>
      <c r="CM6" s="151" t="s">
        <v>206</v>
      </c>
      <c r="CN6" s="150" t="s">
        <v>1130</v>
      </c>
      <c r="CO6" s="150"/>
      <c r="CP6" s="150"/>
      <c r="CQ6" s="150"/>
      <c r="CR6" s="150"/>
      <c r="CS6" s="150"/>
      <c r="CT6" s="150"/>
    </row>
    <row r="7" spans="1:98" s="10" customFormat="1" ht="12.75" customHeight="1">
      <c r="A7" s="307"/>
      <c r="B7" s="308" t="str">
        <f>Parameters!Q6</f>
        <v>A01</v>
      </c>
      <c r="C7" s="309"/>
      <c r="D7" s="495" t="str">
        <f>Parameters!S6</f>
        <v>Crop and animal production, hunting and related service activities</v>
      </c>
      <c r="E7" s="510"/>
      <c r="F7" s="224"/>
      <c r="G7" s="379"/>
      <c r="H7" s="225"/>
      <c r="I7" s="379"/>
      <c r="J7" s="225"/>
      <c r="K7" s="379"/>
      <c r="L7" s="225"/>
      <c r="M7" s="379"/>
      <c r="N7" s="225"/>
      <c r="O7" s="379"/>
      <c r="P7" s="225"/>
      <c r="Q7" s="379"/>
      <c r="R7" s="225"/>
      <c r="S7" s="379"/>
      <c r="T7" s="225"/>
      <c r="U7" s="379"/>
      <c r="V7" s="225"/>
      <c r="W7" s="379"/>
      <c r="X7" s="225"/>
      <c r="Y7" s="379"/>
      <c r="Z7" s="225"/>
      <c r="AA7" s="379"/>
      <c r="AB7" s="225"/>
      <c r="AC7" s="379"/>
      <c r="AD7" s="225"/>
      <c r="AE7" s="379"/>
      <c r="AF7" s="165">
        <f>+'CO2'!AF7+char!$C$4*N2O!AF7+char!$C$5*SF6_NF3!AF7+char!$C$6*'CH4'!AF7+char!$C$7*HFC!AF7+char!$C$8*PFC!AF7</f>
        <v>4982.6694267749999</v>
      </c>
      <c r="AG7" s="379">
        <f>+'CO2'!AG7+char!$C$4*N2O!AG7+char!$C$5*SF6_NF3!AG7+char!$C$6*'CH4'!AG7+char!$C$7*HFC!AG7+char!$C$8*PFC!AG7</f>
        <v>0</v>
      </c>
      <c r="AH7" s="165">
        <f>+'CO2'!AH7+char!$C$4*N2O!AH7+char!$C$5*SF6_NF3!AH7+char!$C$6*'CH4'!AH7+char!$C$7*HFC!AH7+char!$C$8*PFC!AH7</f>
        <v>4975.4720614820999</v>
      </c>
      <c r="AI7" s="379">
        <f>+'CO2'!AI7+char!$C$4*N2O!AI7+char!$C$5*SF6_NF3!AI7+char!$C$6*'CH4'!AI7+char!$C$7*HFC!AI7+char!$C$8*PFC!AI7</f>
        <v>0</v>
      </c>
      <c r="AJ7" s="165">
        <f>+'CO2'!AJ7+char!$C$4*N2O!AJ7+char!$C$5*SF6_NF3!AJ7+char!$C$6*'CH4'!AJ7+char!$C$7*HFC!AJ7+char!$C$8*PFC!AJ7</f>
        <v>4949.9800412533004</v>
      </c>
      <c r="AK7" s="379">
        <f>+'CO2'!AK7+char!$C$4*N2O!AK7+char!$C$5*SF6_NF3!AK7+char!$C$6*'CH4'!AK7+char!$C$7*HFC!AK7+char!$C$8*PFC!AK7</f>
        <v>0</v>
      </c>
      <c r="AL7" s="165">
        <f>+'CO2'!AL7+char!$C$4*N2O!AL7+char!$C$5*SF6_NF3!AL7+char!$C$6*'CH4'!AL7+char!$C$7*HFC!AL7+char!$C$8*PFC!AL7</f>
        <v>4869.6031887204999</v>
      </c>
      <c r="AM7" s="379">
        <f>+'CO2'!AM7+char!$C$4*N2O!AM7+char!$C$5*SF6_NF3!AM7+char!$C$6*'CH4'!AM7+char!$C$7*HFC!AM7+char!$C$8*PFC!AM7</f>
        <v>0</v>
      </c>
      <c r="AN7" s="165">
        <f>+'CO2'!AN7+char!$C$4*N2O!AN7+char!$C$5*SF6_NF3!AN7+char!$C$6*'CH4'!AN7+char!$C$7*HFC!AN7+char!$C$8*PFC!AN7</f>
        <v>4870.6979428102004</v>
      </c>
      <c r="AO7" s="379">
        <f>+'CO2'!AO7+char!$C$4*N2O!AO7+char!$C$5*SF6_NF3!AO7+char!$C$6*'CH4'!AO7+char!$C$7*HFC!AO7+char!$C$8*PFC!AO7</f>
        <v>0</v>
      </c>
      <c r="AP7" s="165">
        <f>+'CO2'!AP7+char!$C$4*N2O!AP7+char!$C$5*SF6_NF3!AP7+char!$C$6*'CH4'!AP7+char!$C$7*HFC!AP7+char!$C$8*PFC!AP7</f>
        <v>4939.7324708618999</v>
      </c>
      <c r="AQ7" s="379">
        <f>+'CO2'!AQ7+char!$C$4*N2O!AQ7+char!$C$5*SF6_NF3!AQ7+char!$C$6*'CH4'!AQ7+char!$C$7*HFC!AQ7+char!$C$8*PFC!AQ7</f>
        <v>0</v>
      </c>
      <c r="AR7" s="165">
        <f>+'CO2'!AR7+char!$C$4*N2O!AR7+char!$C$5*SF6_NF3!AR7+char!$C$6*'CH4'!AR7+char!$C$7*HFC!AR7+char!$C$8*PFC!AR7</f>
        <v>4997.4027713130999</v>
      </c>
      <c r="AS7" s="379">
        <f>+'CO2'!AS7+char!$C$4*N2O!AS7+char!$C$5*SF6_NF3!AS7+char!$C$6*'CH4'!AS7+char!$C$7*HFC!AS7+char!$C$8*PFC!AS7</f>
        <v>0</v>
      </c>
      <c r="AT7" s="165">
        <f>+'CO2'!AT7+char!$C$4*N2O!AT7+char!$C$5*SF6_NF3!AT7+char!$C$6*'CH4'!AT7+char!$C$7*HFC!AT7+char!$C$8*PFC!AT7</f>
        <v>5048.575713652901</v>
      </c>
      <c r="AU7" s="379">
        <f>+'CO2'!AU7+char!$C$4*N2O!AU7+char!$C$5*SF6_NF3!AU7+char!$C$6*'CH4'!AU7+char!$C$7*HFC!AU7+char!$C$8*PFC!AU7</f>
        <v>0</v>
      </c>
      <c r="AV7" s="165">
        <f>+'CO2'!AV7+char!$C$4*N2O!AV7+char!$C$5*SF6_NF3!AV7+char!$C$6*'CH4'!AV7+char!$C$7*HFC!AV7+char!$C$8*PFC!AV7</f>
        <v>5137.2174709870997</v>
      </c>
      <c r="AW7" s="379">
        <f>+'CO2'!AW7+char!$C$4*N2O!AW7+char!$C$5*SF6_NF3!AW7+char!$C$6*'CH4'!AW7+char!$C$7*HFC!AW7+char!$C$8*PFC!AW7</f>
        <v>0</v>
      </c>
      <c r="AX7" s="165">
        <f>+'CO2'!AX7+char!$C$4*N2O!AX7+char!$C$5*SF6_NF3!AX7+char!$C$6*'CH4'!AX7+char!$C$7*HFC!AX7+char!$C$8*PFC!AX7</f>
        <v>5106.2929204732</v>
      </c>
      <c r="AY7" s="379">
        <f>+'CO2'!AY7+char!$C$4*N2O!AY7+char!$C$5*SF6_NF3!AY7+char!$C$6*'CH4'!AY7+char!$C$7*HFC!AY7+char!$C$8*PFC!AY7</f>
        <v>0</v>
      </c>
      <c r="AZ7" s="165">
        <f>+'CO2'!AZ7+char!$C$4*N2O!AZ7+char!$C$5*SF6_NF3!AZ7+char!$C$6*'CH4'!AZ7+char!$C$7*HFC!AZ7+char!$C$8*PFC!AZ7</f>
        <v>5076.9406834380006</v>
      </c>
      <c r="BA7" s="379">
        <f>+'CO2'!BA7+char!$C$4*N2O!BA7+char!$C$5*SF6_NF3!BA7+char!$C$6*'CH4'!BA7+char!$C$7*HFC!BA7+char!$C$8*PFC!BA7</f>
        <v>0</v>
      </c>
      <c r="BB7" s="165">
        <f>+'CO2'!BB7+char!$C$4*N2O!BB7+char!$C$5*SF6_NF3!BB7+char!$C$6*'CH4'!BB7+char!$C$7*HFC!BB7+char!$C$8*PFC!BB7</f>
        <v>5023.497135762701</v>
      </c>
      <c r="BC7" s="379">
        <f>+'CO2'!BC7+char!$C$4*N2O!BC7+char!$C$5*SF6_NF3!BC7+char!$C$6*'CH4'!BC7+char!$C$7*HFC!BC7+char!$C$8*PFC!BC7</f>
        <v>0</v>
      </c>
      <c r="BD7" s="165">
        <f>+'CO2'!BD7+char!$C$4*N2O!BD7+char!$C$5*SF6_NF3!BD7+char!$C$6*'CH4'!BD7+char!$C$7*HFC!BD7+char!$C$8*PFC!BD7</f>
        <v>5048.8726140508998</v>
      </c>
      <c r="BE7" s="379">
        <f>+'CO2'!BE7+char!$C$4*N2O!BE7+char!$C$5*SF6_NF3!BE7+char!$C$6*'CH4'!BE7+char!$C$7*HFC!BE7+char!$C$8*PFC!BE7</f>
        <v>0</v>
      </c>
      <c r="BF7" s="165">
        <f>+'CO2'!BF7+char!$C$4*N2O!BF7+char!$C$5*SF6_NF3!BF7+char!$C$6*'CH4'!BF7+char!$C$7*HFC!BF7+char!$C$8*PFC!BF7</f>
        <v>5104.2576804332002</v>
      </c>
      <c r="BG7" s="379"/>
      <c r="BH7" s="225"/>
      <c r="BI7" s="184"/>
      <c r="CJ7" s="150"/>
      <c r="CK7" s="150"/>
      <c r="CL7" s="150"/>
      <c r="CM7" s="151" t="s">
        <v>650</v>
      </c>
      <c r="CN7" s="150" t="s">
        <v>1130</v>
      </c>
      <c r="CO7" s="150"/>
      <c r="CP7" s="150"/>
      <c r="CQ7" s="150"/>
      <c r="CR7" s="150"/>
      <c r="CS7" s="150"/>
      <c r="CT7" s="150"/>
    </row>
    <row r="8" spans="1:98" s="11" customFormat="1" ht="12.75" customHeight="1">
      <c r="A8" s="307"/>
      <c r="B8" s="308" t="str">
        <f>Parameters!Q7</f>
        <v>A02</v>
      </c>
      <c r="C8" s="309"/>
      <c r="D8" s="495" t="str">
        <f>Parameters!S7</f>
        <v>Forestry and logging</v>
      </c>
      <c r="E8" s="530"/>
      <c r="F8" s="224"/>
      <c r="G8" s="379"/>
      <c r="H8" s="225"/>
      <c r="I8" s="379"/>
      <c r="J8" s="225"/>
      <c r="K8" s="379"/>
      <c r="L8" s="225"/>
      <c r="M8" s="379"/>
      <c r="N8" s="225"/>
      <c r="O8" s="379"/>
      <c r="P8" s="225"/>
      <c r="Q8" s="379"/>
      <c r="R8" s="225"/>
      <c r="S8" s="379"/>
      <c r="T8" s="225"/>
      <c r="U8" s="379"/>
      <c r="V8" s="225"/>
      <c r="W8" s="379"/>
      <c r="X8" s="225"/>
      <c r="Y8" s="379"/>
      <c r="Z8" s="225"/>
      <c r="AA8" s="379"/>
      <c r="AB8" s="225"/>
      <c r="AC8" s="379"/>
      <c r="AD8" s="225"/>
      <c r="AE8" s="379"/>
      <c r="AF8" s="165">
        <f>+'CO2'!AF8+char!$C$4*N2O!AF8+char!$C$5*SF6_NF3!AF8+char!$C$6*'CH4'!AF8+char!$C$7*HFC!AF8+char!$C$8*PFC!AF8</f>
        <v>39.314683236</v>
      </c>
      <c r="AG8" s="379">
        <f>+'CO2'!AG8+char!$C$4*N2O!AG8+char!$C$5*SF6_NF3!AG8+char!$C$6*'CH4'!AG8+char!$C$7*HFC!AG8+char!$C$8*PFC!AG8</f>
        <v>0</v>
      </c>
      <c r="AH8" s="165">
        <f>+'CO2'!AH8+char!$C$4*N2O!AH8+char!$C$5*SF6_NF3!AH8+char!$C$6*'CH4'!AH8+char!$C$7*HFC!AH8+char!$C$8*PFC!AH8</f>
        <v>39.611942530199997</v>
      </c>
      <c r="AI8" s="379">
        <f>+'CO2'!AI8+char!$C$4*N2O!AI8+char!$C$5*SF6_NF3!AI8+char!$C$6*'CH4'!AI8+char!$C$7*HFC!AI8+char!$C$8*PFC!AI8</f>
        <v>0</v>
      </c>
      <c r="AJ8" s="165">
        <f>+'CO2'!AJ8+char!$C$4*N2O!AJ8+char!$C$5*SF6_NF3!AJ8+char!$C$6*'CH4'!AJ8+char!$C$7*HFC!AJ8+char!$C$8*PFC!AJ8</f>
        <v>66.867281797800004</v>
      </c>
      <c r="AK8" s="379">
        <f>+'CO2'!AK8+char!$C$4*N2O!AK8+char!$C$5*SF6_NF3!AK8+char!$C$6*'CH4'!AK8+char!$C$7*HFC!AK8+char!$C$8*PFC!AK8</f>
        <v>0</v>
      </c>
      <c r="AL8" s="165">
        <f>+'CO2'!AL8+char!$C$4*N2O!AL8+char!$C$5*SF6_NF3!AL8+char!$C$6*'CH4'!AL8+char!$C$7*HFC!AL8+char!$C$8*PFC!AL8</f>
        <v>64.937821260299998</v>
      </c>
      <c r="AM8" s="379">
        <f>+'CO2'!AM8+char!$C$4*N2O!AM8+char!$C$5*SF6_NF3!AM8+char!$C$6*'CH4'!AM8+char!$C$7*HFC!AM8+char!$C$8*PFC!AM8</f>
        <v>0</v>
      </c>
      <c r="AN8" s="165">
        <f>+'CO2'!AN8+char!$C$4*N2O!AN8+char!$C$5*SF6_NF3!AN8+char!$C$6*'CH4'!AN8+char!$C$7*HFC!AN8+char!$C$8*PFC!AN8</f>
        <v>77.673068026700008</v>
      </c>
      <c r="AO8" s="379">
        <f>+'CO2'!AO8+char!$C$4*N2O!AO8+char!$C$5*SF6_NF3!AO8+char!$C$6*'CH4'!AO8+char!$C$7*HFC!AO8+char!$C$8*PFC!AO8</f>
        <v>0</v>
      </c>
      <c r="AP8" s="165">
        <f>+'CO2'!AP8+char!$C$4*N2O!AP8+char!$C$5*SF6_NF3!AP8+char!$C$6*'CH4'!AP8+char!$C$7*HFC!AP8+char!$C$8*PFC!AP8</f>
        <v>73.205959648899992</v>
      </c>
      <c r="AQ8" s="379">
        <f>+'CO2'!AQ8+char!$C$4*N2O!AQ8+char!$C$5*SF6_NF3!AQ8+char!$C$6*'CH4'!AQ8+char!$C$7*HFC!AQ8+char!$C$8*PFC!AQ8</f>
        <v>0</v>
      </c>
      <c r="AR8" s="165">
        <f>+'CO2'!AR8+char!$C$4*N2O!AR8+char!$C$5*SF6_NF3!AR8+char!$C$6*'CH4'!AR8+char!$C$7*HFC!AR8+char!$C$8*PFC!AR8</f>
        <v>54.186307815700005</v>
      </c>
      <c r="AS8" s="379">
        <f>+'CO2'!AS8+char!$C$4*N2O!AS8+char!$C$5*SF6_NF3!AS8+char!$C$6*'CH4'!AS8+char!$C$7*HFC!AS8+char!$C$8*PFC!AS8</f>
        <v>0</v>
      </c>
      <c r="AT8" s="165">
        <f>+'CO2'!AT8+char!$C$4*N2O!AT8+char!$C$5*SF6_NF3!AT8+char!$C$6*'CH4'!AT8+char!$C$7*HFC!AT8+char!$C$8*PFC!AT8</f>
        <v>51.588999178000002</v>
      </c>
      <c r="AU8" s="379">
        <f>+'CO2'!AU8+char!$C$4*N2O!AU8+char!$C$5*SF6_NF3!AU8+char!$C$6*'CH4'!AU8+char!$C$7*HFC!AU8+char!$C$8*PFC!AU8</f>
        <v>0</v>
      </c>
      <c r="AV8" s="165">
        <f>+'CO2'!AV8+char!$C$4*N2O!AV8+char!$C$5*SF6_NF3!AV8+char!$C$6*'CH4'!AV8+char!$C$7*HFC!AV8+char!$C$8*PFC!AV8</f>
        <v>53.238410369100002</v>
      </c>
      <c r="AW8" s="379">
        <f>+'CO2'!AW8+char!$C$4*N2O!AW8+char!$C$5*SF6_NF3!AW8+char!$C$6*'CH4'!AW8+char!$C$7*HFC!AW8+char!$C$8*PFC!AW8</f>
        <v>0</v>
      </c>
      <c r="AX8" s="165">
        <f>+'CO2'!AX8+char!$C$4*N2O!AX8+char!$C$5*SF6_NF3!AX8+char!$C$6*'CH4'!AX8+char!$C$7*HFC!AX8+char!$C$8*PFC!AX8</f>
        <v>52.135477228800006</v>
      </c>
      <c r="AY8" s="379">
        <f>+'CO2'!AY8+char!$C$4*N2O!AY8+char!$C$5*SF6_NF3!AY8+char!$C$6*'CH4'!AY8+char!$C$7*HFC!AY8+char!$C$8*PFC!AY8</f>
        <v>0</v>
      </c>
      <c r="AZ8" s="165">
        <f>+'CO2'!AZ8+char!$C$4*N2O!AZ8+char!$C$5*SF6_NF3!AZ8+char!$C$6*'CH4'!AZ8+char!$C$7*HFC!AZ8+char!$C$8*PFC!AZ8</f>
        <v>51.516190200199993</v>
      </c>
      <c r="BA8" s="379">
        <f>+'CO2'!BA8+char!$C$4*N2O!BA8+char!$C$5*SF6_NF3!BA8+char!$C$6*'CH4'!BA8+char!$C$7*HFC!BA8+char!$C$8*PFC!BA8</f>
        <v>0</v>
      </c>
      <c r="BB8" s="165">
        <f>+'CO2'!BB8+char!$C$4*N2O!BB8+char!$C$5*SF6_NF3!BB8+char!$C$6*'CH4'!BB8+char!$C$7*HFC!BB8+char!$C$8*PFC!BB8</f>
        <v>45.182240983</v>
      </c>
      <c r="BC8" s="379">
        <f>+'CO2'!BC8+char!$C$4*N2O!BC8+char!$C$5*SF6_NF3!BC8+char!$C$6*'CH4'!BC8+char!$C$7*HFC!BC8+char!$C$8*PFC!BC8</f>
        <v>0</v>
      </c>
      <c r="BD8" s="165">
        <f>+'CO2'!BD8+char!$C$4*N2O!BD8+char!$C$5*SF6_NF3!BD8+char!$C$6*'CH4'!BD8+char!$C$7*HFC!BD8+char!$C$8*PFC!BD8</f>
        <v>48.088018071899995</v>
      </c>
      <c r="BE8" s="379">
        <f>+'CO2'!BE8+char!$C$4*N2O!BE8+char!$C$5*SF6_NF3!BE8+char!$C$6*'CH4'!BE8+char!$C$7*HFC!BE8+char!$C$8*PFC!BE8</f>
        <v>0</v>
      </c>
      <c r="BF8" s="165">
        <f>+'CO2'!BF8+char!$C$4*N2O!BF8+char!$C$5*SF6_NF3!BF8+char!$C$6*'CH4'!BF8+char!$C$7*HFC!BF8+char!$C$8*PFC!BF8</f>
        <v>65.503823074600007</v>
      </c>
      <c r="BG8" s="379"/>
      <c r="BH8" s="225"/>
      <c r="BI8" s="184"/>
      <c r="CJ8" s="150"/>
      <c r="CK8" s="150"/>
      <c r="CL8" s="150"/>
      <c r="CM8" s="151" t="s">
        <v>657</v>
      </c>
      <c r="CN8" s="150" t="s">
        <v>1130</v>
      </c>
      <c r="CO8" s="150"/>
      <c r="CP8" s="150"/>
      <c r="CQ8" s="150"/>
      <c r="CR8" s="150"/>
      <c r="CS8" s="150"/>
      <c r="CT8" s="150"/>
    </row>
    <row r="9" spans="1:98" s="11" customFormat="1" ht="12.75" customHeight="1">
      <c r="A9" s="310"/>
      <c r="B9" s="308" t="str">
        <f>Parameters!Q8</f>
        <v>A03</v>
      </c>
      <c r="C9" s="309"/>
      <c r="D9" s="495" t="str">
        <f>Parameters!S8</f>
        <v>Fishing and aquaculture</v>
      </c>
      <c r="E9" s="497"/>
      <c r="F9" s="224"/>
      <c r="G9" s="379"/>
      <c r="H9" s="225"/>
      <c r="I9" s="379"/>
      <c r="J9" s="225"/>
      <c r="K9" s="379"/>
      <c r="L9" s="225"/>
      <c r="M9" s="379"/>
      <c r="N9" s="225"/>
      <c r="O9" s="379"/>
      <c r="P9" s="225"/>
      <c r="Q9" s="379"/>
      <c r="R9" s="225"/>
      <c r="S9" s="379"/>
      <c r="T9" s="225"/>
      <c r="U9" s="379"/>
      <c r="V9" s="225"/>
      <c r="W9" s="379"/>
      <c r="X9" s="225"/>
      <c r="Y9" s="379"/>
      <c r="Z9" s="225"/>
      <c r="AA9" s="379"/>
      <c r="AB9" s="225"/>
      <c r="AC9" s="379"/>
      <c r="AD9" s="225"/>
      <c r="AE9" s="379"/>
      <c r="AF9" s="165">
        <f>+'CO2'!AF9+char!$C$4*N2O!AF9+char!$C$5*SF6_NF3!AF9+char!$C$6*'CH4'!AF9+char!$C$7*HFC!AF9+char!$C$8*PFC!AF9</f>
        <v>795.38148401120009</v>
      </c>
      <c r="AG9" s="379">
        <f>+'CO2'!AG9+char!$C$4*N2O!AG9+char!$C$5*SF6_NF3!AG9+char!$C$6*'CH4'!AG9+char!$C$7*HFC!AG9+char!$C$8*PFC!AG9</f>
        <v>0</v>
      </c>
      <c r="AH9" s="165">
        <f>+'CO2'!AH9+char!$C$4*N2O!AH9+char!$C$5*SF6_NF3!AH9+char!$C$6*'CH4'!AH9+char!$C$7*HFC!AH9+char!$C$8*PFC!AH9</f>
        <v>869.73682878879993</v>
      </c>
      <c r="AI9" s="379">
        <f>+'CO2'!AI9+char!$C$4*N2O!AI9+char!$C$5*SF6_NF3!AI9+char!$C$6*'CH4'!AI9+char!$C$7*HFC!AI9+char!$C$8*PFC!AI9</f>
        <v>0</v>
      </c>
      <c r="AJ9" s="165">
        <f>+'CO2'!AJ9+char!$C$4*N2O!AJ9+char!$C$5*SF6_NF3!AJ9+char!$C$6*'CH4'!AJ9+char!$C$7*HFC!AJ9+char!$C$8*PFC!AJ9</f>
        <v>733.3841440512</v>
      </c>
      <c r="AK9" s="379">
        <f>+'CO2'!AK9+char!$C$4*N2O!AK9+char!$C$5*SF6_NF3!AK9+char!$C$6*'CH4'!AK9+char!$C$7*HFC!AK9+char!$C$8*PFC!AK9</f>
        <v>0</v>
      </c>
      <c r="AL9" s="165">
        <f>+'CO2'!AL9+char!$C$4*N2O!AL9+char!$C$5*SF6_NF3!AL9+char!$C$6*'CH4'!AL9+char!$C$7*HFC!AL9+char!$C$8*PFC!AL9</f>
        <v>663.39564192620003</v>
      </c>
      <c r="AM9" s="379">
        <f>+'CO2'!AM9+char!$C$4*N2O!AM9+char!$C$5*SF6_NF3!AM9+char!$C$6*'CH4'!AM9+char!$C$7*HFC!AM9+char!$C$8*PFC!AM9</f>
        <v>0</v>
      </c>
      <c r="AN9" s="165">
        <f>+'CO2'!AN9+char!$C$4*N2O!AN9+char!$C$5*SF6_NF3!AN9+char!$C$6*'CH4'!AN9+char!$C$7*HFC!AN9+char!$C$8*PFC!AN9</f>
        <v>678.55494265919992</v>
      </c>
      <c r="AO9" s="379">
        <f>+'CO2'!AO9+char!$C$4*N2O!AO9+char!$C$5*SF6_NF3!AO9+char!$C$6*'CH4'!AO9+char!$C$7*HFC!AO9+char!$C$8*PFC!AO9</f>
        <v>0</v>
      </c>
      <c r="AP9" s="165">
        <f>+'CO2'!AP9+char!$C$4*N2O!AP9+char!$C$5*SF6_NF3!AP9+char!$C$6*'CH4'!AP9+char!$C$7*HFC!AP9+char!$C$8*PFC!AP9</f>
        <v>615.04852384359992</v>
      </c>
      <c r="AQ9" s="379">
        <f>+'CO2'!AQ9+char!$C$4*N2O!AQ9+char!$C$5*SF6_NF3!AQ9+char!$C$6*'CH4'!AQ9+char!$C$7*HFC!AQ9+char!$C$8*PFC!AQ9</f>
        <v>0</v>
      </c>
      <c r="AR9" s="165">
        <f>+'CO2'!AR9+char!$C$4*N2O!AR9+char!$C$5*SF6_NF3!AR9+char!$C$6*'CH4'!AR9+char!$C$7*HFC!AR9+char!$C$8*PFC!AR9</f>
        <v>651.47934100060002</v>
      </c>
      <c r="AS9" s="379">
        <f>+'CO2'!AS9+char!$C$4*N2O!AS9+char!$C$5*SF6_NF3!AS9+char!$C$6*'CH4'!AS9+char!$C$7*HFC!AS9+char!$C$8*PFC!AS9</f>
        <v>0</v>
      </c>
      <c r="AT9" s="165">
        <f>+'CO2'!AT9+char!$C$4*N2O!AT9+char!$C$5*SF6_NF3!AT9+char!$C$6*'CH4'!AT9+char!$C$7*HFC!AT9+char!$C$8*PFC!AT9</f>
        <v>667.2366565466001</v>
      </c>
      <c r="AU9" s="379">
        <f>+'CO2'!AU9+char!$C$4*N2O!AU9+char!$C$5*SF6_NF3!AU9+char!$C$6*'CH4'!AU9+char!$C$7*HFC!AU9+char!$C$8*PFC!AU9</f>
        <v>0</v>
      </c>
      <c r="AV9" s="165">
        <f>+'CO2'!AV9+char!$C$4*N2O!AV9+char!$C$5*SF6_NF3!AV9+char!$C$6*'CH4'!AV9+char!$C$7*HFC!AV9+char!$C$8*PFC!AV9</f>
        <v>696.13582319620002</v>
      </c>
      <c r="AW9" s="379">
        <f>+'CO2'!AW9+char!$C$4*N2O!AW9+char!$C$5*SF6_NF3!AW9+char!$C$6*'CH4'!AW9+char!$C$7*HFC!AW9+char!$C$8*PFC!AW9</f>
        <v>0</v>
      </c>
      <c r="AX9" s="165">
        <f>+'CO2'!AX9+char!$C$4*N2O!AX9+char!$C$5*SF6_NF3!AX9+char!$C$6*'CH4'!AX9+char!$C$7*HFC!AX9+char!$C$8*PFC!AX9</f>
        <v>773.71463068109995</v>
      </c>
      <c r="AY9" s="379">
        <f>+'CO2'!AY9+char!$C$4*N2O!AY9+char!$C$5*SF6_NF3!AY9+char!$C$6*'CH4'!AY9+char!$C$7*HFC!AY9+char!$C$8*PFC!AY9</f>
        <v>0</v>
      </c>
      <c r="AZ9" s="165">
        <f>+'CO2'!AZ9+char!$C$4*N2O!AZ9+char!$C$5*SF6_NF3!AZ9+char!$C$6*'CH4'!AZ9+char!$C$7*HFC!AZ9+char!$C$8*PFC!AZ9</f>
        <v>834.77481618200011</v>
      </c>
      <c r="BA9" s="379">
        <f>+'CO2'!BA9+char!$C$4*N2O!BA9+char!$C$5*SF6_NF3!BA9+char!$C$6*'CH4'!BA9+char!$C$7*HFC!BA9+char!$C$8*PFC!BA9</f>
        <v>0</v>
      </c>
      <c r="BB9" s="165">
        <f>+'CO2'!BB9+char!$C$4*N2O!BB9+char!$C$5*SF6_NF3!BB9+char!$C$6*'CH4'!BB9+char!$C$7*HFC!BB9+char!$C$8*PFC!BB9</f>
        <v>817.41472262209993</v>
      </c>
      <c r="BC9" s="379">
        <f>+'CO2'!BC9+char!$C$4*N2O!BC9+char!$C$5*SF6_NF3!BC9+char!$C$6*'CH4'!BC9+char!$C$7*HFC!BC9+char!$C$8*PFC!BC9</f>
        <v>0</v>
      </c>
      <c r="BD9" s="165">
        <f>+'CO2'!BD9+char!$C$4*N2O!BD9+char!$C$5*SF6_NF3!BD9+char!$C$6*'CH4'!BD9+char!$C$7*HFC!BD9+char!$C$8*PFC!BD9</f>
        <v>910.51271917969984</v>
      </c>
      <c r="BE9" s="379">
        <f>+'CO2'!BE9+char!$C$4*N2O!BE9+char!$C$5*SF6_NF3!BE9+char!$C$6*'CH4'!BE9+char!$C$7*HFC!BE9+char!$C$8*PFC!BE9</f>
        <v>0</v>
      </c>
      <c r="BF9" s="165">
        <f>+'CO2'!BF9+char!$C$4*N2O!BF9+char!$C$5*SF6_NF3!BF9+char!$C$6*'CH4'!BF9+char!$C$7*HFC!BF9+char!$C$8*PFC!BF9</f>
        <v>927.68691445539991</v>
      </c>
      <c r="BG9" s="379"/>
      <c r="BH9" s="225"/>
      <c r="BI9" s="184"/>
      <c r="CJ9" s="150"/>
      <c r="CK9" s="150"/>
      <c r="CL9" s="150"/>
      <c r="CM9" s="151" t="s">
        <v>665</v>
      </c>
      <c r="CN9" s="150" t="s">
        <v>1130</v>
      </c>
      <c r="CO9" s="150"/>
      <c r="CP9" s="150"/>
      <c r="CQ9" s="150"/>
      <c r="CR9" s="150"/>
      <c r="CS9" s="150"/>
      <c r="CT9" s="150"/>
    </row>
    <row r="10" spans="1:98" s="10" customFormat="1" ht="12.75" customHeight="1">
      <c r="A10" s="25"/>
      <c r="B10" s="87" t="str">
        <f>Parameters!Q9</f>
        <v>B</v>
      </c>
      <c r="C10" s="88"/>
      <c r="D10" s="498" t="str">
        <f>Parameters!S9</f>
        <v>Mining and quarrying</v>
      </c>
      <c r="E10" s="507"/>
      <c r="F10" s="222"/>
      <c r="G10" s="379"/>
      <c r="H10" s="223"/>
      <c r="I10" s="379"/>
      <c r="J10" s="223"/>
      <c r="K10" s="379"/>
      <c r="L10" s="223"/>
      <c r="M10" s="379"/>
      <c r="N10" s="223"/>
      <c r="O10" s="379"/>
      <c r="P10" s="223"/>
      <c r="Q10" s="379"/>
      <c r="R10" s="223"/>
      <c r="S10" s="379"/>
      <c r="T10" s="223"/>
      <c r="U10" s="379"/>
      <c r="V10" s="223"/>
      <c r="W10" s="379"/>
      <c r="X10" s="223"/>
      <c r="Y10" s="379"/>
      <c r="Z10" s="223"/>
      <c r="AA10" s="379"/>
      <c r="AB10" s="223"/>
      <c r="AC10" s="379"/>
      <c r="AD10" s="223"/>
      <c r="AE10" s="379"/>
      <c r="AF10" s="164">
        <f>+'CO2'!AF10+char!$C$4*N2O!AF10+char!$C$5*SF6_NF3!AF10+char!$C$6*'CH4'!AF10+char!$C$7*HFC!AF10+char!$C$8*PFC!AF10</f>
        <v>16171.900813218301</v>
      </c>
      <c r="AG10" s="379">
        <f>+'CO2'!AG10+char!$C$4*N2O!AG10+char!$C$5*SF6_NF3!AG10+char!$C$6*'CH4'!AG10+char!$C$7*HFC!AG10+char!$C$8*PFC!AG10</f>
        <v>0</v>
      </c>
      <c r="AH10" s="164">
        <f>+'CO2'!AH10+char!$C$4*N2O!AH10+char!$C$5*SF6_NF3!AH10+char!$C$6*'CH4'!AH10+char!$C$7*HFC!AH10+char!$C$8*PFC!AH10</f>
        <v>15011.5328142529</v>
      </c>
      <c r="AI10" s="379">
        <f>+'CO2'!AI10+char!$C$4*N2O!AI10+char!$C$5*SF6_NF3!AI10+char!$C$6*'CH4'!AI10+char!$C$7*HFC!AI10+char!$C$8*PFC!AI10</f>
        <v>0</v>
      </c>
      <c r="AJ10" s="164">
        <f>+'CO2'!AJ10+char!$C$4*N2O!AJ10+char!$C$5*SF6_NF3!AJ10+char!$C$6*'CH4'!AJ10+char!$C$7*HFC!AJ10+char!$C$8*PFC!AJ10</f>
        <v>16029.7444917636</v>
      </c>
      <c r="AK10" s="379">
        <f>+'CO2'!AK10+char!$C$4*N2O!AK10+char!$C$5*SF6_NF3!AK10+char!$C$6*'CH4'!AK10+char!$C$7*HFC!AK10+char!$C$8*PFC!AK10</f>
        <v>0</v>
      </c>
      <c r="AL10" s="164">
        <f>+'CO2'!AL10+char!$C$4*N2O!AL10+char!$C$5*SF6_NF3!AL10+char!$C$6*'CH4'!AL10+char!$C$7*HFC!AL10+char!$C$8*PFC!AL10</f>
        <v>15714.202927520699</v>
      </c>
      <c r="AM10" s="379">
        <f>+'CO2'!AM10+char!$C$4*N2O!AM10+char!$C$5*SF6_NF3!AM10+char!$C$6*'CH4'!AM10+char!$C$7*HFC!AM10+char!$C$8*PFC!AM10</f>
        <v>0</v>
      </c>
      <c r="AN10" s="164">
        <f>+'CO2'!AN10+char!$C$4*N2O!AN10+char!$C$5*SF6_NF3!AN10+char!$C$6*'CH4'!AN10+char!$C$7*HFC!AN10+char!$C$8*PFC!AN10</f>
        <v>15697.684417393502</v>
      </c>
      <c r="AO10" s="379">
        <f>+'CO2'!AO10+char!$C$4*N2O!AO10+char!$C$5*SF6_NF3!AO10+char!$C$6*'CH4'!AO10+char!$C$7*HFC!AO10+char!$C$8*PFC!AO10</f>
        <v>0</v>
      </c>
      <c r="AP10" s="164">
        <f>+'CO2'!AP10+char!$C$4*N2O!AP10+char!$C$5*SF6_NF3!AP10+char!$C$6*'CH4'!AP10+char!$C$7*HFC!AP10+char!$C$8*PFC!AP10</f>
        <v>15718.724828139299</v>
      </c>
      <c r="AQ10" s="379">
        <f>+'CO2'!AQ10+char!$C$4*N2O!AQ10+char!$C$5*SF6_NF3!AQ10+char!$C$6*'CH4'!AQ10+char!$C$7*HFC!AQ10+char!$C$8*PFC!AQ10</f>
        <v>0</v>
      </c>
      <c r="AR10" s="164">
        <f>+'CO2'!AR10+char!$C$4*N2O!AR10+char!$C$5*SF6_NF3!AR10+char!$C$6*'CH4'!AR10+char!$C$7*HFC!AR10+char!$C$8*PFC!AR10</f>
        <v>16541.2084013487</v>
      </c>
      <c r="AS10" s="379">
        <f>+'CO2'!AS10+char!$C$4*N2O!AS10+char!$C$5*SF6_NF3!AS10+char!$C$6*'CH4'!AS10+char!$C$7*HFC!AS10+char!$C$8*PFC!AS10</f>
        <v>0</v>
      </c>
      <c r="AT10" s="164">
        <f>+'CO2'!AT10+char!$C$4*N2O!AT10+char!$C$5*SF6_NF3!AT10+char!$C$6*'CH4'!AT10+char!$C$7*HFC!AT10+char!$C$8*PFC!AT10</f>
        <v>16923.235073790402</v>
      </c>
      <c r="AU10" s="379">
        <f>+'CO2'!AU10+char!$C$4*N2O!AU10+char!$C$5*SF6_NF3!AU10+char!$C$6*'CH4'!AU10+char!$C$7*HFC!AU10+char!$C$8*PFC!AU10</f>
        <v>0</v>
      </c>
      <c r="AV10" s="164">
        <f>+'CO2'!AV10+char!$C$4*N2O!AV10+char!$C$5*SF6_NF3!AV10+char!$C$6*'CH4'!AV10+char!$C$7*HFC!AV10+char!$C$8*PFC!AV10</f>
        <v>16417.4628829336</v>
      </c>
      <c r="AW10" s="379">
        <f>+'CO2'!AW10+char!$C$4*N2O!AW10+char!$C$5*SF6_NF3!AW10+char!$C$6*'CH4'!AW10+char!$C$7*HFC!AW10+char!$C$8*PFC!AW10</f>
        <v>0</v>
      </c>
      <c r="AX10" s="164">
        <f>+'CO2'!AX10+char!$C$4*N2O!AX10+char!$C$5*SF6_NF3!AX10+char!$C$6*'CH4'!AX10+char!$C$7*HFC!AX10+char!$C$8*PFC!AX10</f>
        <v>16008.1584086233</v>
      </c>
      <c r="AY10" s="379">
        <f>+'CO2'!AY10+char!$C$4*N2O!AY10+char!$C$5*SF6_NF3!AY10+char!$C$6*'CH4'!AY10+char!$C$7*HFC!AY10+char!$C$8*PFC!AY10</f>
        <v>0</v>
      </c>
      <c r="AZ10" s="164">
        <f>+'CO2'!AZ10+char!$C$4*N2O!AZ10+char!$C$5*SF6_NF3!AZ10+char!$C$6*'CH4'!AZ10+char!$C$7*HFC!AZ10+char!$C$8*PFC!AZ10</f>
        <v>15784.6460941328</v>
      </c>
      <c r="BA10" s="379">
        <f>+'CO2'!BA10+char!$C$4*N2O!BA10+char!$C$5*SF6_NF3!BA10+char!$C$6*'CH4'!BA10+char!$C$7*HFC!BA10+char!$C$8*PFC!BA10</f>
        <v>0</v>
      </c>
      <c r="BB10" s="164">
        <f>+'CO2'!BB10+char!$C$4*N2O!BB10+char!$C$5*SF6_NF3!BB10+char!$C$6*'CH4'!BB10+char!$C$7*HFC!BB10+char!$C$8*PFC!BB10</f>
        <v>15770.029099803</v>
      </c>
      <c r="BC10" s="379">
        <f>+'CO2'!BC10+char!$C$4*N2O!BC10+char!$C$5*SF6_NF3!BC10+char!$C$6*'CH4'!BC10+char!$C$7*HFC!BC10+char!$C$8*PFC!BC10</f>
        <v>0</v>
      </c>
      <c r="BD10" s="164">
        <f>+'CO2'!BD10+char!$C$4*N2O!BD10+char!$C$5*SF6_NF3!BD10+char!$C$6*'CH4'!BD10+char!$C$7*HFC!BD10+char!$C$8*PFC!BD10</f>
        <v>15083.795985926399</v>
      </c>
      <c r="BE10" s="379">
        <f>+'CO2'!BE10+char!$C$4*N2O!BE10+char!$C$5*SF6_NF3!BE10+char!$C$6*'CH4'!BE10+char!$C$7*HFC!BE10+char!$C$8*PFC!BE10</f>
        <v>0</v>
      </c>
      <c r="BF10" s="164">
        <f>+'CO2'!BF10+char!$C$4*N2O!BF10+char!$C$5*SF6_NF3!BF10+char!$C$6*'CH4'!BF10+char!$C$7*HFC!BF10+char!$C$8*PFC!BF10</f>
        <v>13880.115727372598</v>
      </c>
      <c r="BG10" s="379"/>
      <c r="BH10" s="223"/>
      <c r="BI10" s="184"/>
      <c r="CJ10" s="150"/>
      <c r="CK10" s="150"/>
      <c r="CL10" s="150"/>
      <c r="CM10" s="151" t="s">
        <v>267</v>
      </c>
      <c r="CN10" s="150" t="s">
        <v>1130</v>
      </c>
      <c r="CO10" s="150"/>
      <c r="CP10" s="150"/>
      <c r="CQ10" s="150"/>
      <c r="CR10" s="150"/>
      <c r="CS10" s="150"/>
      <c r="CT10" s="150"/>
    </row>
    <row r="11" spans="1:98" s="10" customFormat="1" ht="12.75" customHeight="1">
      <c r="A11" s="25"/>
      <c r="B11" s="87" t="str">
        <f>Parameters!Q10</f>
        <v>C</v>
      </c>
      <c r="C11" s="88"/>
      <c r="D11" s="498" t="str">
        <f>Parameters!S10</f>
        <v>Manufacturing</v>
      </c>
      <c r="E11" s="499"/>
      <c r="F11" s="222"/>
      <c r="G11" s="379"/>
      <c r="H11" s="223"/>
      <c r="I11" s="379"/>
      <c r="J11" s="223"/>
      <c r="K11" s="379"/>
      <c r="L11" s="223"/>
      <c r="M11" s="379"/>
      <c r="N11" s="223"/>
      <c r="O11" s="379"/>
      <c r="P11" s="223"/>
      <c r="Q11" s="379"/>
      <c r="R11" s="223"/>
      <c r="S11" s="379"/>
      <c r="T11" s="223"/>
      <c r="U11" s="379"/>
      <c r="V11" s="223"/>
      <c r="W11" s="379"/>
      <c r="X11" s="223"/>
      <c r="Y11" s="379"/>
      <c r="Z11" s="223"/>
      <c r="AA11" s="379"/>
      <c r="AB11" s="223"/>
      <c r="AC11" s="379"/>
      <c r="AD11" s="223"/>
      <c r="AE11" s="379"/>
      <c r="AF11" s="164">
        <f>+'CO2'!AF11+char!$C$4*N2O!AF11+char!$C$5*SF6_NF3!AF11+char!$C$6*'CH4'!AF11+char!$C$7*HFC!AF11+char!$C$8*PFC!AF11</f>
        <v>14359.743069983899</v>
      </c>
      <c r="AG11" s="379">
        <f>+'CO2'!AG11+char!$C$4*N2O!AG11+char!$C$5*SF6_NF3!AG11+char!$C$6*'CH4'!AG11+char!$C$7*HFC!AG11+char!$C$8*PFC!AG11</f>
        <v>0</v>
      </c>
      <c r="AH11" s="164">
        <f>+'CO2'!AH11+char!$C$4*N2O!AH11+char!$C$5*SF6_NF3!AH11+char!$C$6*'CH4'!AH11+char!$C$7*HFC!AH11+char!$C$8*PFC!AH11</f>
        <v>11873.057765473099</v>
      </c>
      <c r="AI11" s="379" t="e">
        <f>+'CO2'!AI11+char!$C$4*N2O!AI11+char!$C$5*SF6_NF3!AI11+char!$C$6*'CH4'!AI11+char!$C$7*HFC!AI11+char!$C$8*PFC!AI11</f>
        <v>#VALUE!</v>
      </c>
      <c r="AJ11" s="164">
        <f>+'CO2'!AJ11+char!$C$4*N2O!AJ11+char!$C$5*SF6_NF3!AJ11+char!$C$6*'CH4'!AJ11+char!$C$7*HFC!AJ11+char!$C$8*PFC!AJ11</f>
        <v>12758.430937119298</v>
      </c>
      <c r="AK11" s="379" t="e">
        <f>+'CO2'!AK11+char!$C$4*N2O!AK11+char!$C$5*SF6_NF3!AK11+char!$C$6*'CH4'!AK11+char!$C$7*HFC!AK11+char!$C$8*PFC!AK11</f>
        <v>#VALUE!</v>
      </c>
      <c r="AL11" s="164">
        <f>+'CO2'!AL11+char!$C$4*N2O!AL11+char!$C$5*SF6_NF3!AL11+char!$C$6*'CH4'!AL11+char!$C$7*HFC!AL11+char!$C$8*PFC!AL11</f>
        <v>12740.682463642699</v>
      </c>
      <c r="AM11" s="379">
        <f>+'CO2'!AM11+char!$C$4*N2O!AM11+char!$C$5*SF6_NF3!AM11+char!$C$6*'CH4'!AM11+char!$C$7*HFC!AM11+char!$C$8*PFC!AM11</f>
        <v>0</v>
      </c>
      <c r="AN11" s="164">
        <f>+'CO2'!AN11+char!$C$4*N2O!AN11+char!$C$5*SF6_NF3!AN11+char!$C$6*'CH4'!AN11+char!$C$7*HFC!AN11+char!$C$8*PFC!AN11</f>
        <v>12391.391820018</v>
      </c>
      <c r="AO11" s="379">
        <f>+'CO2'!AO11+char!$C$4*N2O!AO11+char!$C$5*SF6_NF3!AO11+char!$C$6*'CH4'!AO11+char!$C$7*HFC!AO11+char!$C$8*PFC!AO11</f>
        <v>0</v>
      </c>
      <c r="AP11" s="164">
        <f>+'CO2'!AP11+char!$C$4*N2O!AP11+char!$C$5*SF6_NF3!AP11+char!$C$6*'CH4'!AP11+char!$C$7*HFC!AP11+char!$C$8*PFC!AP11</f>
        <v>12326.5538407447</v>
      </c>
      <c r="AQ11" s="379">
        <f>+'CO2'!AQ11+char!$C$4*N2O!AQ11+char!$C$5*SF6_NF3!AQ11+char!$C$6*'CH4'!AQ11+char!$C$7*HFC!AQ11+char!$C$8*PFC!AQ11</f>
        <v>0</v>
      </c>
      <c r="AR11" s="164">
        <f>+'CO2'!AR11+char!$C$4*N2O!AR11+char!$C$5*SF6_NF3!AR11+char!$C$6*'CH4'!AR11+char!$C$7*HFC!AR11+char!$C$8*PFC!AR11</f>
        <v>11885.330523409399</v>
      </c>
      <c r="AS11" s="379">
        <f>+'CO2'!AS11+char!$C$4*N2O!AS11+char!$C$5*SF6_NF3!AS11+char!$C$6*'CH4'!AS11+char!$C$7*HFC!AS11+char!$C$8*PFC!AS11</f>
        <v>0</v>
      </c>
      <c r="AT11" s="164">
        <f>+'CO2'!AT11+char!$C$4*N2O!AT11+char!$C$5*SF6_NF3!AT11+char!$C$6*'CH4'!AT11+char!$C$7*HFC!AT11+char!$C$8*PFC!AT11</f>
        <v>12213.404055105</v>
      </c>
      <c r="AU11" s="379">
        <f>+'CO2'!AU11+char!$C$4*N2O!AU11+char!$C$5*SF6_NF3!AU11+char!$C$6*'CH4'!AU11+char!$C$7*HFC!AU11+char!$C$8*PFC!AU11</f>
        <v>0</v>
      </c>
      <c r="AV11" s="164">
        <f>+'CO2'!AV11+char!$C$4*N2O!AV11+char!$C$5*SF6_NF3!AV11+char!$C$6*'CH4'!AV11+char!$C$7*HFC!AV11+char!$C$8*PFC!AV11</f>
        <v>11908.135994283199</v>
      </c>
      <c r="AW11" s="379">
        <f>+'CO2'!AW11+char!$C$4*N2O!AW11+char!$C$5*SF6_NF3!AW11+char!$C$6*'CH4'!AW11+char!$C$7*HFC!AW11+char!$C$8*PFC!AW11</f>
        <v>0</v>
      </c>
      <c r="AX11" s="164">
        <f>+'CO2'!AX11+char!$C$4*N2O!AX11+char!$C$5*SF6_NF3!AX11+char!$C$6*'CH4'!AX11+char!$C$7*HFC!AX11+char!$C$8*PFC!AX11</f>
        <v>12232.831458307799</v>
      </c>
      <c r="AY11" s="379">
        <f>+'CO2'!AY11+char!$C$4*N2O!AY11+char!$C$5*SF6_NF3!AY11+char!$C$6*'CH4'!AY11+char!$C$7*HFC!AY11+char!$C$8*PFC!AY11</f>
        <v>0</v>
      </c>
      <c r="AZ11" s="164">
        <f>+'CO2'!AZ11+char!$C$4*N2O!AZ11+char!$C$5*SF6_NF3!AZ11+char!$C$6*'CH4'!AZ11+char!$C$7*HFC!AZ11+char!$C$8*PFC!AZ11</f>
        <v>12224.623227016802</v>
      </c>
      <c r="BA11" s="379">
        <f>+'CO2'!BA11+char!$C$4*N2O!BA11+char!$C$5*SF6_NF3!BA11+char!$C$6*'CH4'!BA11+char!$C$7*HFC!BA11+char!$C$8*PFC!BA11</f>
        <v>0</v>
      </c>
      <c r="BB11" s="164">
        <f>+'CO2'!BB11+char!$C$4*N2O!BB11+char!$C$5*SF6_NF3!BB11+char!$C$6*'CH4'!BB11+char!$C$7*HFC!BB11+char!$C$8*PFC!BB11</f>
        <v>11799.6219336177</v>
      </c>
      <c r="BC11" s="379">
        <f>+'CO2'!BC11+char!$C$4*N2O!BC11+char!$C$5*SF6_NF3!BC11+char!$C$6*'CH4'!BC11+char!$C$7*HFC!BC11+char!$C$8*PFC!BC11</f>
        <v>0</v>
      </c>
      <c r="BD11" s="164">
        <f>+'CO2'!BD11+char!$C$4*N2O!BD11+char!$C$5*SF6_NF3!BD11+char!$C$6*'CH4'!BD11+char!$C$7*HFC!BD11+char!$C$8*PFC!BD11</f>
        <v>11762.059813017198</v>
      </c>
      <c r="BE11" s="379">
        <f>+'CO2'!BE11+char!$C$4*N2O!BE11+char!$C$5*SF6_NF3!BE11+char!$C$6*'CH4'!BE11+char!$C$7*HFC!BE11+char!$C$8*PFC!BE11</f>
        <v>0</v>
      </c>
      <c r="BF11" s="164">
        <f>+'CO2'!BF11+char!$C$4*N2O!BF11+char!$C$5*SF6_NF3!BF11+char!$C$6*'CH4'!BF11+char!$C$7*HFC!BF11+char!$C$8*PFC!BF11</f>
        <v>12092.035163551</v>
      </c>
      <c r="BG11" s="379"/>
      <c r="BH11" s="223"/>
      <c r="BI11" s="184"/>
      <c r="CJ11" s="150"/>
      <c r="CK11" s="150"/>
      <c r="CL11" s="150"/>
      <c r="CM11" s="151" t="s">
        <v>273</v>
      </c>
      <c r="CN11" s="150" t="s">
        <v>1130</v>
      </c>
      <c r="CO11" s="150"/>
      <c r="CP11" s="150"/>
      <c r="CQ11" s="150"/>
      <c r="CR11" s="150"/>
      <c r="CS11" s="150"/>
      <c r="CT11" s="150"/>
    </row>
    <row r="12" spans="1:98" s="10" customFormat="1" ht="12.75" customHeight="1">
      <c r="A12" s="26"/>
      <c r="B12" s="89" t="str">
        <f>Parameters!Q11</f>
        <v>C10-C12</v>
      </c>
      <c r="C12" s="90"/>
      <c r="D12" s="504" t="str">
        <f>Parameters!S11</f>
        <v>Manufacture of food products, beverages and tobacco
products</v>
      </c>
      <c r="E12" s="505"/>
      <c r="F12" s="226"/>
      <c r="G12" s="379"/>
      <c r="H12" s="227"/>
      <c r="I12" s="379"/>
      <c r="J12" s="227"/>
      <c r="K12" s="379"/>
      <c r="L12" s="227"/>
      <c r="M12" s="379"/>
      <c r="N12" s="227"/>
      <c r="O12" s="379"/>
      <c r="P12" s="227"/>
      <c r="Q12" s="379"/>
      <c r="R12" s="227"/>
      <c r="S12" s="379"/>
      <c r="T12" s="227"/>
      <c r="U12" s="379"/>
      <c r="V12" s="227"/>
      <c r="W12" s="379"/>
      <c r="X12" s="227"/>
      <c r="Y12" s="379"/>
      <c r="Z12" s="227"/>
      <c r="AA12" s="379"/>
      <c r="AB12" s="227"/>
      <c r="AC12" s="379"/>
      <c r="AD12" s="227"/>
      <c r="AE12" s="379"/>
      <c r="AF12" s="166">
        <f>+'CO2'!AF12+char!$C$4*N2O!AF12+char!$C$5*SF6_NF3!AF12+char!$C$6*'CH4'!AF12+char!$C$7*HFC!AF12+char!$C$8*PFC!AF12</f>
        <v>608.01716666569996</v>
      </c>
      <c r="AG12" s="379">
        <f>+'CO2'!AG12+char!$C$4*N2O!AG12+char!$C$5*SF6_NF3!AG12+char!$C$6*'CH4'!AG12+char!$C$7*HFC!AG12+char!$C$8*PFC!AG12</f>
        <v>0</v>
      </c>
      <c r="AH12" s="166">
        <f>+'CO2'!AH12+char!$C$4*N2O!AH12+char!$C$5*SF6_NF3!AH12+char!$C$6*'CH4'!AH12+char!$C$7*HFC!AH12+char!$C$8*PFC!AH12</f>
        <v>537.53373788190004</v>
      </c>
      <c r="AI12" s="379">
        <f>+'CO2'!AI12+char!$C$4*N2O!AI12+char!$C$5*SF6_NF3!AI12+char!$C$6*'CH4'!AI12+char!$C$7*HFC!AI12+char!$C$8*PFC!AI12</f>
        <v>0</v>
      </c>
      <c r="AJ12" s="166">
        <f>+'CO2'!AJ12+char!$C$4*N2O!AJ12+char!$C$5*SF6_NF3!AJ12+char!$C$6*'CH4'!AJ12+char!$C$7*HFC!AJ12+char!$C$8*PFC!AJ12</f>
        <v>595.13860358290003</v>
      </c>
      <c r="AK12" s="379">
        <f>+'CO2'!AK12+char!$C$4*N2O!AK12+char!$C$5*SF6_NF3!AK12+char!$C$6*'CH4'!AK12+char!$C$7*HFC!AK12+char!$C$8*PFC!AK12</f>
        <v>0</v>
      </c>
      <c r="AL12" s="166">
        <f>+'CO2'!AL12+char!$C$4*N2O!AL12+char!$C$5*SF6_NF3!AL12+char!$C$6*'CH4'!AL12+char!$C$7*HFC!AL12+char!$C$8*PFC!AL12</f>
        <v>578.53653539720005</v>
      </c>
      <c r="AM12" s="379">
        <f>+'CO2'!AM12+char!$C$4*N2O!AM12+char!$C$5*SF6_NF3!AM12+char!$C$6*'CH4'!AM12+char!$C$7*HFC!AM12+char!$C$8*PFC!AM12</f>
        <v>0</v>
      </c>
      <c r="AN12" s="166">
        <f>+'CO2'!AN12+char!$C$4*N2O!AN12+char!$C$5*SF6_NF3!AN12+char!$C$6*'CH4'!AN12+char!$C$7*HFC!AN12+char!$C$8*PFC!AN12</f>
        <v>575.19720086899997</v>
      </c>
      <c r="AO12" s="379">
        <f>+'CO2'!AO12+char!$C$4*N2O!AO12+char!$C$5*SF6_NF3!AO12+char!$C$6*'CH4'!AO12+char!$C$7*HFC!AO12+char!$C$8*PFC!AO12</f>
        <v>0</v>
      </c>
      <c r="AP12" s="166">
        <f>+'CO2'!AP12+char!$C$4*N2O!AP12+char!$C$5*SF6_NF3!AP12+char!$C$6*'CH4'!AP12+char!$C$7*HFC!AP12+char!$C$8*PFC!AP12</f>
        <v>540.374020051</v>
      </c>
      <c r="AQ12" s="379">
        <f>+'CO2'!AQ12+char!$C$4*N2O!AQ12+char!$C$5*SF6_NF3!AQ12+char!$C$6*'CH4'!AQ12+char!$C$7*HFC!AQ12+char!$C$8*PFC!AQ12</f>
        <v>0</v>
      </c>
      <c r="AR12" s="166">
        <f>+'CO2'!AR12+char!$C$4*N2O!AR12+char!$C$5*SF6_NF3!AR12+char!$C$6*'CH4'!AR12+char!$C$7*HFC!AR12+char!$C$8*PFC!AR12</f>
        <v>507.92466428390003</v>
      </c>
      <c r="AS12" s="379">
        <f>+'CO2'!AS12+char!$C$4*N2O!AS12+char!$C$5*SF6_NF3!AS12+char!$C$6*'CH4'!AS12+char!$C$7*HFC!AS12+char!$C$8*PFC!AS12</f>
        <v>0</v>
      </c>
      <c r="AT12" s="166">
        <f>+'CO2'!AT12+char!$C$4*N2O!AT12+char!$C$5*SF6_NF3!AT12+char!$C$6*'CH4'!AT12+char!$C$7*HFC!AT12+char!$C$8*PFC!AT12</f>
        <v>545.07386520130001</v>
      </c>
      <c r="AU12" s="379">
        <f>+'CO2'!AU12+char!$C$4*N2O!AU12+char!$C$5*SF6_NF3!AU12+char!$C$6*'CH4'!AU12+char!$C$7*HFC!AU12+char!$C$8*PFC!AU12</f>
        <v>0</v>
      </c>
      <c r="AV12" s="166">
        <f>+'CO2'!AV12+char!$C$4*N2O!AV12+char!$C$5*SF6_NF3!AV12+char!$C$6*'CH4'!AV12+char!$C$7*HFC!AV12+char!$C$8*PFC!AV12</f>
        <v>546.18825560499999</v>
      </c>
      <c r="AW12" s="379">
        <f>+'CO2'!AW12+char!$C$4*N2O!AW12+char!$C$5*SF6_NF3!AW12+char!$C$6*'CH4'!AW12+char!$C$7*HFC!AW12+char!$C$8*PFC!AW12</f>
        <v>0</v>
      </c>
      <c r="AX12" s="166">
        <f>+'CO2'!AX12+char!$C$4*N2O!AX12+char!$C$5*SF6_NF3!AX12+char!$C$6*'CH4'!AX12+char!$C$7*HFC!AX12+char!$C$8*PFC!AX12</f>
        <v>572.43365578479995</v>
      </c>
      <c r="AY12" s="379">
        <f>+'CO2'!AY12+char!$C$4*N2O!AY12+char!$C$5*SF6_NF3!AY12+char!$C$6*'CH4'!AY12+char!$C$7*HFC!AY12+char!$C$8*PFC!AY12</f>
        <v>0</v>
      </c>
      <c r="AZ12" s="166">
        <f>+'CO2'!AZ12+char!$C$4*N2O!AZ12+char!$C$5*SF6_NF3!AZ12+char!$C$6*'CH4'!AZ12+char!$C$7*HFC!AZ12+char!$C$8*PFC!AZ12</f>
        <v>500.05663452689998</v>
      </c>
      <c r="BA12" s="379">
        <f>+'CO2'!BA12+char!$C$4*N2O!BA12+char!$C$5*SF6_NF3!BA12+char!$C$6*'CH4'!BA12+char!$C$7*HFC!BA12+char!$C$8*PFC!BA12</f>
        <v>0</v>
      </c>
      <c r="BB12" s="166">
        <f>+'CO2'!BB12+char!$C$4*N2O!BB12+char!$C$5*SF6_NF3!BB12+char!$C$6*'CH4'!BB12+char!$C$7*HFC!BB12+char!$C$8*PFC!BB12</f>
        <v>480.12827828960002</v>
      </c>
      <c r="BC12" s="379" t="e">
        <f>+'CO2'!BC12+char!$C$4*N2O!BC12+char!$C$5*SF6_NF3!BC12+char!$C$6*'CH4'!BC12+char!$C$7*HFC!BC12+char!$C$8*PFC!BC12</f>
        <v>#VALUE!</v>
      </c>
      <c r="BD12" s="166">
        <f>+'CO2'!BD12+char!$C$4*N2O!BD12+char!$C$5*SF6_NF3!BD12+char!$C$6*'CH4'!BD12+char!$C$7*HFC!BD12+char!$C$8*PFC!BD12</f>
        <v>541.00571740420003</v>
      </c>
      <c r="BE12" s="379">
        <f>+'CO2'!BE12+char!$C$4*N2O!BE12+char!$C$5*SF6_NF3!BE12+char!$C$6*'CH4'!BE12+char!$C$7*HFC!BE12+char!$C$8*PFC!BE12</f>
        <v>0</v>
      </c>
      <c r="BF12" s="166">
        <f>+'CO2'!BF12+char!$C$4*N2O!BF12+char!$C$5*SF6_NF3!BF12+char!$C$6*'CH4'!BF12+char!$C$7*HFC!BF12+char!$C$8*PFC!BF12</f>
        <v>504.821229458</v>
      </c>
      <c r="BG12" s="379"/>
      <c r="BH12" s="227"/>
      <c r="BI12" s="184"/>
      <c r="CJ12" s="150"/>
      <c r="CK12" s="150"/>
      <c r="CL12" s="150"/>
      <c r="CM12" s="152" t="s">
        <v>1135</v>
      </c>
      <c r="CN12" s="150" t="s">
        <v>1130</v>
      </c>
      <c r="CO12" s="150"/>
      <c r="CP12" s="150"/>
      <c r="CQ12" s="150"/>
      <c r="CR12" s="150"/>
      <c r="CS12" s="150"/>
      <c r="CT12" s="150"/>
    </row>
    <row r="13" spans="1:98" s="10" customFormat="1" ht="12.75" customHeight="1">
      <c r="A13" s="26"/>
      <c r="B13" s="89" t="str">
        <f>Parameters!Q12</f>
        <v>C13-C15</v>
      </c>
      <c r="C13" s="90"/>
      <c r="D13" s="504" t="str">
        <f>Parameters!S12</f>
        <v>Manufacture of textiles, wearing apparel and leather products</v>
      </c>
      <c r="E13" s="506"/>
      <c r="F13" s="226"/>
      <c r="G13" s="379"/>
      <c r="H13" s="227"/>
      <c r="I13" s="379"/>
      <c r="J13" s="227"/>
      <c r="K13" s="379"/>
      <c r="L13" s="227"/>
      <c r="M13" s="379"/>
      <c r="N13" s="227"/>
      <c r="O13" s="379"/>
      <c r="P13" s="227"/>
      <c r="Q13" s="379"/>
      <c r="R13" s="227"/>
      <c r="S13" s="379"/>
      <c r="T13" s="227"/>
      <c r="U13" s="379"/>
      <c r="V13" s="227"/>
      <c r="W13" s="379"/>
      <c r="X13" s="227"/>
      <c r="Y13" s="379"/>
      <c r="Z13" s="227"/>
      <c r="AA13" s="379"/>
      <c r="AB13" s="227"/>
      <c r="AC13" s="379"/>
      <c r="AD13" s="227"/>
      <c r="AE13" s="379"/>
      <c r="AF13" s="166">
        <f>+'CO2'!AF13+char!$C$4*N2O!AF13+char!$C$5*SF6_NF3!AF13+char!$C$6*'CH4'!AF13+char!$C$7*HFC!AF13+char!$C$8*PFC!AF13</f>
        <v>12.805005709800003</v>
      </c>
      <c r="AG13" s="379">
        <f>+'CO2'!AG13+char!$C$4*N2O!AG13+char!$C$5*SF6_NF3!AG13+char!$C$6*'CH4'!AG13+char!$C$7*HFC!AG13+char!$C$8*PFC!AG13</f>
        <v>0</v>
      </c>
      <c r="AH13" s="166">
        <f>+'CO2'!AH13+char!$C$4*N2O!AH13+char!$C$5*SF6_NF3!AH13+char!$C$6*'CH4'!AH13+char!$C$7*HFC!AH13+char!$C$8*PFC!AH13</f>
        <v>6.2391199801999999</v>
      </c>
      <c r="AI13" s="379">
        <f>+'CO2'!AI13+char!$C$4*N2O!AI13+char!$C$5*SF6_NF3!AI13+char!$C$6*'CH4'!AI13+char!$C$7*HFC!AI13+char!$C$8*PFC!AI13</f>
        <v>0</v>
      </c>
      <c r="AJ13" s="166">
        <f>+'CO2'!AJ13+char!$C$4*N2O!AJ13+char!$C$5*SF6_NF3!AJ13+char!$C$6*'CH4'!AJ13+char!$C$7*HFC!AJ13+char!$C$8*PFC!AJ13</f>
        <v>5.6893211629000007</v>
      </c>
      <c r="AK13" s="379">
        <f>+'CO2'!AK13+char!$C$4*N2O!AK13+char!$C$5*SF6_NF3!AK13+char!$C$6*'CH4'!AK13+char!$C$7*HFC!AK13+char!$C$8*PFC!AK13</f>
        <v>0</v>
      </c>
      <c r="AL13" s="166">
        <f>+'CO2'!AL13+char!$C$4*N2O!AL13+char!$C$5*SF6_NF3!AL13+char!$C$6*'CH4'!AL13+char!$C$7*HFC!AL13+char!$C$8*PFC!AL13</f>
        <v>6.0528096737000006</v>
      </c>
      <c r="AM13" s="379">
        <f>+'CO2'!AM13+char!$C$4*N2O!AM13+char!$C$5*SF6_NF3!AM13+char!$C$6*'CH4'!AM13+char!$C$7*HFC!AM13+char!$C$8*PFC!AM13</f>
        <v>0</v>
      </c>
      <c r="AN13" s="166">
        <f>+'CO2'!AN13+char!$C$4*N2O!AN13+char!$C$5*SF6_NF3!AN13+char!$C$6*'CH4'!AN13+char!$C$7*HFC!AN13+char!$C$8*PFC!AN13</f>
        <v>4.1036385998</v>
      </c>
      <c r="AO13" s="379">
        <f>+'CO2'!AO13+char!$C$4*N2O!AO13+char!$C$5*SF6_NF3!AO13+char!$C$6*'CH4'!AO13+char!$C$7*HFC!AO13+char!$C$8*PFC!AO13</f>
        <v>0</v>
      </c>
      <c r="AP13" s="166">
        <f>+'CO2'!AP13+char!$C$4*N2O!AP13+char!$C$5*SF6_NF3!AP13+char!$C$6*'CH4'!AP13+char!$C$7*HFC!AP13+char!$C$8*PFC!AP13</f>
        <v>6.1388320266000003</v>
      </c>
      <c r="AQ13" s="379">
        <f>+'CO2'!AQ13+char!$C$4*N2O!AQ13+char!$C$5*SF6_NF3!AQ13+char!$C$6*'CH4'!AQ13+char!$C$7*HFC!AQ13+char!$C$8*PFC!AQ13</f>
        <v>0</v>
      </c>
      <c r="AR13" s="166">
        <f>+'CO2'!AR13+char!$C$4*N2O!AR13+char!$C$5*SF6_NF3!AR13+char!$C$6*'CH4'!AR13+char!$C$7*HFC!AR13+char!$C$8*PFC!AR13</f>
        <v>7.0790398990999996</v>
      </c>
      <c r="AS13" s="379">
        <f>+'CO2'!AS13+char!$C$4*N2O!AS13+char!$C$5*SF6_NF3!AS13+char!$C$6*'CH4'!AS13+char!$C$7*HFC!AS13+char!$C$8*PFC!AS13</f>
        <v>0</v>
      </c>
      <c r="AT13" s="166">
        <f>+'CO2'!AT13+char!$C$4*N2O!AT13+char!$C$5*SF6_NF3!AT13+char!$C$6*'CH4'!AT13+char!$C$7*HFC!AT13+char!$C$8*PFC!AT13</f>
        <v>8.0591248824000008</v>
      </c>
      <c r="AU13" s="379">
        <f>+'CO2'!AU13+char!$C$4*N2O!AU13+char!$C$5*SF6_NF3!AU13+char!$C$6*'CH4'!AU13+char!$C$7*HFC!AU13+char!$C$8*PFC!AU13</f>
        <v>0</v>
      </c>
      <c r="AV13" s="166">
        <f>+'CO2'!AV13+char!$C$4*N2O!AV13+char!$C$5*SF6_NF3!AV13+char!$C$6*'CH4'!AV13+char!$C$7*HFC!AV13+char!$C$8*PFC!AV13</f>
        <v>7.2824317463999995</v>
      </c>
      <c r="AW13" s="379">
        <f>+'CO2'!AW13+char!$C$4*N2O!AW13+char!$C$5*SF6_NF3!AW13+char!$C$6*'CH4'!AW13+char!$C$7*HFC!AW13+char!$C$8*PFC!AW13</f>
        <v>0</v>
      </c>
      <c r="AX13" s="166">
        <f>+'CO2'!AX13+char!$C$4*N2O!AX13+char!$C$5*SF6_NF3!AX13+char!$C$6*'CH4'!AX13+char!$C$7*HFC!AX13+char!$C$8*PFC!AX13</f>
        <v>5.4549990014</v>
      </c>
      <c r="AY13" s="379">
        <f>+'CO2'!AY13+char!$C$4*N2O!AY13+char!$C$5*SF6_NF3!AY13+char!$C$6*'CH4'!AY13+char!$C$7*HFC!AY13+char!$C$8*PFC!AY13</f>
        <v>0</v>
      </c>
      <c r="AZ13" s="166">
        <f>+'CO2'!AZ13+char!$C$4*N2O!AZ13+char!$C$5*SF6_NF3!AZ13+char!$C$6*'CH4'!AZ13+char!$C$7*HFC!AZ13+char!$C$8*PFC!AZ13</f>
        <v>4.6587900533999989</v>
      </c>
      <c r="BA13" s="379">
        <f>+'CO2'!BA13+char!$C$4*N2O!BA13+char!$C$5*SF6_NF3!BA13+char!$C$6*'CH4'!BA13+char!$C$7*HFC!BA13+char!$C$8*PFC!BA13</f>
        <v>0</v>
      </c>
      <c r="BB13" s="166">
        <f>+'CO2'!BB13+char!$C$4*N2O!BB13+char!$C$5*SF6_NF3!BB13+char!$C$6*'CH4'!BB13+char!$C$7*HFC!BB13+char!$C$8*PFC!BB13</f>
        <v>5.1223925085999991</v>
      </c>
      <c r="BC13" s="379">
        <f>+'CO2'!BC13+char!$C$4*N2O!BC13+char!$C$5*SF6_NF3!BC13+char!$C$6*'CH4'!BC13+char!$C$7*HFC!BC13+char!$C$8*PFC!BC13</f>
        <v>0</v>
      </c>
      <c r="BD13" s="166">
        <f>+'CO2'!BD13+char!$C$4*N2O!BD13+char!$C$5*SF6_NF3!BD13+char!$C$6*'CH4'!BD13+char!$C$7*HFC!BD13+char!$C$8*PFC!BD13</f>
        <v>5.3995574925999996</v>
      </c>
      <c r="BE13" s="379">
        <f>+'CO2'!BE13+char!$C$4*N2O!BE13+char!$C$5*SF6_NF3!BE13+char!$C$6*'CH4'!BE13+char!$C$7*HFC!BE13+char!$C$8*PFC!BE13</f>
        <v>0</v>
      </c>
      <c r="BF13" s="166">
        <f>+'CO2'!BF13+char!$C$4*N2O!BF13+char!$C$5*SF6_NF3!BF13+char!$C$6*'CH4'!BF13+char!$C$7*HFC!BF13+char!$C$8*PFC!BF13</f>
        <v>5.1432125888</v>
      </c>
      <c r="BG13" s="379"/>
      <c r="BH13" s="227"/>
      <c r="BI13" s="184"/>
      <c r="CJ13" s="150"/>
      <c r="CK13" s="150"/>
      <c r="CL13" s="150"/>
      <c r="CM13" s="151" t="s">
        <v>1136</v>
      </c>
      <c r="CN13" s="150" t="s">
        <v>1130</v>
      </c>
      <c r="CO13" s="150"/>
      <c r="CP13" s="150"/>
      <c r="CQ13" s="150"/>
      <c r="CR13" s="150"/>
      <c r="CS13" s="150"/>
      <c r="CT13" s="150"/>
    </row>
    <row r="14" spans="1:98" s="10" customFormat="1">
      <c r="A14" s="26"/>
      <c r="B14" s="89" t="str">
        <f>Parameters!Q13</f>
        <v>C16-C18</v>
      </c>
      <c r="C14" s="90"/>
      <c r="D14" s="504" t="str">
        <f>Parameters!S13</f>
        <v>Manufacture of wood, paper, printing and reproduction</v>
      </c>
      <c r="E14" s="506"/>
      <c r="F14" s="252"/>
      <c r="G14" s="380"/>
      <c r="H14" s="253"/>
      <c r="I14" s="380"/>
      <c r="J14" s="253"/>
      <c r="K14" s="380"/>
      <c r="L14" s="253"/>
      <c r="M14" s="380"/>
      <c r="N14" s="253"/>
      <c r="O14" s="380"/>
      <c r="P14" s="253"/>
      <c r="Q14" s="380"/>
      <c r="R14" s="253"/>
      <c r="S14" s="380"/>
      <c r="T14" s="253"/>
      <c r="U14" s="380"/>
      <c r="V14" s="253"/>
      <c r="W14" s="380"/>
      <c r="X14" s="253"/>
      <c r="Y14" s="380"/>
      <c r="Z14" s="253"/>
      <c r="AA14" s="380"/>
      <c r="AB14" s="253"/>
      <c r="AC14" s="380"/>
      <c r="AD14" s="253"/>
      <c r="AE14" s="380"/>
      <c r="AF14" s="253">
        <f>+'CO2'!AF14+char!$C$4*N2O!AF14+char!$C$5*SF6_NF3!AF14+char!$C$6*'CH4'!AF14+char!$C$7*HFC!AF14+char!$C$8*PFC!AF14</f>
        <v>728.83438582389988</v>
      </c>
      <c r="AG14" s="380">
        <f>+'CO2'!AG14+char!$C$4*N2O!AG14+char!$C$5*SF6_NF3!AG14+char!$C$6*'CH4'!AG14+char!$C$7*HFC!AG14+char!$C$8*PFC!AG14</f>
        <v>0</v>
      </c>
      <c r="AH14" s="253">
        <f>+'CO2'!AH14+char!$C$4*N2O!AH14+char!$C$5*SF6_NF3!AH14+char!$C$6*'CH4'!AH14+char!$C$7*HFC!AH14+char!$C$8*PFC!AH14</f>
        <v>664.91621127680003</v>
      </c>
      <c r="AI14" s="380">
        <f>+'CO2'!AI14+char!$C$4*N2O!AI14+char!$C$5*SF6_NF3!AI14+char!$C$6*'CH4'!AI14+char!$C$7*HFC!AI14+char!$C$8*PFC!AI14</f>
        <v>0</v>
      </c>
      <c r="AJ14" s="253">
        <f>+'CO2'!AJ14+char!$C$4*N2O!AJ14+char!$C$5*SF6_NF3!AJ14+char!$C$6*'CH4'!AJ14+char!$C$7*HFC!AJ14+char!$C$8*PFC!AJ14</f>
        <v>763.88665255809997</v>
      </c>
      <c r="AK14" s="380">
        <f>+'CO2'!AK14+char!$C$4*N2O!AK14+char!$C$5*SF6_NF3!AK14+char!$C$6*'CH4'!AK14+char!$C$7*HFC!AK14+char!$C$8*PFC!AK14</f>
        <v>0</v>
      </c>
      <c r="AL14" s="253">
        <f>+'CO2'!AL14+char!$C$4*N2O!AL14+char!$C$5*SF6_NF3!AL14+char!$C$6*'CH4'!AL14+char!$C$7*HFC!AL14+char!$C$8*PFC!AL14</f>
        <v>656.66702128460008</v>
      </c>
      <c r="AM14" s="380">
        <f>+'CO2'!AM14+char!$C$4*N2O!AM14+char!$C$5*SF6_NF3!AM14+char!$C$6*'CH4'!AM14+char!$C$7*HFC!AM14+char!$C$8*PFC!AM14</f>
        <v>0</v>
      </c>
      <c r="AN14" s="253">
        <f>+'CO2'!AN14+char!$C$4*N2O!AN14+char!$C$5*SF6_NF3!AN14+char!$C$6*'CH4'!AN14+char!$C$7*HFC!AN14+char!$C$8*PFC!AN14</f>
        <v>525.83455323140004</v>
      </c>
      <c r="AO14" s="380">
        <f>+'CO2'!AO14+char!$C$4*N2O!AO14+char!$C$5*SF6_NF3!AO14+char!$C$6*'CH4'!AO14+char!$C$7*HFC!AO14+char!$C$8*PFC!AO14</f>
        <v>0</v>
      </c>
      <c r="AP14" s="253">
        <f>+'CO2'!AP14+char!$C$4*N2O!AP14+char!$C$5*SF6_NF3!AP14+char!$C$6*'CH4'!AP14+char!$C$7*HFC!AP14+char!$C$8*PFC!AP14</f>
        <v>433.50448355179998</v>
      </c>
      <c r="AQ14" s="380">
        <f>+'CO2'!AQ14+char!$C$4*N2O!AQ14+char!$C$5*SF6_NF3!AQ14+char!$C$6*'CH4'!AQ14+char!$C$7*HFC!AQ14+char!$C$8*PFC!AQ14</f>
        <v>0</v>
      </c>
      <c r="AR14" s="253">
        <f>+'CO2'!AR14+char!$C$4*N2O!AR14+char!$C$5*SF6_NF3!AR14+char!$C$6*'CH4'!AR14+char!$C$7*HFC!AR14+char!$C$8*PFC!AR14</f>
        <v>384.19241481309996</v>
      </c>
      <c r="AS14" s="380">
        <f>+'CO2'!AS14+char!$C$4*N2O!AS14+char!$C$5*SF6_NF3!AS14+char!$C$6*'CH4'!AS14+char!$C$7*HFC!AS14+char!$C$8*PFC!AS14</f>
        <v>0</v>
      </c>
      <c r="AT14" s="253">
        <f>+'CO2'!AT14+char!$C$4*N2O!AT14+char!$C$5*SF6_NF3!AT14+char!$C$6*'CH4'!AT14+char!$C$7*HFC!AT14+char!$C$8*PFC!AT14</f>
        <v>369.14098122419995</v>
      </c>
      <c r="AU14" s="380">
        <f>+'CO2'!AU14+char!$C$4*N2O!AU14+char!$C$5*SF6_NF3!AU14+char!$C$6*'CH4'!AU14+char!$C$7*HFC!AU14+char!$C$8*PFC!AU14</f>
        <v>0</v>
      </c>
      <c r="AV14" s="253">
        <f>+'CO2'!AV14+char!$C$4*N2O!AV14+char!$C$5*SF6_NF3!AV14+char!$C$6*'CH4'!AV14+char!$C$7*HFC!AV14+char!$C$8*PFC!AV14</f>
        <v>377.04205048840004</v>
      </c>
      <c r="AW14" s="380">
        <f>+'CO2'!AW14+char!$C$4*N2O!AW14+char!$C$5*SF6_NF3!AW14+char!$C$6*'CH4'!AW14+char!$C$7*HFC!AW14+char!$C$8*PFC!AW14</f>
        <v>0</v>
      </c>
      <c r="AX14" s="253">
        <f>+'CO2'!AX14+char!$C$4*N2O!AX14+char!$C$5*SF6_NF3!AX14+char!$C$6*'CH4'!AX14+char!$C$7*HFC!AX14+char!$C$8*PFC!AX14</f>
        <v>365.27873020480001</v>
      </c>
      <c r="AY14" s="380">
        <f>+'CO2'!AY14+char!$C$4*N2O!AY14+char!$C$5*SF6_NF3!AY14+char!$C$6*'CH4'!AY14+char!$C$7*HFC!AY14+char!$C$8*PFC!AY14</f>
        <v>0</v>
      </c>
      <c r="AZ14" s="253">
        <f>+'CO2'!AZ14+char!$C$4*N2O!AZ14+char!$C$5*SF6_NF3!AZ14+char!$C$6*'CH4'!AZ14+char!$C$7*HFC!AZ14+char!$C$8*PFC!AZ14</f>
        <v>373.71208289359998</v>
      </c>
      <c r="BA14" s="380">
        <f>+'CO2'!BA14+char!$C$4*N2O!BA14+char!$C$5*SF6_NF3!BA14+char!$C$6*'CH4'!BA14+char!$C$7*HFC!BA14+char!$C$8*PFC!BA14</f>
        <v>0</v>
      </c>
      <c r="BB14" s="253">
        <f>+'CO2'!BB14+char!$C$4*N2O!BB14+char!$C$5*SF6_NF3!BB14+char!$C$6*'CH4'!BB14+char!$C$7*HFC!BB14+char!$C$8*PFC!BB14</f>
        <v>380.52706106010004</v>
      </c>
      <c r="BC14" s="380">
        <f>+'CO2'!BC14+char!$C$4*N2O!BC14+char!$C$5*SF6_NF3!BC14+char!$C$6*'CH4'!BC14+char!$C$7*HFC!BC14+char!$C$8*PFC!BC14</f>
        <v>0</v>
      </c>
      <c r="BD14" s="253">
        <f>+'CO2'!BD14+char!$C$4*N2O!BD14+char!$C$5*SF6_NF3!BD14+char!$C$6*'CH4'!BD14+char!$C$7*HFC!BD14+char!$C$8*PFC!BD14</f>
        <v>326.85659456120004</v>
      </c>
      <c r="BE14" s="380">
        <f>+'CO2'!BE14+char!$C$4*N2O!BE14+char!$C$5*SF6_NF3!BE14+char!$C$6*'CH4'!BE14+char!$C$7*HFC!BE14+char!$C$8*PFC!BE14</f>
        <v>0</v>
      </c>
      <c r="BF14" s="253">
        <f>+'CO2'!BF14+char!$C$4*N2O!BF14+char!$C$5*SF6_NF3!BF14+char!$C$6*'CH4'!BF14+char!$C$7*HFC!BF14+char!$C$8*PFC!BF14</f>
        <v>363.96694887090001</v>
      </c>
      <c r="BG14" s="380"/>
      <c r="BH14" s="253"/>
      <c r="BI14" s="254"/>
      <c r="CJ14" s="150"/>
      <c r="CK14" s="150"/>
      <c r="CL14" s="150"/>
      <c r="CM14" s="151"/>
      <c r="CN14" s="150"/>
      <c r="CO14" s="150"/>
      <c r="CP14" s="150"/>
      <c r="CQ14" s="150"/>
      <c r="CR14" s="150"/>
      <c r="CS14" s="150"/>
      <c r="CT14" s="150"/>
    </row>
    <row r="15" spans="1:98" s="12" customFormat="1" ht="22.5" customHeight="1">
      <c r="A15" s="310"/>
      <c r="B15" s="308" t="str">
        <f>Parameters!Q14</f>
        <v>C16</v>
      </c>
      <c r="C15" s="94"/>
      <c r="D15" s="495" t="str">
        <f>Parameters!S14</f>
        <v>Manufacture of wood and of products of wood and cork, except furniture; manufacture of articles of straw and plaiting materials</v>
      </c>
      <c r="E15" s="496"/>
      <c r="F15" s="224"/>
      <c r="G15" s="379"/>
      <c r="H15" s="225"/>
      <c r="I15" s="379"/>
      <c r="J15" s="225"/>
      <c r="K15" s="379"/>
      <c r="L15" s="225"/>
      <c r="M15" s="379"/>
      <c r="N15" s="225"/>
      <c r="O15" s="379"/>
      <c r="P15" s="225"/>
      <c r="Q15" s="379"/>
      <c r="R15" s="225"/>
      <c r="S15" s="379"/>
      <c r="T15" s="225"/>
      <c r="U15" s="379"/>
      <c r="V15" s="225"/>
      <c r="W15" s="379"/>
      <c r="X15" s="225"/>
      <c r="Y15" s="379"/>
      <c r="Z15" s="225"/>
      <c r="AA15" s="379"/>
      <c r="AB15" s="225"/>
      <c r="AC15" s="379"/>
      <c r="AD15" s="225"/>
      <c r="AE15" s="379"/>
      <c r="AF15" s="165">
        <f>+'CO2'!AF15+char!$C$4*N2O!AF15+char!$C$5*SF6_NF3!AF15+char!$C$6*'CH4'!AF15+char!$C$7*HFC!AF15+char!$C$8*PFC!AF15</f>
        <v>189.90688176110001</v>
      </c>
      <c r="AG15" s="379">
        <f>+'CO2'!AG15+char!$C$4*N2O!AG15+char!$C$5*SF6_NF3!AG15+char!$C$6*'CH4'!AG15+char!$C$7*HFC!AG15+char!$C$8*PFC!AG15</f>
        <v>0</v>
      </c>
      <c r="AH15" s="165">
        <f>+'CO2'!AH15+char!$C$4*N2O!AH15+char!$C$5*SF6_NF3!AH15+char!$C$6*'CH4'!AH15+char!$C$7*HFC!AH15+char!$C$8*PFC!AH15</f>
        <v>168.71155697079999</v>
      </c>
      <c r="AI15" s="379">
        <f>+'CO2'!AI15+char!$C$4*N2O!AI15+char!$C$5*SF6_NF3!AI15+char!$C$6*'CH4'!AI15+char!$C$7*HFC!AI15+char!$C$8*PFC!AI15</f>
        <v>0</v>
      </c>
      <c r="AJ15" s="165">
        <f>+'CO2'!AJ15+char!$C$4*N2O!AJ15+char!$C$5*SF6_NF3!AJ15+char!$C$6*'CH4'!AJ15+char!$C$7*HFC!AJ15+char!$C$8*PFC!AJ15</f>
        <v>180.6467333276</v>
      </c>
      <c r="AK15" s="379">
        <f>+'CO2'!AK15+char!$C$4*N2O!AK15+char!$C$5*SF6_NF3!AK15+char!$C$6*'CH4'!AK15+char!$C$7*HFC!AK15+char!$C$8*PFC!AK15</f>
        <v>0</v>
      </c>
      <c r="AL15" s="165">
        <f>+'CO2'!AL15+char!$C$4*N2O!AL15+char!$C$5*SF6_NF3!AL15+char!$C$6*'CH4'!AL15+char!$C$7*HFC!AL15+char!$C$8*PFC!AL15</f>
        <v>193.30709169170001</v>
      </c>
      <c r="AM15" s="379">
        <f>+'CO2'!AM15+char!$C$4*N2O!AM15+char!$C$5*SF6_NF3!AM15+char!$C$6*'CH4'!AM15+char!$C$7*HFC!AM15+char!$C$8*PFC!AM15</f>
        <v>0</v>
      </c>
      <c r="AN15" s="165">
        <f>+'CO2'!AN15+char!$C$4*N2O!AN15+char!$C$5*SF6_NF3!AN15+char!$C$6*'CH4'!AN15+char!$C$7*HFC!AN15+char!$C$8*PFC!AN15</f>
        <v>172.60001327160001</v>
      </c>
      <c r="AO15" s="379">
        <f>+'CO2'!AO15+char!$C$4*N2O!AO15+char!$C$5*SF6_NF3!AO15+char!$C$6*'CH4'!AO15+char!$C$7*HFC!AO15+char!$C$8*PFC!AO15</f>
        <v>0</v>
      </c>
      <c r="AP15" s="165">
        <f>+'CO2'!AP15+char!$C$4*N2O!AP15+char!$C$5*SF6_NF3!AP15+char!$C$6*'CH4'!AP15+char!$C$7*HFC!AP15+char!$C$8*PFC!AP15</f>
        <v>156.3418130057</v>
      </c>
      <c r="AQ15" s="379">
        <f>+'CO2'!AQ15+char!$C$4*N2O!AQ15+char!$C$5*SF6_NF3!AQ15+char!$C$6*'CH4'!AQ15+char!$C$7*HFC!AQ15+char!$C$8*PFC!AQ15</f>
        <v>0</v>
      </c>
      <c r="AR15" s="165">
        <f>+'CO2'!AR15+char!$C$4*N2O!AR15+char!$C$5*SF6_NF3!AR15+char!$C$6*'CH4'!AR15+char!$C$7*HFC!AR15+char!$C$8*PFC!AR15</f>
        <v>149.2053917325</v>
      </c>
      <c r="AS15" s="379">
        <f>+'CO2'!AS15+char!$C$4*N2O!AS15+char!$C$5*SF6_NF3!AS15+char!$C$6*'CH4'!AS15+char!$C$7*HFC!AS15+char!$C$8*PFC!AS15</f>
        <v>0</v>
      </c>
      <c r="AT15" s="165">
        <f>+'CO2'!AT15+char!$C$4*N2O!AT15+char!$C$5*SF6_NF3!AT15+char!$C$6*'CH4'!AT15+char!$C$7*HFC!AT15+char!$C$8*PFC!AT15</f>
        <v>151.48259630290002</v>
      </c>
      <c r="AU15" s="379">
        <f>+'CO2'!AU15+char!$C$4*N2O!AU15+char!$C$5*SF6_NF3!AU15+char!$C$6*'CH4'!AU15+char!$C$7*HFC!AU15+char!$C$8*PFC!AU15</f>
        <v>0</v>
      </c>
      <c r="AV15" s="165">
        <f>+'CO2'!AV15+char!$C$4*N2O!AV15+char!$C$5*SF6_NF3!AV15+char!$C$6*'CH4'!AV15+char!$C$7*HFC!AV15+char!$C$8*PFC!AV15</f>
        <v>147.0277050741</v>
      </c>
      <c r="AW15" s="379">
        <f>+'CO2'!AW15+char!$C$4*N2O!AW15+char!$C$5*SF6_NF3!AW15+char!$C$6*'CH4'!AW15+char!$C$7*HFC!AW15+char!$C$8*PFC!AW15</f>
        <v>0</v>
      </c>
      <c r="AX15" s="165">
        <f>+'CO2'!AX15+char!$C$4*N2O!AX15+char!$C$5*SF6_NF3!AX15+char!$C$6*'CH4'!AX15+char!$C$7*HFC!AX15+char!$C$8*PFC!AX15</f>
        <v>148.25843705649999</v>
      </c>
      <c r="AY15" s="379">
        <f>+'CO2'!AY15+char!$C$4*N2O!AY15+char!$C$5*SF6_NF3!AY15+char!$C$6*'CH4'!AY15+char!$C$7*HFC!AY15+char!$C$8*PFC!AY15</f>
        <v>0</v>
      </c>
      <c r="AZ15" s="165">
        <f>+'CO2'!AZ15+char!$C$4*N2O!AZ15+char!$C$5*SF6_NF3!AZ15+char!$C$6*'CH4'!AZ15+char!$C$7*HFC!AZ15+char!$C$8*PFC!AZ15</f>
        <v>152.02160743200002</v>
      </c>
      <c r="BA15" s="379">
        <f>+'CO2'!BA15+char!$C$4*N2O!BA15+char!$C$5*SF6_NF3!BA15+char!$C$6*'CH4'!BA15+char!$C$7*HFC!BA15+char!$C$8*PFC!BA15</f>
        <v>0</v>
      </c>
      <c r="BB15" s="165">
        <f>+'CO2'!BB15+char!$C$4*N2O!BB15+char!$C$5*SF6_NF3!BB15+char!$C$6*'CH4'!BB15+char!$C$7*HFC!BB15+char!$C$8*PFC!BB15</f>
        <v>157.16738208439997</v>
      </c>
      <c r="BC15" s="379">
        <f>+'CO2'!BC15+char!$C$4*N2O!BC15+char!$C$5*SF6_NF3!BC15+char!$C$6*'CH4'!BC15+char!$C$7*HFC!BC15+char!$C$8*PFC!BC15</f>
        <v>0</v>
      </c>
      <c r="BD15" s="165">
        <f>+'CO2'!BD15+char!$C$4*N2O!BD15+char!$C$5*SF6_NF3!BD15+char!$C$6*'CH4'!BD15+char!$C$7*HFC!BD15+char!$C$8*PFC!BD15</f>
        <v>137.99954473720001</v>
      </c>
      <c r="BE15" s="379">
        <f>+'CO2'!BE15+char!$C$4*N2O!BE15+char!$C$5*SF6_NF3!BE15+char!$C$6*'CH4'!BE15+char!$C$7*HFC!BE15+char!$C$8*PFC!BE15</f>
        <v>0</v>
      </c>
      <c r="BF15" s="165">
        <f>+'CO2'!BF15+char!$C$4*N2O!BF15+char!$C$5*SF6_NF3!BF15+char!$C$6*'CH4'!BF15+char!$C$7*HFC!BF15+char!$C$8*PFC!BF15</f>
        <v>140.66816648860001</v>
      </c>
      <c r="BG15" s="379"/>
      <c r="BH15" s="225"/>
      <c r="BI15" s="184"/>
      <c r="CJ15" s="150"/>
      <c r="CK15" s="150"/>
      <c r="CL15" s="150"/>
      <c r="CM15" s="151" t="s">
        <v>703</v>
      </c>
      <c r="CN15" s="150" t="s">
        <v>1130</v>
      </c>
      <c r="CO15" s="150"/>
      <c r="CP15" s="150"/>
      <c r="CQ15" s="150"/>
      <c r="CR15" s="150"/>
      <c r="CS15" s="150"/>
      <c r="CT15" s="150"/>
    </row>
    <row r="16" spans="1:98" s="11" customFormat="1" ht="12.75" customHeight="1">
      <c r="A16" s="310"/>
      <c r="B16" s="308" t="str">
        <f>Parameters!Q15</f>
        <v>C17</v>
      </c>
      <c r="C16" s="309"/>
      <c r="D16" s="495" t="str">
        <f>Parameters!S15</f>
        <v>Manufacture of paper and paper products</v>
      </c>
      <c r="E16" s="510"/>
      <c r="F16" s="224"/>
      <c r="G16" s="379"/>
      <c r="H16" s="225"/>
      <c r="I16" s="379"/>
      <c r="J16" s="225"/>
      <c r="K16" s="379"/>
      <c r="L16" s="225"/>
      <c r="M16" s="379"/>
      <c r="N16" s="225"/>
      <c r="O16" s="379"/>
      <c r="P16" s="225"/>
      <c r="Q16" s="379"/>
      <c r="R16" s="225"/>
      <c r="S16" s="379"/>
      <c r="T16" s="225"/>
      <c r="U16" s="379"/>
      <c r="V16" s="225"/>
      <c r="W16" s="379"/>
      <c r="X16" s="225"/>
      <c r="Y16" s="379"/>
      <c r="Z16" s="225"/>
      <c r="AA16" s="379"/>
      <c r="AB16" s="225"/>
      <c r="AC16" s="379"/>
      <c r="AD16" s="225"/>
      <c r="AE16" s="379"/>
      <c r="AF16" s="165">
        <f>+'CO2'!AF16+char!$C$4*N2O!AF16+char!$C$5*SF6_NF3!AF16+char!$C$6*'CH4'!AF16+char!$C$7*HFC!AF16+char!$C$8*PFC!AF16</f>
        <v>521.19934394940003</v>
      </c>
      <c r="AG16" s="379">
        <f>+'CO2'!AG16+char!$C$4*N2O!AG16+char!$C$5*SF6_NF3!AG16+char!$C$6*'CH4'!AG16+char!$C$7*HFC!AG16+char!$C$8*PFC!AG16</f>
        <v>0</v>
      </c>
      <c r="AH16" s="165">
        <f>+'CO2'!AH16+char!$C$4*N2O!AH16+char!$C$5*SF6_NF3!AH16+char!$C$6*'CH4'!AH16+char!$C$7*HFC!AH16+char!$C$8*PFC!AH16</f>
        <v>489.29435661360003</v>
      </c>
      <c r="AI16" s="379">
        <f>+'CO2'!AI16+char!$C$4*N2O!AI16+char!$C$5*SF6_NF3!AI16+char!$C$6*'CH4'!AI16+char!$C$7*HFC!AI16+char!$C$8*PFC!AI16</f>
        <v>0</v>
      </c>
      <c r="AJ16" s="165">
        <f>+'CO2'!AJ16+char!$C$4*N2O!AJ16+char!$C$5*SF6_NF3!AJ16+char!$C$6*'CH4'!AJ16+char!$C$7*HFC!AJ16+char!$C$8*PFC!AJ16</f>
        <v>572.58384818450008</v>
      </c>
      <c r="AK16" s="379">
        <f>+'CO2'!AK16+char!$C$4*N2O!AK16+char!$C$5*SF6_NF3!AK16+char!$C$6*'CH4'!AK16+char!$C$7*HFC!AK16+char!$C$8*PFC!AK16</f>
        <v>0</v>
      </c>
      <c r="AL16" s="165">
        <f>+'CO2'!AL16+char!$C$4*N2O!AL16+char!$C$5*SF6_NF3!AL16+char!$C$6*'CH4'!AL16+char!$C$7*HFC!AL16+char!$C$8*PFC!AL16</f>
        <v>455.78779886450002</v>
      </c>
      <c r="AM16" s="379">
        <f>+'CO2'!AM16+char!$C$4*N2O!AM16+char!$C$5*SF6_NF3!AM16+char!$C$6*'CH4'!AM16+char!$C$7*HFC!AM16+char!$C$8*PFC!AM16</f>
        <v>0</v>
      </c>
      <c r="AN16" s="165">
        <f>+'CO2'!AN16+char!$C$4*N2O!AN16+char!$C$5*SF6_NF3!AN16+char!$C$6*'CH4'!AN16+char!$C$7*HFC!AN16+char!$C$8*PFC!AN16</f>
        <v>347.68004254779999</v>
      </c>
      <c r="AO16" s="379">
        <f>+'CO2'!AO16+char!$C$4*N2O!AO16+char!$C$5*SF6_NF3!AO16+char!$C$6*'CH4'!AO16+char!$C$7*HFC!AO16+char!$C$8*PFC!AO16</f>
        <v>0</v>
      </c>
      <c r="AP16" s="165">
        <f>+'CO2'!AP16+char!$C$4*N2O!AP16+char!$C$5*SF6_NF3!AP16+char!$C$6*'CH4'!AP16+char!$C$7*HFC!AP16+char!$C$8*PFC!AP16</f>
        <v>272.90221589019995</v>
      </c>
      <c r="AQ16" s="379">
        <f>+'CO2'!AQ16+char!$C$4*N2O!AQ16+char!$C$5*SF6_NF3!AQ16+char!$C$6*'CH4'!AQ16+char!$C$7*HFC!AQ16+char!$C$8*PFC!AQ16</f>
        <v>0</v>
      </c>
      <c r="AR16" s="165">
        <f>+'CO2'!AR16+char!$C$4*N2O!AR16+char!$C$5*SF6_NF3!AR16+char!$C$6*'CH4'!AR16+char!$C$7*HFC!AR16+char!$C$8*PFC!AR16</f>
        <v>229.23116825830002</v>
      </c>
      <c r="AS16" s="379">
        <f>+'CO2'!AS16+char!$C$4*N2O!AS16+char!$C$5*SF6_NF3!AS16+char!$C$6*'CH4'!AS16+char!$C$7*HFC!AS16+char!$C$8*PFC!AS16</f>
        <v>0</v>
      </c>
      <c r="AT16" s="165">
        <f>+'CO2'!AT16+char!$C$4*N2O!AT16+char!$C$5*SF6_NF3!AT16+char!$C$6*'CH4'!AT16+char!$C$7*HFC!AT16+char!$C$8*PFC!AT16</f>
        <v>212.4466935943</v>
      </c>
      <c r="AU16" s="379">
        <f>+'CO2'!AU16+char!$C$4*N2O!AU16+char!$C$5*SF6_NF3!AU16+char!$C$6*'CH4'!AU16+char!$C$7*HFC!AU16+char!$C$8*PFC!AU16</f>
        <v>0</v>
      </c>
      <c r="AV16" s="165">
        <f>+'CO2'!AV16+char!$C$4*N2O!AV16+char!$C$5*SF6_NF3!AV16+char!$C$6*'CH4'!AV16+char!$C$7*HFC!AV16+char!$C$8*PFC!AV16</f>
        <v>227.52351545510001</v>
      </c>
      <c r="AW16" s="379">
        <f>+'CO2'!AW16+char!$C$4*N2O!AW16+char!$C$5*SF6_NF3!AW16+char!$C$6*'CH4'!AW16+char!$C$7*HFC!AW16+char!$C$8*PFC!AW16</f>
        <v>0</v>
      </c>
      <c r="AX16" s="165">
        <f>+'CO2'!AX16+char!$C$4*N2O!AX16+char!$C$5*SF6_NF3!AX16+char!$C$6*'CH4'!AX16+char!$C$7*HFC!AX16+char!$C$8*PFC!AX16</f>
        <v>212.78914205770002</v>
      </c>
      <c r="AY16" s="379">
        <f>+'CO2'!AY16+char!$C$4*N2O!AY16+char!$C$5*SF6_NF3!AY16+char!$C$6*'CH4'!AY16+char!$C$7*HFC!AY16+char!$C$8*PFC!AY16</f>
        <v>0</v>
      </c>
      <c r="AZ16" s="165">
        <f>+'CO2'!AZ16+char!$C$4*N2O!AZ16+char!$C$5*SF6_NF3!AZ16+char!$C$6*'CH4'!AZ16+char!$C$7*HFC!AZ16+char!$C$8*PFC!AZ16</f>
        <v>218.18173696150001</v>
      </c>
      <c r="BA16" s="379">
        <f>+'CO2'!BA16+char!$C$4*N2O!BA16+char!$C$5*SF6_NF3!BA16+char!$C$6*'CH4'!BA16+char!$C$7*HFC!BA16+char!$C$8*PFC!BA16</f>
        <v>0</v>
      </c>
      <c r="BB16" s="165">
        <f>+'CO2'!BB16+char!$C$4*N2O!BB16+char!$C$5*SF6_NF3!BB16+char!$C$6*'CH4'!BB16+char!$C$7*HFC!BB16+char!$C$8*PFC!BB16</f>
        <v>219.5019874594</v>
      </c>
      <c r="BC16" s="379">
        <f>+'CO2'!BC16+char!$C$4*N2O!BC16+char!$C$5*SF6_NF3!BC16+char!$C$6*'CH4'!BC16+char!$C$7*HFC!BC16+char!$C$8*PFC!BC16</f>
        <v>0</v>
      </c>
      <c r="BD16" s="165">
        <f>+'CO2'!BD16+char!$C$4*N2O!BD16+char!$C$5*SF6_NF3!BD16+char!$C$6*'CH4'!BD16+char!$C$7*HFC!BD16+char!$C$8*PFC!BD16</f>
        <v>185.97635860790001</v>
      </c>
      <c r="BE16" s="379">
        <f>+'CO2'!BE16+char!$C$4*N2O!BE16+char!$C$5*SF6_NF3!BE16+char!$C$6*'CH4'!BE16+char!$C$7*HFC!BE16+char!$C$8*PFC!BE16</f>
        <v>0</v>
      </c>
      <c r="BF16" s="165">
        <f>+'CO2'!BF16+char!$C$4*N2O!BF16+char!$C$5*SF6_NF3!BF16+char!$C$6*'CH4'!BF16+char!$C$7*HFC!BF16+char!$C$8*PFC!BF16</f>
        <v>220.94908897339999</v>
      </c>
      <c r="BG16" s="379"/>
      <c r="BH16" s="225"/>
      <c r="BI16" s="184"/>
      <c r="CJ16" s="150"/>
      <c r="CK16" s="150"/>
      <c r="CL16" s="150"/>
      <c r="CM16" s="151" t="s">
        <v>707</v>
      </c>
      <c r="CN16" s="150" t="s">
        <v>1130</v>
      </c>
      <c r="CO16" s="150"/>
      <c r="CP16" s="150"/>
      <c r="CQ16" s="150"/>
      <c r="CR16" s="150"/>
      <c r="CS16" s="150"/>
      <c r="CT16" s="150"/>
    </row>
    <row r="17" spans="1:98" s="11" customFormat="1" ht="12.75" customHeight="1">
      <c r="A17" s="310"/>
      <c r="B17" s="308" t="str">
        <f>Parameters!Q16</f>
        <v>C18</v>
      </c>
      <c r="C17" s="309"/>
      <c r="D17" s="495" t="str">
        <f>Parameters!S16</f>
        <v>Printing and reproduction of recorded media</v>
      </c>
      <c r="E17" s="510"/>
      <c r="F17" s="224"/>
      <c r="G17" s="379"/>
      <c r="H17" s="225"/>
      <c r="I17" s="379"/>
      <c r="J17" s="225"/>
      <c r="K17" s="379"/>
      <c r="L17" s="225"/>
      <c r="M17" s="379"/>
      <c r="N17" s="225"/>
      <c r="O17" s="379"/>
      <c r="P17" s="225"/>
      <c r="Q17" s="379"/>
      <c r="R17" s="225"/>
      <c r="S17" s="379"/>
      <c r="T17" s="225"/>
      <c r="U17" s="379"/>
      <c r="V17" s="225"/>
      <c r="W17" s="379"/>
      <c r="X17" s="225"/>
      <c r="Y17" s="379"/>
      <c r="Z17" s="225"/>
      <c r="AA17" s="379"/>
      <c r="AB17" s="225"/>
      <c r="AC17" s="379"/>
      <c r="AD17" s="225"/>
      <c r="AE17" s="379"/>
      <c r="AF17" s="165">
        <f>+'CO2'!AF17+char!$C$4*N2O!AF17+char!$C$5*SF6_NF3!AF17+char!$C$6*'CH4'!AF17+char!$C$7*HFC!AF17+char!$C$8*PFC!AF17</f>
        <v>17.728160086900001</v>
      </c>
      <c r="AG17" s="379">
        <f>+'CO2'!AG17+char!$C$4*N2O!AG17+char!$C$5*SF6_NF3!AG17+char!$C$6*'CH4'!AG17+char!$C$7*HFC!AG17+char!$C$8*PFC!AG17</f>
        <v>0</v>
      </c>
      <c r="AH17" s="165">
        <f>+'CO2'!AH17+char!$C$4*N2O!AH17+char!$C$5*SF6_NF3!AH17+char!$C$6*'CH4'!AH17+char!$C$7*HFC!AH17+char!$C$8*PFC!AH17</f>
        <v>6.9102977189999999</v>
      </c>
      <c r="AI17" s="379">
        <f>+'CO2'!AI17+char!$C$4*N2O!AI17+char!$C$5*SF6_NF3!AI17+char!$C$6*'CH4'!AI17+char!$C$7*HFC!AI17+char!$C$8*PFC!AI17</f>
        <v>0</v>
      </c>
      <c r="AJ17" s="165">
        <f>+'CO2'!AJ17+char!$C$4*N2O!AJ17+char!$C$5*SF6_NF3!AJ17+char!$C$6*'CH4'!AJ17+char!$C$7*HFC!AJ17+char!$C$8*PFC!AJ17</f>
        <v>10.6560709726</v>
      </c>
      <c r="AK17" s="379">
        <f>+'CO2'!AK17+char!$C$4*N2O!AK17+char!$C$5*SF6_NF3!AK17+char!$C$6*'CH4'!AK17+char!$C$7*HFC!AK17+char!$C$8*PFC!AK17</f>
        <v>0</v>
      </c>
      <c r="AL17" s="165">
        <f>+'CO2'!AL17+char!$C$4*N2O!AL17+char!$C$5*SF6_NF3!AL17+char!$C$6*'CH4'!AL17+char!$C$7*HFC!AL17+char!$C$8*PFC!AL17</f>
        <v>7.5721307284000003</v>
      </c>
      <c r="AM17" s="379">
        <f>+'CO2'!AM17+char!$C$4*N2O!AM17+char!$C$5*SF6_NF3!AM17+char!$C$6*'CH4'!AM17+char!$C$7*HFC!AM17+char!$C$8*PFC!AM17</f>
        <v>0</v>
      </c>
      <c r="AN17" s="165">
        <f>+'CO2'!AN17+char!$C$4*N2O!AN17+char!$C$5*SF6_NF3!AN17+char!$C$6*'CH4'!AN17+char!$C$7*HFC!AN17+char!$C$8*PFC!AN17</f>
        <v>5.5544974091000006</v>
      </c>
      <c r="AO17" s="379">
        <f>+'CO2'!AO17+char!$C$4*N2O!AO17+char!$C$5*SF6_NF3!AO17+char!$C$6*'CH4'!AO17+char!$C$7*HFC!AO17+char!$C$8*PFC!AO17</f>
        <v>0</v>
      </c>
      <c r="AP17" s="165">
        <f>+'CO2'!AP17+char!$C$4*N2O!AP17+char!$C$5*SF6_NF3!AP17+char!$C$6*'CH4'!AP17+char!$C$7*HFC!AP17+char!$C$8*PFC!AP17</f>
        <v>4.2604547293999993</v>
      </c>
      <c r="AQ17" s="379">
        <f>+'CO2'!AQ17+char!$C$4*N2O!AQ17+char!$C$5*SF6_NF3!AQ17+char!$C$6*'CH4'!AQ17+char!$C$7*HFC!AQ17+char!$C$8*PFC!AQ17</f>
        <v>0</v>
      </c>
      <c r="AR17" s="165">
        <f>+'CO2'!AR17+char!$C$4*N2O!AR17+char!$C$5*SF6_NF3!AR17+char!$C$6*'CH4'!AR17+char!$C$7*HFC!AR17+char!$C$8*PFC!AR17</f>
        <v>5.7558548223999999</v>
      </c>
      <c r="AS17" s="379">
        <f>+'CO2'!AS17+char!$C$4*N2O!AS17+char!$C$5*SF6_NF3!AS17+char!$C$6*'CH4'!AS17+char!$C$7*HFC!AS17+char!$C$8*PFC!AS17</f>
        <v>0</v>
      </c>
      <c r="AT17" s="165">
        <f>+'CO2'!AT17+char!$C$4*N2O!AT17+char!$C$5*SF6_NF3!AT17+char!$C$6*'CH4'!AT17+char!$C$7*HFC!AT17+char!$C$8*PFC!AT17</f>
        <v>5.2116914534999994</v>
      </c>
      <c r="AU17" s="379">
        <f>+'CO2'!AU17+char!$C$4*N2O!AU17+char!$C$5*SF6_NF3!AU17+char!$C$6*'CH4'!AU17+char!$C$7*HFC!AU17+char!$C$8*PFC!AU17</f>
        <v>0</v>
      </c>
      <c r="AV17" s="165">
        <f>+'CO2'!AV17+char!$C$4*N2O!AV17+char!$C$5*SF6_NF3!AV17+char!$C$6*'CH4'!AV17+char!$C$7*HFC!AV17+char!$C$8*PFC!AV17</f>
        <v>2.4908298591999998</v>
      </c>
      <c r="AW17" s="379">
        <f>+'CO2'!AW17+char!$C$4*N2O!AW17+char!$C$5*SF6_NF3!AW17+char!$C$6*'CH4'!AW17+char!$C$7*HFC!AW17+char!$C$8*PFC!AW17</f>
        <v>0</v>
      </c>
      <c r="AX17" s="165">
        <f>+'CO2'!AX17+char!$C$4*N2O!AX17+char!$C$5*SF6_NF3!AX17+char!$C$6*'CH4'!AX17+char!$C$7*HFC!AX17+char!$C$8*PFC!AX17</f>
        <v>4.2311510906000001</v>
      </c>
      <c r="AY17" s="379">
        <f>+'CO2'!AY17+char!$C$4*N2O!AY17+char!$C$5*SF6_NF3!AY17+char!$C$6*'CH4'!AY17+char!$C$7*HFC!AY17+char!$C$8*PFC!AY17</f>
        <v>0</v>
      </c>
      <c r="AZ17" s="165">
        <f>+'CO2'!AZ17+char!$C$4*N2O!AZ17+char!$C$5*SF6_NF3!AZ17+char!$C$6*'CH4'!AZ17+char!$C$7*HFC!AZ17+char!$C$8*PFC!AZ17</f>
        <v>3.5087385294</v>
      </c>
      <c r="BA17" s="379">
        <f>+'CO2'!BA17+char!$C$4*N2O!BA17+char!$C$5*SF6_NF3!BA17+char!$C$6*'CH4'!BA17+char!$C$7*HFC!BA17+char!$C$8*PFC!BA17</f>
        <v>0</v>
      </c>
      <c r="BB17" s="165">
        <f>+'CO2'!BB17+char!$C$4*N2O!BB17+char!$C$5*SF6_NF3!BB17+char!$C$6*'CH4'!BB17+char!$C$7*HFC!BB17+char!$C$8*PFC!BB17</f>
        <v>3.8576914456999996</v>
      </c>
      <c r="BC17" s="379">
        <f>+'CO2'!BC17+char!$C$4*N2O!BC17+char!$C$5*SF6_NF3!BC17+char!$C$6*'CH4'!BC17+char!$C$7*HFC!BC17+char!$C$8*PFC!BC17</f>
        <v>0</v>
      </c>
      <c r="BD17" s="165">
        <f>+'CO2'!BD17+char!$C$4*N2O!BD17+char!$C$5*SF6_NF3!BD17+char!$C$6*'CH4'!BD17+char!$C$7*HFC!BD17+char!$C$8*PFC!BD17</f>
        <v>2.8806912159999998</v>
      </c>
      <c r="BE17" s="379">
        <f>+'CO2'!BE17+char!$C$4*N2O!BE17+char!$C$5*SF6_NF3!BE17+char!$C$6*'CH4'!BE17+char!$C$7*HFC!BE17+char!$C$8*PFC!BE17</f>
        <v>0</v>
      </c>
      <c r="BF17" s="165">
        <f>+'CO2'!BF17+char!$C$4*N2O!BF17+char!$C$5*SF6_NF3!BF17+char!$C$6*'CH4'!BF17+char!$C$7*HFC!BF17+char!$C$8*PFC!BF17</f>
        <v>2.3496934087999999</v>
      </c>
      <c r="BG17" s="379"/>
      <c r="BH17" s="225"/>
      <c r="BI17" s="184"/>
      <c r="CJ17" s="150"/>
      <c r="CK17" s="150"/>
      <c r="CL17" s="150"/>
      <c r="CM17" s="151" t="s">
        <v>711</v>
      </c>
      <c r="CN17" s="150" t="s">
        <v>1130</v>
      </c>
      <c r="CO17" s="150"/>
      <c r="CP17" s="150"/>
      <c r="CQ17" s="150"/>
      <c r="CR17" s="150"/>
      <c r="CS17" s="150"/>
      <c r="CT17" s="150"/>
    </row>
    <row r="18" spans="1:98" s="12" customFormat="1" ht="12.75" customHeight="1">
      <c r="A18" s="26"/>
      <c r="B18" s="89" t="str">
        <f>Parameters!Q17</f>
        <v>C19</v>
      </c>
      <c r="C18" s="90"/>
      <c r="D18" s="504" t="str">
        <f>Parameters!S17</f>
        <v>Manufacture of coke and refined petroleum products</v>
      </c>
      <c r="E18" s="505"/>
      <c r="F18" s="226"/>
      <c r="G18" s="379"/>
      <c r="H18" s="227"/>
      <c r="I18" s="379"/>
      <c r="J18" s="227"/>
      <c r="K18" s="379"/>
      <c r="L18" s="227"/>
      <c r="M18" s="379"/>
      <c r="N18" s="227"/>
      <c r="O18" s="379"/>
      <c r="P18" s="227"/>
      <c r="Q18" s="379"/>
      <c r="R18" s="227"/>
      <c r="S18" s="379"/>
      <c r="T18" s="227"/>
      <c r="U18" s="379"/>
      <c r="V18" s="227"/>
      <c r="W18" s="379"/>
      <c r="X18" s="227"/>
      <c r="Y18" s="379"/>
      <c r="Z18" s="227"/>
      <c r="AA18" s="379"/>
      <c r="AB18" s="227"/>
      <c r="AC18" s="379"/>
      <c r="AD18" s="227"/>
      <c r="AE18" s="379"/>
      <c r="AF18" s="166">
        <f>+'CO2'!AF18+char!$C$4*N2O!AF18+char!$C$5*SF6_NF3!AF18+char!$C$6*'CH4'!AF18+char!$C$7*HFC!AF18+char!$C$8*PFC!AF18</f>
        <v>5783.1283058061999</v>
      </c>
      <c r="AG18" s="379" t="e">
        <f>+'CO2'!AG18+char!$C$4*N2O!AG18+char!$C$5*SF6_NF3!AG18+char!$C$6*'CH4'!AG18+char!$C$7*HFC!AG18+char!$C$8*PFC!AG18</f>
        <v>#VALUE!</v>
      </c>
      <c r="AH18" s="166">
        <f>+'CO2'!AH18+char!$C$4*N2O!AH18+char!$C$5*SF6_NF3!AH18+char!$C$6*'CH4'!AH18+char!$C$7*HFC!AH18+char!$C$8*PFC!AH18</f>
        <v>5011.5394883268</v>
      </c>
      <c r="AI18" s="379" t="e">
        <f>+'CO2'!AI18+char!$C$4*N2O!AI18+char!$C$5*SF6_NF3!AI18+char!$C$6*'CH4'!AI18+char!$C$7*HFC!AI18+char!$C$8*PFC!AI18</f>
        <v>#VALUE!</v>
      </c>
      <c r="AJ18" s="166">
        <f>+'CO2'!AJ18+char!$C$4*N2O!AJ18+char!$C$5*SF6_NF3!AJ18+char!$C$6*'CH4'!AJ18+char!$C$7*HFC!AJ18+char!$C$8*PFC!AJ18</f>
        <v>5324.3695278744999</v>
      </c>
      <c r="AK18" s="379" t="e">
        <f>+'CO2'!AK18+char!$C$4*N2O!AK18+char!$C$5*SF6_NF3!AK18+char!$C$6*'CH4'!AK18+char!$C$7*HFC!AK18+char!$C$8*PFC!AK18</f>
        <v>#VALUE!</v>
      </c>
      <c r="AL18" s="166">
        <f>+'CO2'!AL18+char!$C$4*N2O!AL18+char!$C$5*SF6_NF3!AL18+char!$C$6*'CH4'!AL18+char!$C$7*HFC!AL18+char!$C$8*PFC!AL18</f>
        <v>5451.3860514853004</v>
      </c>
      <c r="AM18" s="379" t="e">
        <f>+'CO2'!AM18+char!$C$4*N2O!AM18+char!$C$5*SF6_NF3!AM18+char!$C$6*'CH4'!AM18+char!$C$7*HFC!AM18+char!$C$8*PFC!AM18</f>
        <v>#VALUE!</v>
      </c>
      <c r="AN18" s="166">
        <f>+'CO2'!AN18+char!$C$4*N2O!AN18+char!$C$5*SF6_NF3!AN18+char!$C$6*'CH4'!AN18+char!$C$7*HFC!AN18+char!$C$8*PFC!AN18</f>
        <v>5377.5167832531997</v>
      </c>
      <c r="AO18" s="379" t="e">
        <f>+'CO2'!AO18+char!$C$4*N2O!AO18+char!$C$5*SF6_NF3!AO18+char!$C$6*'CH4'!AO18+char!$C$7*HFC!AO18+char!$C$8*PFC!AO18</f>
        <v>#VALUE!</v>
      </c>
      <c r="AP18" s="166">
        <f>+'CO2'!AP18+char!$C$4*N2O!AP18+char!$C$5*SF6_NF3!AP18+char!$C$6*'CH4'!AP18+char!$C$7*HFC!AP18+char!$C$8*PFC!AP18</f>
        <v>5284.573486241301</v>
      </c>
      <c r="AQ18" s="379" t="e">
        <f>+'CO2'!AQ18+char!$C$4*N2O!AQ18+char!$C$5*SF6_NF3!AQ18+char!$C$6*'CH4'!AQ18+char!$C$7*HFC!AQ18+char!$C$8*PFC!AQ18</f>
        <v>#VALUE!</v>
      </c>
      <c r="AR18" s="166">
        <f>+'CO2'!AR18+char!$C$4*N2O!AR18+char!$C$5*SF6_NF3!AR18+char!$C$6*'CH4'!AR18+char!$C$7*HFC!AR18+char!$C$8*PFC!AR18</f>
        <v>4992.8727993869006</v>
      </c>
      <c r="AS18" s="379" t="e">
        <f>+'CO2'!AS18+char!$C$4*N2O!AS18+char!$C$5*SF6_NF3!AS18+char!$C$6*'CH4'!AS18+char!$C$7*HFC!AS18+char!$C$8*PFC!AS18</f>
        <v>#VALUE!</v>
      </c>
      <c r="AT18" s="166">
        <f>+'CO2'!AT18+char!$C$4*N2O!AT18+char!$C$5*SF6_NF3!AT18+char!$C$6*'CH4'!AT18+char!$C$7*HFC!AT18+char!$C$8*PFC!AT18</f>
        <v>5495.9101860718001</v>
      </c>
      <c r="AU18" s="379" t="e">
        <f>+'CO2'!AU18+char!$C$4*N2O!AU18+char!$C$5*SF6_NF3!AU18+char!$C$6*'CH4'!AU18+char!$C$7*HFC!AU18+char!$C$8*PFC!AU18</f>
        <v>#VALUE!</v>
      </c>
      <c r="AV18" s="166">
        <f>+'CO2'!AV18+char!$C$4*N2O!AV18+char!$C$5*SF6_NF3!AV18+char!$C$6*'CH4'!AV18+char!$C$7*HFC!AV18+char!$C$8*PFC!AV18</f>
        <v>5016.3890928307001</v>
      </c>
      <c r="AW18" s="379" t="e">
        <f>+'CO2'!AW18+char!$C$4*N2O!AW18+char!$C$5*SF6_NF3!AW18+char!$C$6*'CH4'!AW18+char!$C$7*HFC!AW18+char!$C$8*PFC!AW18</f>
        <v>#VALUE!</v>
      </c>
      <c r="AX18" s="166">
        <f>+'CO2'!AX18+char!$C$4*N2O!AX18+char!$C$5*SF6_NF3!AX18+char!$C$6*'CH4'!AX18+char!$C$7*HFC!AX18+char!$C$8*PFC!AX18</f>
        <v>5013.3200552973003</v>
      </c>
      <c r="AY18" s="379" t="e">
        <f>+'CO2'!AY18+char!$C$4*N2O!AY18+char!$C$5*SF6_NF3!AY18+char!$C$6*'CH4'!AY18+char!$C$7*HFC!AY18+char!$C$8*PFC!AY18</f>
        <v>#VALUE!</v>
      </c>
      <c r="AZ18" s="166">
        <f>+'CO2'!AZ18+char!$C$4*N2O!AZ18+char!$C$5*SF6_NF3!AZ18+char!$C$6*'CH4'!AZ18+char!$C$7*HFC!AZ18+char!$C$8*PFC!AZ18</f>
        <v>5158.7081108439006</v>
      </c>
      <c r="BA18" s="379" t="e">
        <f>+'CO2'!BA18+char!$C$4*N2O!BA18+char!$C$5*SF6_NF3!BA18+char!$C$6*'CH4'!BA18+char!$C$7*HFC!BA18+char!$C$8*PFC!BA18</f>
        <v>#VALUE!</v>
      </c>
      <c r="BB18" s="166">
        <f>+'CO2'!BB18+char!$C$4*N2O!BB18+char!$C$5*SF6_NF3!BB18+char!$C$6*'CH4'!BB18+char!$C$7*HFC!BB18+char!$C$8*PFC!BB18</f>
        <v>4696.9974403590013</v>
      </c>
      <c r="BC18" s="379" t="e">
        <f>+'CO2'!BC18+char!$C$4*N2O!BC18+char!$C$5*SF6_NF3!BC18+char!$C$6*'CH4'!BC18+char!$C$7*HFC!BC18+char!$C$8*PFC!BC18</f>
        <v>#VALUE!</v>
      </c>
      <c r="BD18" s="166">
        <f>+'CO2'!BD18+char!$C$4*N2O!BD18+char!$C$5*SF6_NF3!BD18+char!$C$6*'CH4'!BD18+char!$C$7*HFC!BD18+char!$C$8*PFC!BD18</f>
        <v>4731.4478716353005</v>
      </c>
      <c r="BE18" s="379" t="e">
        <f>+'CO2'!BE18+char!$C$4*N2O!BE18+char!$C$5*SF6_NF3!BE18+char!$C$6*'CH4'!BE18+char!$C$7*HFC!BE18+char!$C$8*PFC!BE18</f>
        <v>#VALUE!</v>
      </c>
      <c r="BF18" s="166">
        <f>+'CO2'!BF18+char!$C$4*N2O!BF18+char!$C$5*SF6_NF3!BF18+char!$C$6*'CH4'!BF18+char!$C$7*HFC!BF18+char!$C$8*PFC!BF18</f>
        <v>4774.0766317416001</v>
      </c>
      <c r="BG18" s="379" t="s">
        <v>387</v>
      </c>
      <c r="BH18" s="227"/>
      <c r="BI18" s="184"/>
      <c r="CJ18" s="150"/>
      <c r="CK18" s="150"/>
      <c r="CL18" s="150"/>
      <c r="CM18" s="151" t="s">
        <v>716</v>
      </c>
      <c r="CN18" s="150" t="s">
        <v>1130</v>
      </c>
      <c r="CO18" s="150"/>
      <c r="CP18" s="150"/>
      <c r="CQ18" s="150"/>
      <c r="CR18" s="150"/>
      <c r="CS18" s="150"/>
      <c r="CT18" s="150"/>
    </row>
    <row r="19" spans="1:98" s="11" customFormat="1" ht="12.75" customHeight="1">
      <c r="A19" s="26"/>
      <c r="B19" s="89" t="str">
        <f>Parameters!Q18</f>
        <v>C20</v>
      </c>
      <c r="C19" s="90"/>
      <c r="D19" s="504" t="str">
        <f>Parameters!S18</f>
        <v>Manufacture of chemicals and chemical products</v>
      </c>
      <c r="E19" s="505"/>
      <c r="F19" s="226"/>
      <c r="G19" s="379"/>
      <c r="H19" s="227"/>
      <c r="I19" s="379"/>
      <c r="J19" s="227"/>
      <c r="K19" s="379"/>
      <c r="L19" s="227"/>
      <c r="M19" s="379"/>
      <c r="N19" s="227"/>
      <c r="O19" s="379"/>
      <c r="P19" s="227"/>
      <c r="Q19" s="379"/>
      <c r="R19" s="227"/>
      <c r="S19" s="379"/>
      <c r="T19" s="227"/>
      <c r="U19" s="379"/>
      <c r="V19" s="227"/>
      <c r="W19" s="379"/>
      <c r="X19" s="227"/>
      <c r="Y19" s="379"/>
      <c r="Z19" s="227"/>
      <c r="AA19" s="379"/>
      <c r="AB19" s="227"/>
      <c r="AC19" s="379"/>
      <c r="AD19" s="227"/>
      <c r="AE19" s="379"/>
      <c r="AF19" s="166">
        <f>+'CO2'!AF19+char!$C$4*N2O!AF19+char!$C$5*SF6_NF3!AF19+char!$C$6*'CH4'!AF19+char!$C$7*HFC!AF19+char!$C$8*PFC!AF19</f>
        <v>0</v>
      </c>
      <c r="AG19" s="379" t="e">
        <f>+'CO2'!AG19+char!$C$4*N2O!AG19+char!$C$5*SF6_NF3!AG19+char!$C$6*'CH4'!AG19+char!$C$7*HFC!AG19+char!$C$8*PFC!AG19</f>
        <v>#VALUE!</v>
      </c>
      <c r="AH19" s="166">
        <f>+'CO2'!AH19+char!$C$4*N2O!AH19+char!$C$5*SF6_NF3!AH19+char!$C$6*'CH4'!AH19+char!$C$7*HFC!AH19+char!$C$8*PFC!AH19</f>
        <v>0</v>
      </c>
      <c r="AI19" s="379" t="e">
        <f>+'CO2'!AI19+char!$C$4*N2O!AI19+char!$C$5*SF6_NF3!AI19+char!$C$6*'CH4'!AI19+char!$C$7*HFC!AI19+char!$C$8*PFC!AI19</f>
        <v>#VALUE!</v>
      </c>
      <c r="AJ19" s="166">
        <f>+'CO2'!AJ19+char!$C$4*N2O!AJ19+char!$C$5*SF6_NF3!AJ19+char!$C$6*'CH4'!AJ19+char!$C$7*HFC!AJ19+char!$C$8*PFC!AJ19</f>
        <v>0</v>
      </c>
      <c r="AK19" s="379" t="e">
        <f>+'CO2'!AK19+char!$C$4*N2O!AK19+char!$C$5*SF6_NF3!AK19+char!$C$6*'CH4'!AK19+char!$C$7*HFC!AK19+char!$C$8*PFC!AK19</f>
        <v>#VALUE!</v>
      </c>
      <c r="AL19" s="166">
        <f>+'CO2'!AL19+char!$C$4*N2O!AL19+char!$C$5*SF6_NF3!AL19+char!$C$6*'CH4'!AL19+char!$C$7*HFC!AL19+char!$C$8*PFC!AL19</f>
        <v>0</v>
      </c>
      <c r="AM19" s="379" t="e">
        <f>+'CO2'!AM19+char!$C$4*N2O!AM19+char!$C$5*SF6_NF3!AM19+char!$C$6*'CH4'!AM19+char!$C$7*HFC!AM19+char!$C$8*PFC!AM19</f>
        <v>#VALUE!</v>
      </c>
      <c r="AN19" s="166">
        <f>+'CO2'!AN19+char!$C$4*N2O!AN19+char!$C$5*SF6_NF3!AN19+char!$C$6*'CH4'!AN19+char!$C$7*HFC!AN19+char!$C$8*PFC!AN19</f>
        <v>0</v>
      </c>
      <c r="AO19" s="379" t="e">
        <f>+'CO2'!AO19+char!$C$4*N2O!AO19+char!$C$5*SF6_NF3!AO19+char!$C$6*'CH4'!AO19+char!$C$7*HFC!AO19+char!$C$8*PFC!AO19</f>
        <v>#VALUE!</v>
      </c>
      <c r="AP19" s="166">
        <f>+'CO2'!AP19+char!$C$4*N2O!AP19+char!$C$5*SF6_NF3!AP19+char!$C$6*'CH4'!AP19+char!$C$7*HFC!AP19+char!$C$8*PFC!AP19</f>
        <v>0</v>
      </c>
      <c r="AQ19" s="379" t="e">
        <f>+'CO2'!AQ19+char!$C$4*N2O!AQ19+char!$C$5*SF6_NF3!AQ19+char!$C$6*'CH4'!AQ19+char!$C$7*HFC!AQ19+char!$C$8*PFC!AQ19</f>
        <v>#VALUE!</v>
      </c>
      <c r="AR19" s="166">
        <f>+'CO2'!AR19+char!$C$4*N2O!AR19+char!$C$5*SF6_NF3!AR19+char!$C$6*'CH4'!AR19+char!$C$7*HFC!AR19+char!$C$8*PFC!AR19</f>
        <v>0</v>
      </c>
      <c r="AS19" s="379" t="e">
        <f>+'CO2'!AS19+char!$C$4*N2O!AS19+char!$C$5*SF6_NF3!AS19+char!$C$6*'CH4'!AS19+char!$C$7*HFC!AS19+char!$C$8*PFC!AS19</f>
        <v>#VALUE!</v>
      </c>
      <c r="AT19" s="166">
        <f>+'CO2'!AT19+char!$C$4*N2O!AT19+char!$C$5*SF6_NF3!AT19+char!$C$6*'CH4'!AT19+char!$C$7*HFC!AT19+char!$C$8*PFC!AT19</f>
        <v>0</v>
      </c>
      <c r="AU19" s="379" t="e">
        <f>+'CO2'!AU19+char!$C$4*N2O!AU19+char!$C$5*SF6_NF3!AU19+char!$C$6*'CH4'!AU19+char!$C$7*HFC!AU19+char!$C$8*PFC!AU19</f>
        <v>#VALUE!</v>
      </c>
      <c r="AV19" s="166">
        <f>+'CO2'!AV19+char!$C$4*N2O!AV19+char!$C$5*SF6_NF3!AV19+char!$C$6*'CH4'!AV19+char!$C$7*HFC!AV19+char!$C$8*PFC!AV19</f>
        <v>0</v>
      </c>
      <c r="AW19" s="379" t="e">
        <f>+'CO2'!AW19+char!$C$4*N2O!AW19+char!$C$5*SF6_NF3!AW19+char!$C$6*'CH4'!AW19+char!$C$7*HFC!AW19+char!$C$8*PFC!AW19</f>
        <v>#VALUE!</v>
      </c>
      <c r="AX19" s="166">
        <f>+'CO2'!AX19+char!$C$4*N2O!AX19+char!$C$5*SF6_NF3!AX19+char!$C$6*'CH4'!AX19+char!$C$7*HFC!AX19+char!$C$8*PFC!AX19</f>
        <v>0</v>
      </c>
      <c r="AY19" s="379" t="e">
        <f>+'CO2'!AY19+char!$C$4*N2O!AY19+char!$C$5*SF6_NF3!AY19+char!$C$6*'CH4'!AY19+char!$C$7*HFC!AY19+char!$C$8*PFC!AY19</f>
        <v>#VALUE!</v>
      </c>
      <c r="AZ19" s="166">
        <f>+'CO2'!AZ19+char!$C$4*N2O!AZ19+char!$C$5*SF6_NF3!AZ19+char!$C$6*'CH4'!AZ19+char!$C$7*HFC!AZ19+char!$C$8*PFC!AZ19</f>
        <v>0</v>
      </c>
      <c r="BA19" s="379" t="e">
        <f>+'CO2'!BA19+char!$C$4*N2O!BA19+char!$C$5*SF6_NF3!BA19+char!$C$6*'CH4'!BA19+char!$C$7*HFC!BA19+char!$C$8*PFC!BA19</f>
        <v>#VALUE!</v>
      </c>
      <c r="BB19" s="166">
        <f>+'CO2'!BB19+char!$C$4*N2O!BB19+char!$C$5*SF6_NF3!BB19+char!$C$6*'CH4'!BB19+char!$C$7*HFC!BB19+char!$C$8*PFC!BB19</f>
        <v>0</v>
      </c>
      <c r="BC19" s="379" t="e">
        <f>+'CO2'!BC19+char!$C$4*N2O!BC19+char!$C$5*SF6_NF3!BC19+char!$C$6*'CH4'!BC19+char!$C$7*HFC!BC19+char!$C$8*PFC!BC19</f>
        <v>#VALUE!</v>
      </c>
      <c r="BD19" s="166">
        <f>+'CO2'!BD19+char!$C$4*N2O!BD19+char!$C$5*SF6_NF3!BD19+char!$C$6*'CH4'!BD19+char!$C$7*HFC!BD19+char!$C$8*PFC!BD19</f>
        <v>0</v>
      </c>
      <c r="BE19" s="379" t="e">
        <f>+'CO2'!BE19+char!$C$4*N2O!BE19+char!$C$5*SF6_NF3!BE19+char!$C$6*'CH4'!BE19+char!$C$7*HFC!BE19+char!$C$8*PFC!BE19</f>
        <v>#VALUE!</v>
      </c>
      <c r="BF19" s="166">
        <f>+'CO2'!BF19+char!$C$4*N2O!BF19+char!$C$5*SF6_NF3!BF19+char!$C$6*'CH4'!BF19+char!$C$7*HFC!BF19+char!$C$8*PFC!BF19</f>
        <v>0</v>
      </c>
      <c r="BG19" s="379" t="s">
        <v>387</v>
      </c>
      <c r="BH19" s="227"/>
      <c r="BI19" s="184"/>
      <c r="CJ19" s="150"/>
      <c r="CK19" s="150"/>
      <c r="CL19" s="150"/>
      <c r="CM19" s="151" t="s">
        <v>723</v>
      </c>
      <c r="CN19" s="150" t="s">
        <v>1130</v>
      </c>
      <c r="CO19" s="150"/>
      <c r="CP19" s="150"/>
      <c r="CQ19" s="150"/>
      <c r="CR19" s="150"/>
      <c r="CS19" s="150"/>
      <c r="CT19" s="150"/>
    </row>
    <row r="20" spans="1:98" s="11" customFormat="1" ht="12.75" customHeight="1">
      <c r="A20" s="26"/>
      <c r="B20" s="89" t="str">
        <f>Parameters!Q19</f>
        <v>C21</v>
      </c>
      <c r="C20" s="90"/>
      <c r="D20" s="504" t="str">
        <f>Parameters!S19</f>
        <v>Manufacture of basic pharmaceutical products and pharmaceutical preparations</v>
      </c>
      <c r="E20" s="505"/>
      <c r="F20" s="226"/>
      <c r="G20" s="379"/>
      <c r="H20" s="227"/>
      <c r="I20" s="379"/>
      <c r="J20" s="227"/>
      <c r="K20" s="379"/>
      <c r="L20" s="227"/>
      <c r="M20" s="379"/>
      <c r="N20" s="227"/>
      <c r="O20" s="379"/>
      <c r="P20" s="227"/>
      <c r="Q20" s="379"/>
      <c r="R20" s="227"/>
      <c r="S20" s="379"/>
      <c r="T20" s="227"/>
      <c r="U20" s="379"/>
      <c r="V20" s="227"/>
      <c r="W20" s="379"/>
      <c r="X20" s="227"/>
      <c r="Y20" s="379"/>
      <c r="Z20" s="227"/>
      <c r="AA20" s="379"/>
      <c r="AB20" s="227"/>
      <c r="AC20" s="379"/>
      <c r="AD20" s="227"/>
      <c r="AE20" s="379"/>
      <c r="AF20" s="166">
        <f>+'CO2'!AF20+char!$C$4*N2O!AF20+char!$C$5*SF6_NF3!AF20+char!$C$6*'CH4'!AF20+char!$C$7*HFC!AF20+char!$C$8*PFC!AF20</f>
        <v>0</v>
      </c>
      <c r="AG20" s="379" t="e">
        <f>+'CO2'!AG20+char!$C$4*N2O!AG20+char!$C$5*SF6_NF3!AG20+char!$C$6*'CH4'!AG20+char!$C$7*HFC!AG20+char!$C$8*PFC!AG20</f>
        <v>#VALUE!</v>
      </c>
      <c r="AH20" s="166">
        <f>+'CO2'!AH20+char!$C$4*N2O!AH20+char!$C$5*SF6_NF3!AH20+char!$C$6*'CH4'!AH20+char!$C$7*HFC!AH20+char!$C$8*PFC!AH20</f>
        <v>0</v>
      </c>
      <c r="AI20" s="379" t="e">
        <f>+'CO2'!AI20+char!$C$4*N2O!AI20+char!$C$5*SF6_NF3!AI20+char!$C$6*'CH4'!AI20+char!$C$7*HFC!AI20+char!$C$8*PFC!AI20</f>
        <v>#VALUE!</v>
      </c>
      <c r="AJ20" s="166">
        <f>+'CO2'!AJ20+char!$C$4*N2O!AJ20+char!$C$5*SF6_NF3!AJ20+char!$C$6*'CH4'!AJ20+char!$C$7*HFC!AJ20+char!$C$8*PFC!AJ20</f>
        <v>0</v>
      </c>
      <c r="AK20" s="379" t="e">
        <f>+'CO2'!AK20+char!$C$4*N2O!AK20+char!$C$5*SF6_NF3!AK20+char!$C$6*'CH4'!AK20+char!$C$7*HFC!AK20+char!$C$8*PFC!AK20</f>
        <v>#VALUE!</v>
      </c>
      <c r="AL20" s="166">
        <f>+'CO2'!AL20+char!$C$4*N2O!AL20+char!$C$5*SF6_NF3!AL20+char!$C$6*'CH4'!AL20+char!$C$7*HFC!AL20+char!$C$8*PFC!AL20</f>
        <v>0</v>
      </c>
      <c r="AM20" s="379" t="e">
        <f>+'CO2'!AM20+char!$C$4*N2O!AM20+char!$C$5*SF6_NF3!AM20+char!$C$6*'CH4'!AM20+char!$C$7*HFC!AM20+char!$C$8*PFC!AM20</f>
        <v>#VALUE!</v>
      </c>
      <c r="AN20" s="166">
        <f>+'CO2'!AN20+char!$C$4*N2O!AN20+char!$C$5*SF6_NF3!AN20+char!$C$6*'CH4'!AN20+char!$C$7*HFC!AN20+char!$C$8*PFC!AN20</f>
        <v>0</v>
      </c>
      <c r="AO20" s="379" t="e">
        <f>+'CO2'!AO20+char!$C$4*N2O!AO20+char!$C$5*SF6_NF3!AO20+char!$C$6*'CH4'!AO20+char!$C$7*HFC!AO20+char!$C$8*PFC!AO20</f>
        <v>#VALUE!</v>
      </c>
      <c r="AP20" s="166">
        <f>+'CO2'!AP20+char!$C$4*N2O!AP20+char!$C$5*SF6_NF3!AP20+char!$C$6*'CH4'!AP20+char!$C$7*HFC!AP20+char!$C$8*PFC!AP20</f>
        <v>0</v>
      </c>
      <c r="AQ20" s="379" t="e">
        <f>+'CO2'!AQ20+char!$C$4*N2O!AQ20+char!$C$5*SF6_NF3!AQ20+char!$C$6*'CH4'!AQ20+char!$C$7*HFC!AQ20+char!$C$8*PFC!AQ20</f>
        <v>#VALUE!</v>
      </c>
      <c r="AR20" s="166">
        <f>+'CO2'!AR20+char!$C$4*N2O!AR20+char!$C$5*SF6_NF3!AR20+char!$C$6*'CH4'!AR20+char!$C$7*HFC!AR20+char!$C$8*PFC!AR20</f>
        <v>0</v>
      </c>
      <c r="AS20" s="379" t="e">
        <f>+'CO2'!AS20+char!$C$4*N2O!AS20+char!$C$5*SF6_NF3!AS20+char!$C$6*'CH4'!AS20+char!$C$7*HFC!AS20+char!$C$8*PFC!AS20</f>
        <v>#VALUE!</v>
      </c>
      <c r="AT20" s="166">
        <f>+'CO2'!AT20+char!$C$4*N2O!AT20+char!$C$5*SF6_NF3!AT20+char!$C$6*'CH4'!AT20+char!$C$7*HFC!AT20+char!$C$8*PFC!AT20</f>
        <v>0</v>
      </c>
      <c r="AU20" s="379" t="e">
        <f>+'CO2'!AU20+char!$C$4*N2O!AU20+char!$C$5*SF6_NF3!AU20+char!$C$6*'CH4'!AU20+char!$C$7*HFC!AU20+char!$C$8*PFC!AU20</f>
        <v>#VALUE!</v>
      </c>
      <c r="AV20" s="166">
        <f>+'CO2'!AV20+char!$C$4*N2O!AV20+char!$C$5*SF6_NF3!AV20+char!$C$6*'CH4'!AV20+char!$C$7*HFC!AV20+char!$C$8*PFC!AV20</f>
        <v>0</v>
      </c>
      <c r="AW20" s="379" t="e">
        <f>+'CO2'!AW20+char!$C$4*N2O!AW20+char!$C$5*SF6_NF3!AW20+char!$C$6*'CH4'!AW20+char!$C$7*HFC!AW20+char!$C$8*PFC!AW20</f>
        <v>#VALUE!</v>
      </c>
      <c r="AX20" s="166">
        <f>+'CO2'!AX20+char!$C$4*N2O!AX20+char!$C$5*SF6_NF3!AX20+char!$C$6*'CH4'!AX20+char!$C$7*HFC!AX20+char!$C$8*PFC!AX20</f>
        <v>0</v>
      </c>
      <c r="AY20" s="379" t="e">
        <f>+'CO2'!AY20+char!$C$4*N2O!AY20+char!$C$5*SF6_NF3!AY20+char!$C$6*'CH4'!AY20+char!$C$7*HFC!AY20+char!$C$8*PFC!AY20</f>
        <v>#VALUE!</v>
      </c>
      <c r="AZ20" s="166">
        <f>+'CO2'!AZ20+char!$C$4*N2O!AZ20+char!$C$5*SF6_NF3!AZ20+char!$C$6*'CH4'!AZ20+char!$C$7*HFC!AZ20+char!$C$8*PFC!AZ20</f>
        <v>0</v>
      </c>
      <c r="BA20" s="379" t="e">
        <f>+'CO2'!BA20+char!$C$4*N2O!BA20+char!$C$5*SF6_NF3!BA20+char!$C$6*'CH4'!BA20+char!$C$7*HFC!BA20+char!$C$8*PFC!BA20</f>
        <v>#VALUE!</v>
      </c>
      <c r="BB20" s="166">
        <f>+'CO2'!BB20+char!$C$4*N2O!BB20+char!$C$5*SF6_NF3!BB20+char!$C$6*'CH4'!BB20+char!$C$7*HFC!BB20+char!$C$8*PFC!BB20</f>
        <v>0</v>
      </c>
      <c r="BC20" s="379" t="e">
        <f>+'CO2'!BC20+char!$C$4*N2O!BC20+char!$C$5*SF6_NF3!BC20+char!$C$6*'CH4'!BC20+char!$C$7*HFC!BC20+char!$C$8*PFC!BC20</f>
        <v>#VALUE!</v>
      </c>
      <c r="BD20" s="166">
        <f>+'CO2'!BD20+char!$C$4*N2O!BD20+char!$C$5*SF6_NF3!BD20+char!$C$6*'CH4'!BD20+char!$C$7*HFC!BD20+char!$C$8*PFC!BD20</f>
        <v>0</v>
      </c>
      <c r="BE20" s="379" t="e">
        <f>+'CO2'!BE20+char!$C$4*N2O!BE20+char!$C$5*SF6_NF3!BE20+char!$C$6*'CH4'!BE20+char!$C$7*HFC!BE20+char!$C$8*PFC!BE20</f>
        <v>#VALUE!</v>
      </c>
      <c r="BF20" s="166">
        <f>+'CO2'!BF20+char!$C$4*N2O!BF20+char!$C$5*SF6_NF3!BF20+char!$C$6*'CH4'!BF20+char!$C$7*HFC!BF20+char!$C$8*PFC!BF20</f>
        <v>0</v>
      </c>
      <c r="BG20" s="379" t="s">
        <v>387</v>
      </c>
      <c r="BH20" s="227"/>
      <c r="BI20" s="184"/>
      <c r="CJ20" s="150"/>
      <c r="CK20" s="150"/>
      <c r="CL20" s="150"/>
      <c r="CM20" s="151" t="s">
        <v>728</v>
      </c>
      <c r="CN20" s="150" t="s">
        <v>1130</v>
      </c>
      <c r="CO20" s="150"/>
      <c r="CP20" s="150"/>
      <c r="CQ20" s="150"/>
      <c r="CR20" s="150"/>
      <c r="CS20" s="150"/>
      <c r="CT20" s="150"/>
    </row>
    <row r="21" spans="1:98" s="11" customFormat="1" ht="12.75" customHeight="1">
      <c r="A21" s="26"/>
      <c r="B21" s="89" t="str">
        <f>Parameters!Q20</f>
        <v>C22_C23</v>
      </c>
      <c r="C21" s="90"/>
      <c r="D21" s="504" t="str">
        <f>Parameters!S20</f>
        <v>Manufacture of rubber and plastic products and other non-metallic mineral products</v>
      </c>
      <c r="E21" s="506"/>
      <c r="F21" s="252"/>
      <c r="G21" s="380"/>
      <c r="H21" s="253"/>
      <c r="I21" s="380"/>
      <c r="J21" s="253"/>
      <c r="K21" s="380"/>
      <c r="L21" s="253"/>
      <c r="M21" s="380"/>
      <c r="N21" s="253"/>
      <c r="O21" s="380"/>
      <c r="P21" s="253"/>
      <c r="Q21" s="380"/>
      <c r="R21" s="253"/>
      <c r="S21" s="380"/>
      <c r="T21" s="253"/>
      <c r="U21" s="380"/>
      <c r="V21" s="253"/>
      <c r="W21" s="380"/>
      <c r="X21" s="253"/>
      <c r="Y21" s="380"/>
      <c r="Z21" s="253"/>
      <c r="AA21" s="380"/>
      <c r="AB21" s="253"/>
      <c r="AC21" s="380"/>
      <c r="AD21" s="253"/>
      <c r="AE21" s="380"/>
      <c r="AF21" s="253">
        <f>+'CO2'!AF21+char!$C$4*N2O!AF21+char!$C$5*SF6_NF3!AF21+char!$C$6*'CH4'!AF21+char!$C$7*HFC!AF21+char!$C$8*PFC!AF21</f>
        <v>1940.6395157303</v>
      </c>
      <c r="AG21" s="380">
        <f>+'CO2'!AG21+char!$C$4*N2O!AG21+char!$C$5*SF6_NF3!AG21+char!$C$6*'CH4'!AG21+char!$C$7*HFC!AG21+char!$C$8*PFC!AG21</f>
        <v>0</v>
      </c>
      <c r="AH21" s="253">
        <f>+'CO2'!AH21+char!$C$4*N2O!AH21+char!$C$5*SF6_NF3!AH21+char!$C$6*'CH4'!AH21+char!$C$7*HFC!AH21+char!$C$8*PFC!AH21</f>
        <v>1840.6065925217999</v>
      </c>
      <c r="AI21" s="380">
        <f>+'CO2'!AI21+char!$C$4*N2O!AI21+char!$C$5*SF6_NF3!AI21+char!$C$6*'CH4'!AI21+char!$C$7*HFC!AI21+char!$C$8*PFC!AI21</f>
        <v>0</v>
      </c>
      <c r="AJ21" s="253">
        <f>+'CO2'!AJ21+char!$C$4*N2O!AJ21+char!$C$5*SF6_NF3!AJ21+char!$C$6*'CH4'!AJ21+char!$C$7*HFC!AJ21+char!$C$8*PFC!AJ21</f>
        <v>1899.9711026089001</v>
      </c>
      <c r="AK21" s="380">
        <f>+'CO2'!AK21+char!$C$4*N2O!AK21+char!$C$5*SF6_NF3!AK21+char!$C$6*'CH4'!AK21+char!$C$7*HFC!AK21+char!$C$8*PFC!AK21</f>
        <v>0</v>
      </c>
      <c r="AL21" s="253">
        <f>+'CO2'!AL21+char!$C$4*N2O!AL21+char!$C$5*SF6_NF3!AL21+char!$C$6*'CH4'!AL21+char!$C$7*HFC!AL21+char!$C$8*PFC!AL21</f>
        <v>1908.3346506190001</v>
      </c>
      <c r="AM21" s="380">
        <f>+'CO2'!AM21+char!$C$4*N2O!AM21+char!$C$5*SF6_NF3!AM21+char!$C$6*'CH4'!AM21+char!$C$7*HFC!AM21+char!$C$8*PFC!AM21</f>
        <v>0</v>
      </c>
      <c r="AN21" s="253">
        <f>+'CO2'!AN21+char!$C$4*N2O!AN21+char!$C$5*SF6_NF3!AN21+char!$C$6*'CH4'!AN21+char!$C$7*HFC!AN21+char!$C$8*PFC!AN21</f>
        <v>1862.3493158965998</v>
      </c>
      <c r="AO21" s="380">
        <f>+'CO2'!AO21+char!$C$4*N2O!AO21+char!$C$5*SF6_NF3!AO21+char!$C$6*'CH4'!AO21+char!$C$7*HFC!AO21+char!$C$8*PFC!AO21</f>
        <v>0</v>
      </c>
      <c r="AP21" s="253">
        <f>+'CO2'!AP21+char!$C$4*N2O!AP21+char!$C$5*SF6_NF3!AP21+char!$C$6*'CH4'!AP21+char!$C$7*HFC!AP21+char!$C$8*PFC!AP21</f>
        <v>1898.1594115469998</v>
      </c>
      <c r="AQ21" s="380">
        <f>+'CO2'!AQ21+char!$C$4*N2O!AQ21+char!$C$5*SF6_NF3!AQ21+char!$C$6*'CH4'!AQ21+char!$C$7*HFC!AQ21+char!$C$8*PFC!AQ21</f>
        <v>0</v>
      </c>
      <c r="AR21" s="253">
        <f>+'CO2'!AR21+char!$C$4*N2O!AR21+char!$C$5*SF6_NF3!AR21+char!$C$6*'CH4'!AR21+char!$C$7*HFC!AR21+char!$C$8*PFC!AR21</f>
        <v>1791.2014571123002</v>
      </c>
      <c r="AS21" s="380">
        <f>+'CO2'!AS21+char!$C$4*N2O!AS21+char!$C$5*SF6_NF3!AS21+char!$C$6*'CH4'!AS21+char!$C$7*HFC!AS21+char!$C$8*PFC!AS21</f>
        <v>0</v>
      </c>
      <c r="AT21" s="253">
        <f>+'CO2'!AT21+char!$C$4*N2O!AT21+char!$C$5*SF6_NF3!AT21+char!$C$6*'CH4'!AT21+char!$C$7*HFC!AT21+char!$C$8*PFC!AT21</f>
        <v>1737.2157216827</v>
      </c>
      <c r="AU21" s="380">
        <f>+'CO2'!AU21+char!$C$4*N2O!AU21+char!$C$5*SF6_NF3!AU21+char!$C$6*'CH4'!AU21+char!$C$7*HFC!AU21+char!$C$8*PFC!AU21</f>
        <v>0</v>
      </c>
      <c r="AV21" s="253">
        <f>+'CO2'!AV21+char!$C$4*N2O!AV21+char!$C$5*SF6_NF3!AV21+char!$C$6*'CH4'!AV21+char!$C$7*HFC!AV21+char!$C$8*PFC!AV21</f>
        <v>1788.9191061131999</v>
      </c>
      <c r="AW21" s="380">
        <f>+'CO2'!AW21+char!$C$4*N2O!AW21+char!$C$5*SF6_NF3!AW21+char!$C$6*'CH4'!AW21+char!$C$7*HFC!AW21+char!$C$8*PFC!AW21</f>
        <v>0</v>
      </c>
      <c r="AX21" s="253">
        <f>+'CO2'!AX21+char!$C$4*N2O!AX21+char!$C$5*SF6_NF3!AX21+char!$C$6*'CH4'!AX21+char!$C$7*HFC!AX21+char!$C$8*PFC!AX21</f>
        <v>1926.8544253204002</v>
      </c>
      <c r="AY21" s="380">
        <f>+'CO2'!AY21+char!$C$4*N2O!AY21+char!$C$5*SF6_NF3!AY21+char!$C$6*'CH4'!AY21+char!$C$7*HFC!AY21+char!$C$8*PFC!AY21</f>
        <v>0</v>
      </c>
      <c r="AZ21" s="253">
        <f>+'CO2'!AZ21+char!$C$4*N2O!AZ21+char!$C$5*SF6_NF3!AZ21+char!$C$6*'CH4'!AZ21+char!$C$7*HFC!AZ21+char!$C$8*PFC!AZ21</f>
        <v>1876.4752643387001</v>
      </c>
      <c r="BA21" s="380">
        <f>+'CO2'!BA21+char!$C$4*N2O!BA21+char!$C$5*SF6_NF3!BA21+char!$C$6*'CH4'!BA21+char!$C$7*HFC!BA21+char!$C$8*PFC!BA21</f>
        <v>0</v>
      </c>
      <c r="BB21" s="253">
        <f>+'CO2'!BB21+char!$C$4*N2O!BB21+char!$C$5*SF6_NF3!BB21+char!$C$6*'CH4'!BB21+char!$C$7*HFC!BB21+char!$C$8*PFC!BB21</f>
        <v>1826.4144440251</v>
      </c>
      <c r="BC21" s="380">
        <f>+'CO2'!BC21+char!$C$4*N2O!BC21+char!$C$5*SF6_NF3!BC21+char!$C$6*'CH4'!BC21+char!$C$7*HFC!BC21+char!$C$8*PFC!BC21</f>
        <v>0</v>
      </c>
      <c r="BD21" s="253">
        <f>+'CO2'!BD21+char!$C$4*N2O!BD21+char!$C$5*SF6_NF3!BD21+char!$C$6*'CH4'!BD21+char!$C$7*HFC!BD21+char!$C$8*PFC!BD21</f>
        <v>1762.6197084974001</v>
      </c>
      <c r="BE21" s="380">
        <f>+'CO2'!BE21+char!$C$4*N2O!BE21+char!$C$5*SF6_NF3!BE21+char!$C$6*'CH4'!BE21+char!$C$7*HFC!BE21+char!$C$8*PFC!BE21</f>
        <v>0</v>
      </c>
      <c r="BF21" s="253">
        <f>+'CO2'!BF21+char!$C$4*N2O!BF21+char!$C$5*SF6_NF3!BF21+char!$C$6*'CH4'!BF21+char!$C$7*HFC!BF21+char!$C$8*PFC!BF21</f>
        <v>1764.9017040668</v>
      </c>
      <c r="BG21" s="380"/>
      <c r="BH21" s="253"/>
      <c r="BI21" s="254"/>
      <c r="CJ21" s="150"/>
      <c r="CK21" s="150"/>
      <c r="CL21" s="150"/>
      <c r="CM21" s="151"/>
      <c r="CN21" s="150"/>
      <c r="CO21" s="150"/>
      <c r="CP21" s="150"/>
      <c r="CQ21" s="150"/>
      <c r="CR21" s="150"/>
      <c r="CS21" s="150"/>
      <c r="CT21" s="150"/>
    </row>
    <row r="22" spans="1:98" s="12" customFormat="1" ht="12.75" customHeight="1">
      <c r="A22" s="310"/>
      <c r="B22" s="308" t="str">
        <f>Parameters!Q21</f>
        <v>C22</v>
      </c>
      <c r="C22" s="96"/>
      <c r="D22" s="495" t="str">
        <f>Parameters!S21</f>
        <v>Manufacture of rubber and plastic products</v>
      </c>
      <c r="E22" s="496"/>
      <c r="F22" s="224"/>
      <c r="G22" s="379"/>
      <c r="H22" s="228"/>
      <c r="I22" s="379"/>
      <c r="J22" s="228"/>
      <c r="K22" s="379"/>
      <c r="L22" s="228"/>
      <c r="M22" s="379"/>
      <c r="N22" s="228"/>
      <c r="O22" s="379"/>
      <c r="P22" s="228"/>
      <c r="Q22" s="379"/>
      <c r="R22" s="228"/>
      <c r="S22" s="379"/>
      <c r="T22" s="228"/>
      <c r="U22" s="379"/>
      <c r="V22" s="228"/>
      <c r="W22" s="379"/>
      <c r="X22" s="228"/>
      <c r="Y22" s="379"/>
      <c r="Z22" s="228"/>
      <c r="AA22" s="379"/>
      <c r="AB22" s="228"/>
      <c r="AC22" s="379"/>
      <c r="AD22" s="228"/>
      <c r="AE22" s="379"/>
      <c r="AF22" s="167">
        <f>+'CO2'!AF22+char!$C$4*N2O!AF22+char!$C$5*SF6_NF3!AF22+char!$C$6*'CH4'!AF22+char!$C$7*HFC!AF22+char!$C$8*PFC!AF22</f>
        <v>25.480483864100002</v>
      </c>
      <c r="AG22" s="379">
        <f>+'CO2'!AG22+char!$C$4*N2O!AG22+char!$C$5*SF6_NF3!AG22+char!$C$6*'CH4'!AG22+char!$C$7*HFC!AG22+char!$C$8*PFC!AG22</f>
        <v>0</v>
      </c>
      <c r="AH22" s="167">
        <f>+'CO2'!AH22+char!$C$4*N2O!AH22+char!$C$5*SF6_NF3!AH22+char!$C$6*'CH4'!AH22+char!$C$7*HFC!AH22+char!$C$8*PFC!AH22</f>
        <v>29.981078630300001</v>
      </c>
      <c r="AI22" s="379">
        <f>+'CO2'!AI22+char!$C$4*N2O!AI22+char!$C$5*SF6_NF3!AI22+char!$C$6*'CH4'!AI22+char!$C$7*HFC!AI22+char!$C$8*PFC!AI22</f>
        <v>0</v>
      </c>
      <c r="AJ22" s="167">
        <f>+'CO2'!AJ22+char!$C$4*N2O!AJ22+char!$C$5*SF6_NF3!AJ22+char!$C$6*'CH4'!AJ22+char!$C$7*HFC!AJ22+char!$C$8*PFC!AJ22</f>
        <v>37.637463120899994</v>
      </c>
      <c r="AK22" s="379">
        <f>+'CO2'!AK22+char!$C$4*N2O!AK22+char!$C$5*SF6_NF3!AK22+char!$C$6*'CH4'!AK22+char!$C$7*HFC!AK22+char!$C$8*PFC!AK22</f>
        <v>0</v>
      </c>
      <c r="AL22" s="167">
        <f>+'CO2'!AL22+char!$C$4*N2O!AL22+char!$C$5*SF6_NF3!AL22+char!$C$6*'CH4'!AL22+char!$C$7*HFC!AL22+char!$C$8*PFC!AL22</f>
        <v>49.888965912399996</v>
      </c>
      <c r="AM22" s="379">
        <f>+'CO2'!AM22+char!$C$4*N2O!AM22+char!$C$5*SF6_NF3!AM22+char!$C$6*'CH4'!AM22+char!$C$7*HFC!AM22+char!$C$8*PFC!AM22</f>
        <v>0</v>
      </c>
      <c r="AN22" s="167">
        <f>+'CO2'!AN22+char!$C$4*N2O!AN22+char!$C$5*SF6_NF3!AN22+char!$C$6*'CH4'!AN22+char!$C$7*HFC!AN22+char!$C$8*PFC!AN22</f>
        <v>51.667853196799996</v>
      </c>
      <c r="AO22" s="379">
        <f>+'CO2'!AO22+char!$C$4*N2O!AO22+char!$C$5*SF6_NF3!AO22+char!$C$6*'CH4'!AO22+char!$C$7*HFC!AO22+char!$C$8*PFC!AO22</f>
        <v>0</v>
      </c>
      <c r="AP22" s="167">
        <f>+'CO2'!AP22+char!$C$4*N2O!AP22+char!$C$5*SF6_NF3!AP22+char!$C$6*'CH4'!AP22+char!$C$7*HFC!AP22+char!$C$8*PFC!AP22</f>
        <v>47.2379246765</v>
      </c>
      <c r="AQ22" s="379">
        <f>+'CO2'!AQ22+char!$C$4*N2O!AQ22+char!$C$5*SF6_NF3!AQ22+char!$C$6*'CH4'!AQ22+char!$C$7*HFC!AQ22+char!$C$8*PFC!AQ22</f>
        <v>0</v>
      </c>
      <c r="AR22" s="167">
        <f>+'CO2'!AR22+char!$C$4*N2O!AR22+char!$C$5*SF6_NF3!AR22+char!$C$6*'CH4'!AR22+char!$C$7*HFC!AR22+char!$C$8*PFC!AR22</f>
        <v>46.593306100799992</v>
      </c>
      <c r="AS22" s="379">
        <f>+'CO2'!AS22+char!$C$4*N2O!AS22+char!$C$5*SF6_NF3!AS22+char!$C$6*'CH4'!AS22+char!$C$7*HFC!AS22+char!$C$8*PFC!AS22</f>
        <v>0</v>
      </c>
      <c r="AT22" s="167">
        <f>+'CO2'!AT22+char!$C$4*N2O!AT22+char!$C$5*SF6_NF3!AT22+char!$C$6*'CH4'!AT22+char!$C$7*HFC!AT22+char!$C$8*PFC!AT22</f>
        <v>34.334912443699999</v>
      </c>
      <c r="AU22" s="379">
        <f>+'CO2'!AU22+char!$C$4*N2O!AU22+char!$C$5*SF6_NF3!AU22+char!$C$6*'CH4'!AU22+char!$C$7*HFC!AU22+char!$C$8*PFC!AU22</f>
        <v>0</v>
      </c>
      <c r="AV22" s="165">
        <f>+'CO2'!AV22+char!$C$4*N2O!AV22+char!$C$5*SF6_NF3!AV22+char!$C$6*'CH4'!AV22+char!$C$7*HFC!AV22+char!$C$8*PFC!AV22</f>
        <v>39.365612335999998</v>
      </c>
      <c r="AW22" s="379">
        <f>+'CO2'!AW22+char!$C$4*N2O!AW22+char!$C$5*SF6_NF3!AW22+char!$C$6*'CH4'!AW22+char!$C$7*HFC!AW22+char!$C$8*PFC!AW22</f>
        <v>0</v>
      </c>
      <c r="AX22" s="165">
        <f>+'CO2'!AX22+char!$C$4*N2O!AX22+char!$C$5*SF6_NF3!AX22+char!$C$6*'CH4'!AX22+char!$C$7*HFC!AX22+char!$C$8*PFC!AX22</f>
        <v>39.503467944299999</v>
      </c>
      <c r="AY22" s="379">
        <f>+'CO2'!AY22+char!$C$4*N2O!AY22+char!$C$5*SF6_NF3!AY22+char!$C$6*'CH4'!AY22+char!$C$7*HFC!AY22+char!$C$8*PFC!AY22</f>
        <v>0</v>
      </c>
      <c r="AZ22" s="165">
        <f>+'CO2'!AZ22+char!$C$4*N2O!AZ22+char!$C$5*SF6_NF3!AZ22+char!$C$6*'CH4'!AZ22+char!$C$7*HFC!AZ22+char!$C$8*PFC!AZ22</f>
        <v>44.298385407299996</v>
      </c>
      <c r="BA22" s="379">
        <f>+'CO2'!BA22+char!$C$4*N2O!BA22+char!$C$5*SF6_NF3!BA22+char!$C$6*'CH4'!BA22+char!$C$7*HFC!BA22+char!$C$8*PFC!BA22</f>
        <v>0</v>
      </c>
      <c r="BB22" s="165">
        <f>+'CO2'!BB22+char!$C$4*N2O!BB22+char!$C$5*SF6_NF3!BB22+char!$C$6*'CH4'!BB22+char!$C$7*HFC!BB22+char!$C$8*PFC!BB22</f>
        <v>32.169987630400001</v>
      </c>
      <c r="BC22" s="379">
        <f>+'CO2'!BC22+char!$C$4*N2O!BC22+char!$C$5*SF6_NF3!BC22+char!$C$6*'CH4'!BC22+char!$C$7*HFC!BC22+char!$C$8*PFC!BC22</f>
        <v>0</v>
      </c>
      <c r="BD22" s="165">
        <f>+'CO2'!BD22+char!$C$4*N2O!BD22+char!$C$5*SF6_NF3!BD22+char!$C$6*'CH4'!BD22+char!$C$7*HFC!BD22+char!$C$8*PFC!BD22</f>
        <v>34.498511152200003</v>
      </c>
      <c r="BE22" s="379">
        <f>+'CO2'!BE22+char!$C$4*N2O!BE22+char!$C$5*SF6_NF3!BE22+char!$C$6*'CH4'!BE22+char!$C$7*HFC!BE22+char!$C$8*PFC!BE22</f>
        <v>0</v>
      </c>
      <c r="BF22" s="165">
        <f>+'CO2'!BF22+char!$C$4*N2O!BF22+char!$C$5*SF6_NF3!BF22+char!$C$6*'CH4'!BF22+char!$C$7*HFC!BF22+char!$C$8*PFC!BF22</f>
        <v>47.220123353600002</v>
      </c>
      <c r="BG22" s="379"/>
      <c r="BH22" s="225"/>
      <c r="BI22" s="184"/>
      <c r="CJ22" s="150"/>
      <c r="CK22" s="150"/>
      <c r="CL22" s="150"/>
      <c r="CM22" s="151" t="s">
        <v>739</v>
      </c>
      <c r="CN22" s="150" t="s">
        <v>1130</v>
      </c>
      <c r="CO22" s="150"/>
      <c r="CP22" s="150"/>
      <c r="CQ22" s="150"/>
      <c r="CR22" s="150"/>
      <c r="CS22" s="150"/>
      <c r="CT22" s="150"/>
    </row>
    <row r="23" spans="1:98" s="12" customFormat="1" ht="12.75" customHeight="1">
      <c r="A23" s="310"/>
      <c r="B23" s="308" t="str">
        <f>Parameters!Q22</f>
        <v>C23</v>
      </c>
      <c r="C23" s="96"/>
      <c r="D23" s="495" t="str">
        <f>Parameters!S22</f>
        <v>Manufacture of other non-metallic mineral products</v>
      </c>
      <c r="E23" s="510"/>
      <c r="F23" s="224"/>
      <c r="G23" s="379"/>
      <c r="H23" s="228"/>
      <c r="I23" s="379"/>
      <c r="J23" s="228"/>
      <c r="K23" s="379"/>
      <c r="L23" s="228"/>
      <c r="M23" s="379"/>
      <c r="N23" s="228"/>
      <c r="O23" s="379"/>
      <c r="P23" s="228"/>
      <c r="Q23" s="379"/>
      <c r="R23" s="228"/>
      <c r="S23" s="379"/>
      <c r="T23" s="228"/>
      <c r="U23" s="379"/>
      <c r="V23" s="228"/>
      <c r="W23" s="379"/>
      <c r="X23" s="228"/>
      <c r="Y23" s="379"/>
      <c r="Z23" s="228"/>
      <c r="AA23" s="379"/>
      <c r="AB23" s="228"/>
      <c r="AC23" s="379"/>
      <c r="AD23" s="228"/>
      <c r="AE23" s="379"/>
      <c r="AF23" s="167">
        <f>+'CO2'!AF23+char!$C$4*N2O!AF23+char!$C$5*SF6_NF3!AF23+char!$C$6*'CH4'!AF23+char!$C$7*HFC!AF23+char!$C$8*PFC!AF23</f>
        <v>1915.1590318396998</v>
      </c>
      <c r="AG23" s="379">
        <f>+'CO2'!AG23+char!$C$4*N2O!AG23+char!$C$5*SF6_NF3!AG23+char!$C$6*'CH4'!AG23+char!$C$7*HFC!AG23+char!$C$8*PFC!AG23</f>
        <v>0</v>
      </c>
      <c r="AH23" s="167">
        <f>+'CO2'!AH23+char!$C$4*N2O!AH23+char!$C$5*SF6_NF3!AH23+char!$C$6*'CH4'!AH23+char!$C$7*HFC!AH23+char!$C$8*PFC!AH23</f>
        <v>1810.6255139916</v>
      </c>
      <c r="AI23" s="379">
        <f>+'CO2'!AI23+char!$C$4*N2O!AI23+char!$C$5*SF6_NF3!AI23+char!$C$6*'CH4'!AI23+char!$C$7*HFC!AI23+char!$C$8*PFC!AI23</f>
        <v>0</v>
      </c>
      <c r="AJ23" s="167">
        <f>+'CO2'!AJ23+char!$C$4*N2O!AJ23+char!$C$5*SF6_NF3!AJ23+char!$C$6*'CH4'!AJ23+char!$C$7*HFC!AJ23+char!$C$8*PFC!AJ23</f>
        <v>1862.3336393881</v>
      </c>
      <c r="AK23" s="379">
        <f>+'CO2'!AK23+char!$C$4*N2O!AK23+char!$C$5*SF6_NF3!AK23+char!$C$6*'CH4'!AK23+char!$C$7*HFC!AK23+char!$C$8*PFC!AK23</f>
        <v>0</v>
      </c>
      <c r="AL23" s="167">
        <f>+'CO2'!AL23+char!$C$4*N2O!AL23+char!$C$5*SF6_NF3!AL23+char!$C$6*'CH4'!AL23+char!$C$7*HFC!AL23+char!$C$8*PFC!AL23</f>
        <v>1858.4456847066001</v>
      </c>
      <c r="AM23" s="379">
        <f>+'CO2'!AM23+char!$C$4*N2O!AM23+char!$C$5*SF6_NF3!AM23+char!$C$6*'CH4'!AM23+char!$C$7*HFC!AM23+char!$C$8*PFC!AM23</f>
        <v>0</v>
      </c>
      <c r="AN23" s="167">
        <f>+'CO2'!AN23+char!$C$4*N2O!AN23+char!$C$5*SF6_NF3!AN23+char!$C$6*'CH4'!AN23+char!$C$7*HFC!AN23+char!$C$8*PFC!AN23</f>
        <v>1810.6814626997</v>
      </c>
      <c r="AO23" s="379">
        <f>+'CO2'!AO23+char!$C$4*N2O!AO23+char!$C$5*SF6_NF3!AO23+char!$C$6*'CH4'!AO23+char!$C$7*HFC!AO23+char!$C$8*PFC!AO23</f>
        <v>0</v>
      </c>
      <c r="AP23" s="167">
        <f>+'CO2'!AP23+char!$C$4*N2O!AP23+char!$C$5*SF6_NF3!AP23+char!$C$6*'CH4'!AP23+char!$C$7*HFC!AP23+char!$C$8*PFC!AP23</f>
        <v>1850.9214868705001</v>
      </c>
      <c r="AQ23" s="379">
        <f>+'CO2'!AQ23+char!$C$4*N2O!AQ23+char!$C$5*SF6_NF3!AQ23+char!$C$6*'CH4'!AQ23+char!$C$7*HFC!AQ23+char!$C$8*PFC!AQ23</f>
        <v>0</v>
      </c>
      <c r="AR23" s="167">
        <f>+'CO2'!AR23+char!$C$4*N2O!AR23+char!$C$5*SF6_NF3!AR23+char!$C$6*'CH4'!AR23+char!$C$7*HFC!AR23+char!$C$8*PFC!AR23</f>
        <v>1744.6081509850001</v>
      </c>
      <c r="AS23" s="379">
        <f>+'CO2'!AS23+char!$C$4*N2O!AS23+char!$C$5*SF6_NF3!AS23+char!$C$6*'CH4'!AS23+char!$C$7*HFC!AS23+char!$C$8*PFC!AS23</f>
        <v>0</v>
      </c>
      <c r="AT23" s="167">
        <f>+'CO2'!AT23+char!$C$4*N2O!AT23+char!$C$5*SF6_NF3!AT23+char!$C$6*'CH4'!AT23+char!$C$7*HFC!AT23+char!$C$8*PFC!AT23</f>
        <v>1702.8808092391</v>
      </c>
      <c r="AU23" s="379">
        <f>+'CO2'!AU23+char!$C$4*N2O!AU23+char!$C$5*SF6_NF3!AU23+char!$C$6*'CH4'!AU23+char!$C$7*HFC!AU23+char!$C$8*PFC!AU23</f>
        <v>0</v>
      </c>
      <c r="AV23" s="165">
        <f>+'CO2'!AV23+char!$C$4*N2O!AV23+char!$C$5*SF6_NF3!AV23+char!$C$6*'CH4'!AV23+char!$C$7*HFC!AV23+char!$C$8*PFC!AV23</f>
        <v>1749.5534937771997</v>
      </c>
      <c r="AW23" s="379">
        <f>+'CO2'!AW23+char!$C$4*N2O!AW23+char!$C$5*SF6_NF3!AW23+char!$C$6*'CH4'!AW23+char!$C$7*HFC!AW23+char!$C$8*PFC!AW23</f>
        <v>0</v>
      </c>
      <c r="AX23" s="165">
        <f>+'CO2'!AX23+char!$C$4*N2O!AX23+char!$C$5*SF6_NF3!AX23+char!$C$6*'CH4'!AX23+char!$C$7*HFC!AX23+char!$C$8*PFC!AX23</f>
        <v>1887.3509573761</v>
      </c>
      <c r="AY23" s="379">
        <f>+'CO2'!AY23+char!$C$4*N2O!AY23+char!$C$5*SF6_NF3!AY23+char!$C$6*'CH4'!AY23+char!$C$7*HFC!AY23+char!$C$8*PFC!AY23</f>
        <v>0</v>
      </c>
      <c r="AZ23" s="165">
        <f>+'CO2'!AZ23+char!$C$4*N2O!AZ23+char!$C$5*SF6_NF3!AZ23+char!$C$6*'CH4'!AZ23+char!$C$7*HFC!AZ23+char!$C$8*PFC!AZ23</f>
        <v>1832.1768789286</v>
      </c>
      <c r="BA23" s="379">
        <f>+'CO2'!BA23+char!$C$4*N2O!BA23+char!$C$5*SF6_NF3!BA23+char!$C$6*'CH4'!BA23+char!$C$7*HFC!BA23+char!$C$8*PFC!BA23</f>
        <v>0</v>
      </c>
      <c r="BB23" s="165">
        <f>+'CO2'!BB23+char!$C$4*N2O!BB23+char!$C$5*SF6_NF3!BB23+char!$C$6*'CH4'!BB23+char!$C$7*HFC!BB23+char!$C$8*PFC!BB23</f>
        <v>1794.2444563947001</v>
      </c>
      <c r="BC23" s="379">
        <f>+'CO2'!BC23+char!$C$4*N2O!BC23+char!$C$5*SF6_NF3!BC23+char!$C$6*'CH4'!BC23+char!$C$7*HFC!BC23+char!$C$8*PFC!BC23</f>
        <v>0</v>
      </c>
      <c r="BD23" s="165">
        <f>+'CO2'!BD23+char!$C$4*N2O!BD23+char!$C$5*SF6_NF3!BD23+char!$C$6*'CH4'!BD23+char!$C$7*HFC!BD23+char!$C$8*PFC!BD23</f>
        <v>1728.1211973452</v>
      </c>
      <c r="BE23" s="379">
        <f>+'CO2'!BE23+char!$C$4*N2O!BE23+char!$C$5*SF6_NF3!BE23+char!$C$6*'CH4'!BE23+char!$C$7*HFC!BE23+char!$C$8*PFC!BE23</f>
        <v>0</v>
      </c>
      <c r="BF23" s="165">
        <f>+'CO2'!BF23+char!$C$4*N2O!BF23+char!$C$5*SF6_NF3!BF23+char!$C$6*'CH4'!BF23+char!$C$7*HFC!BF23+char!$C$8*PFC!BF23</f>
        <v>1717.6815807369003</v>
      </c>
      <c r="BG23" s="379"/>
      <c r="BH23" s="225"/>
      <c r="BI23" s="184"/>
      <c r="CJ23" s="150"/>
      <c r="CK23" s="150"/>
      <c r="CL23" s="150"/>
      <c r="CM23" s="151" t="s">
        <v>743</v>
      </c>
      <c r="CN23" s="150" t="s">
        <v>1130</v>
      </c>
      <c r="CO23" s="150"/>
      <c r="CP23" s="150"/>
      <c r="CQ23" s="150"/>
      <c r="CR23" s="150"/>
      <c r="CS23" s="150"/>
      <c r="CT23" s="150"/>
    </row>
    <row r="24" spans="1:98" s="12" customFormat="1" ht="24.75" customHeight="1">
      <c r="A24" s="26"/>
      <c r="B24" s="89" t="str">
        <f>Parameters!Q23</f>
        <v>C24_C25</v>
      </c>
      <c r="C24" s="90"/>
      <c r="D24" s="504" t="str">
        <f>Parameters!S23</f>
        <v>Manufacture of basic metals and fabricated metal products, except machinery and equipment</v>
      </c>
      <c r="E24" s="506"/>
      <c r="F24" s="252"/>
      <c r="G24" s="380"/>
      <c r="H24" s="253"/>
      <c r="I24" s="380"/>
      <c r="J24" s="253"/>
      <c r="K24" s="380"/>
      <c r="L24" s="253"/>
      <c r="M24" s="380"/>
      <c r="N24" s="253"/>
      <c r="O24" s="380"/>
      <c r="P24" s="253"/>
      <c r="Q24" s="380"/>
      <c r="R24" s="253"/>
      <c r="S24" s="380"/>
      <c r="T24" s="253"/>
      <c r="U24" s="380"/>
      <c r="V24" s="253"/>
      <c r="W24" s="380"/>
      <c r="X24" s="253"/>
      <c r="Y24" s="380"/>
      <c r="Z24" s="253"/>
      <c r="AA24" s="380"/>
      <c r="AB24" s="253"/>
      <c r="AC24" s="380"/>
      <c r="AD24" s="253"/>
      <c r="AE24" s="380"/>
      <c r="AF24" s="253">
        <f>+'CO2'!AF24+char!$C$4*N2O!AF24+char!$C$5*SF6_NF3!AF24+char!$C$6*'CH4'!AF24+char!$C$7*HFC!AF24+char!$C$8*PFC!AF24</f>
        <v>5151.1955936739996</v>
      </c>
      <c r="AG24" s="380">
        <f>+'CO2'!AG24+char!$C$4*N2O!AG24+char!$C$5*SF6_NF3!AG24+char!$C$6*'CH4'!AG24+char!$C$7*HFC!AG24+char!$C$8*PFC!AG24</f>
        <v>0</v>
      </c>
      <c r="AH24" s="253">
        <f>+'CO2'!AH24+char!$C$4*N2O!AH24+char!$C$5*SF6_NF3!AH24+char!$C$6*'CH4'!AH24+char!$C$7*HFC!AH24+char!$C$8*PFC!AH24</f>
        <v>3701.8855616528999</v>
      </c>
      <c r="AI24" s="380">
        <f>+'CO2'!AI24+char!$C$4*N2O!AI24+char!$C$5*SF6_NF3!AI24+char!$C$6*'CH4'!AI24+char!$C$7*HFC!AI24+char!$C$8*PFC!AI24</f>
        <v>0</v>
      </c>
      <c r="AJ24" s="253">
        <f>+'CO2'!AJ24+char!$C$4*N2O!AJ24+char!$C$5*SF6_NF3!AJ24+char!$C$6*'CH4'!AJ24+char!$C$7*HFC!AJ24+char!$C$8*PFC!AJ24</f>
        <v>4023.7899761967005</v>
      </c>
      <c r="AK24" s="380">
        <f>+'CO2'!AK24+char!$C$4*N2O!AK24+char!$C$5*SF6_NF3!AK24+char!$C$6*'CH4'!AK24+char!$C$7*HFC!AK24+char!$C$8*PFC!AK24</f>
        <v>0</v>
      </c>
      <c r="AL24" s="253">
        <f>+'CO2'!AL24+char!$C$4*N2O!AL24+char!$C$5*SF6_NF3!AL24+char!$C$6*'CH4'!AL24+char!$C$7*HFC!AL24+char!$C$8*PFC!AL24</f>
        <v>4010.4377704472004</v>
      </c>
      <c r="AM24" s="380">
        <f>+'CO2'!AM24+char!$C$4*N2O!AM24+char!$C$5*SF6_NF3!AM24+char!$C$6*'CH4'!AM24+char!$C$7*HFC!AM24+char!$C$8*PFC!AM24</f>
        <v>0</v>
      </c>
      <c r="AN24" s="253">
        <f>+'CO2'!AN24+char!$C$4*N2O!AN24+char!$C$5*SF6_NF3!AN24+char!$C$6*'CH4'!AN24+char!$C$7*HFC!AN24+char!$C$8*PFC!AN24</f>
        <v>3918.3016434630999</v>
      </c>
      <c r="AO24" s="380">
        <f>+'CO2'!AO24+char!$C$4*N2O!AO24+char!$C$5*SF6_NF3!AO24+char!$C$6*'CH4'!AO24+char!$C$7*HFC!AO24+char!$C$8*PFC!AO24</f>
        <v>0</v>
      </c>
      <c r="AP24" s="253">
        <f>+'CO2'!AP24+char!$C$4*N2O!AP24+char!$C$5*SF6_NF3!AP24+char!$C$6*'CH4'!AP24+char!$C$7*HFC!AP24+char!$C$8*PFC!AP24</f>
        <v>4036.1894388859</v>
      </c>
      <c r="AQ24" s="380">
        <f>+'CO2'!AQ24+char!$C$4*N2O!AQ24+char!$C$5*SF6_NF3!AQ24+char!$C$6*'CH4'!AQ24+char!$C$7*HFC!AQ24+char!$C$8*PFC!AQ24</f>
        <v>0</v>
      </c>
      <c r="AR24" s="253">
        <f>+'CO2'!AR24+char!$C$4*N2O!AR24+char!$C$5*SF6_NF3!AR24+char!$C$6*'CH4'!AR24+char!$C$7*HFC!AR24+char!$C$8*PFC!AR24</f>
        <v>4085.7309745468001</v>
      </c>
      <c r="AS24" s="380">
        <f>+'CO2'!AS24+char!$C$4*N2O!AS24+char!$C$5*SF6_NF3!AS24+char!$C$6*'CH4'!AS24+char!$C$7*HFC!AS24+char!$C$8*PFC!AS24</f>
        <v>0</v>
      </c>
      <c r="AT24" s="253">
        <f>+'CO2'!AT24+char!$C$4*N2O!AT24+char!$C$5*SF6_NF3!AT24+char!$C$6*'CH4'!AT24+char!$C$7*HFC!AT24+char!$C$8*PFC!AT24</f>
        <v>3952.8205404068995</v>
      </c>
      <c r="AU24" s="380">
        <f>+'CO2'!AU24+char!$C$4*N2O!AU24+char!$C$5*SF6_NF3!AU24+char!$C$6*'CH4'!AU24+char!$C$7*HFC!AU24+char!$C$8*PFC!AU24</f>
        <v>0</v>
      </c>
      <c r="AV24" s="253">
        <f>+'CO2'!AV24+char!$C$4*N2O!AV24+char!$C$5*SF6_NF3!AV24+char!$C$6*'CH4'!AV24+char!$C$7*HFC!AV24+char!$C$8*PFC!AV24</f>
        <v>4079.5006175035005</v>
      </c>
      <c r="AW24" s="380">
        <f>+'CO2'!AW24+char!$C$4*N2O!AW24+char!$C$5*SF6_NF3!AW24+char!$C$6*'CH4'!AW24+char!$C$7*HFC!AW24+char!$C$8*PFC!AW24</f>
        <v>0</v>
      </c>
      <c r="AX24" s="253">
        <f>+'CO2'!AX24+char!$C$4*N2O!AX24+char!$C$5*SF6_NF3!AX24+char!$C$6*'CH4'!AX24+char!$C$7*HFC!AX24+char!$C$8*PFC!AX24</f>
        <v>4264.6366969139008</v>
      </c>
      <c r="AY24" s="380">
        <f>+'CO2'!AY24+char!$C$4*N2O!AY24+char!$C$5*SF6_NF3!AY24+char!$C$6*'CH4'!AY24+char!$C$7*HFC!AY24+char!$C$8*PFC!AY24</f>
        <v>0</v>
      </c>
      <c r="AZ24" s="253">
        <f>+'CO2'!AZ24+char!$C$4*N2O!AZ24+char!$C$5*SF6_NF3!AZ24+char!$C$6*'CH4'!AZ24+char!$C$7*HFC!AZ24+char!$C$8*PFC!AZ24</f>
        <v>4216.8131743388003</v>
      </c>
      <c r="BA24" s="380">
        <f>+'CO2'!BA24+char!$C$4*N2O!BA24+char!$C$5*SF6_NF3!BA24+char!$C$6*'CH4'!BA24+char!$C$7*HFC!BA24+char!$C$8*PFC!BA24</f>
        <v>0</v>
      </c>
      <c r="BB24" s="253">
        <f>+'CO2'!BB24+char!$C$4*N2O!BB24+char!$C$5*SF6_NF3!BB24+char!$C$6*'CH4'!BB24+char!$C$7*HFC!BB24+char!$C$8*PFC!BB24</f>
        <v>4296.9651505275997</v>
      </c>
      <c r="BC24" s="380">
        <f>+'CO2'!BC24+char!$C$4*N2O!BC24+char!$C$5*SF6_NF3!BC24+char!$C$6*'CH4'!BC24+char!$C$7*HFC!BC24+char!$C$8*PFC!BC24</f>
        <v>0</v>
      </c>
      <c r="BD24" s="253">
        <f>+'CO2'!BD24+char!$C$4*N2O!BD24+char!$C$5*SF6_NF3!BD24+char!$C$6*'CH4'!BD24+char!$C$7*HFC!BD24+char!$C$8*PFC!BD24</f>
        <v>4297.9146165719003</v>
      </c>
      <c r="BE24" s="380">
        <f>+'CO2'!BE24+char!$C$4*N2O!BE24+char!$C$5*SF6_NF3!BE24+char!$C$6*'CH4'!BE24+char!$C$7*HFC!BE24+char!$C$8*PFC!BE24</f>
        <v>0</v>
      </c>
      <c r="BF24" s="253">
        <f>+'CO2'!BF24+char!$C$4*N2O!BF24+char!$C$5*SF6_NF3!BF24+char!$C$6*'CH4'!BF24+char!$C$7*HFC!BF24+char!$C$8*PFC!BF24</f>
        <v>4570.7430911648999</v>
      </c>
      <c r="BG24" s="380"/>
      <c r="BH24" s="253"/>
      <c r="BI24" s="254"/>
      <c r="CJ24" s="150"/>
      <c r="CK24" s="150"/>
      <c r="CL24" s="150"/>
      <c r="CM24" s="151"/>
      <c r="CN24" s="150"/>
      <c r="CO24" s="150"/>
      <c r="CP24" s="150"/>
      <c r="CQ24" s="150"/>
      <c r="CR24" s="150"/>
      <c r="CS24" s="150"/>
      <c r="CT24" s="150"/>
    </row>
    <row r="25" spans="1:98" s="12" customFormat="1" ht="12.75" customHeight="1">
      <c r="A25" s="310"/>
      <c r="B25" s="308" t="str">
        <f>Parameters!Q24</f>
        <v>C24</v>
      </c>
      <c r="C25" s="96"/>
      <c r="D25" s="495" t="str">
        <f>Parameters!S24</f>
        <v>Manufacture of basic metals</v>
      </c>
      <c r="E25" s="496"/>
      <c r="F25" s="224"/>
      <c r="G25" s="379"/>
      <c r="H25" s="228"/>
      <c r="I25" s="379"/>
      <c r="J25" s="228"/>
      <c r="K25" s="379"/>
      <c r="L25" s="228"/>
      <c r="M25" s="379"/>
      <c r="N25" s="228"/>
      <c r="O25" s="379"/>
      <c r="P25" s="228"/>
      <c r="Q25" s="379"/>
      <c r="R25" s="228"/>
      <c r="S25" s="379"/>
      <c r="T25" s="228"/>
      <c r="U25" s="379"/>
      <c r="V25" s="228"/>
      <c r="W25" s="379"/>
      <c r="X25" s="228"/>
      <c r="Y25" s="379"/>
      <c r="Z25" s="228"/>
      <c r="AA25" s="379"/>
      <c r="AB25" s="228"/>
      <c r="AC25" s="379"/>
      <c r="AD25" s="228"/>
      <c r="AE25" s="379"/>
      <c r="AF25" s="167">
        <f>+'CO2'!AF25+char!$C$4*N2O!AF25+char!$C$5*SF6_NF3!AF25+char!$C$6*'CH4'!AF25+char!$C$7*HFC!AF25+char!$C$8*PFC!AF25</f>
        <v>5113.4351244979998</v>
      </c>
      <c r="AG25" s="379">
        <f>+'CO2'!AG25+char!$C$4*N2O!AG25+char!$C$5*SF6_NF3!AG25+char!$C$6*'CH4'!AG25+char!$C$7*HFC!AG25+char!$C$8*PFC!AG25</f>
        <v>0</v>
      </c>
      <c r="AH25" s="167">
        <f>+'CO2'!AH25+char!$C$4*N2O!AH25+char!$C$5*SF6_NF3!AH25+char!$C$6*'CH4'!AH25+char!$C$7*HFC!AH25+char!$C$8*PFC!AH25</f>
        <v>3672.8111523923003</v>
      </c>
      <c r="AI25" s="379">
        <f>+'CO2'!AI25+char!$C$4*N2O!AI25+char!$C$5*SF6_NF3!AI25+char!$C$6*'CH4'!AI25+char!$C$7*HFC!AI25+char!$C$8*PFC!AI25</f>
        <v>0</v>
      </c>
      <c r="AJ25" s="167">
        <f>+'CO2'!AJ25+char!$C$4*N2O!AJ25+char!$C$5*SF6_NF3!AJ25+char!$C$6*'CH4'!AJ25+char!$C$7*HFC!AJ25+char!$C$8*PFC!AJ25</f>
        <v>3982.8179497808001</v>
      </c>
      <c r="AK25" s="379">
        <f>+'CO2'!AK25+char!$C$4*N2O!AK25+char!$C$5*SF6_NF3!AK25+char!$C$6*'CH4'!AK25+char!$C$7*HFC!AK25+char!$C$8*PFC!AK25</f>
        <v>0</v>
      </c>
      <c r="AL25" s="167">
        <f>+'CO2'!AL25+char!$C$4*N2O!AL25+char!$C$5*SF6_NF3!AL25+char!$C$6*'CH4'!AL25+char!$C$7*HFC!AL25+char!$C$8*PFC!AL25</f>
        <v>3977.8815557151001</v>
      </c>
      <c r="AM25" s="379">
        <f>+'CO2'!AM25+char!$C$4*N2O!AM25+char!$C$5*SF6_NF3!AM25+char!$C$6*'CH4'!AM25+char!$C$7*HFC!AM25+char!$C$8*PFC!AM25</f>
        <v>0</v>
      </c>
      <c r="AN25" s="167">
        <f>+'CO2'!AN25+char!$C$4*N2O!AN25+char!$C$5*SF6_NF3!AN25+char!$C$6*'CH4'!AN25+char!$C$7*HFC!AN25+char!$C$8*PFC!AN25</f>
        <v>3883.0949080415994</v>
      </c>
      <c r="AO25" s="379">
        <f>+'CO2'!AO25+char!$C$4*N2O!AO25+char!$C$5*SF6_NF3!AO25+char!$C$6*'CH4'!AO25+char!$C$7*HFC!AO25+char!$C$8*PFC!AO25</f>
        <v>0</v>
      </c>
      <c r="AP25" s="167">
        <f>+'CO2'!AP25+char!$C$4*N2O!AP25+char!$C$5*SF6_NF3!AP25+char!$C$6*'CH4'!AP25+char!$C$7*HFC!AP25+char!$C$8*PFC!AP25</f>
        <v>4002.5533479383002</v>
      </c>
      <c r="AQ25" s="379">
        <f>+'CO2'!AQ25+char!$C$4*N2O!AQ25+char!$C$5*SF6_NF3!AQ25+char!$C$6*'CH4'!AQ25+char!$C$7*HFC!AQ25+char!$C$8*PFC!AQ25</f>
        <v>0</v>
      </c>
      <c r="AR25" s="167">
        <f>+'CO2'!AR25+char!$C$4*N2O!AR25+char!$C$5*SF6_NF3!AR25+char!$C$6*'CH4'!AR25+char!$C$7*HFC!AR25+char!$C$8*PFC!AR25</f>
        <v>4057.9880474725001</v>
      </c>
      <c r="AS25" s="379">
        <f>+'CO2'!AS25+char!$C$4*N2O!AS25+char!$C$5*SF6_NF3!AS25+char!$C$6*'CH4'!AS25+char!$C$7*HFC!AS25+char!$C$8*PFC!AS25</f>
        <v>0</v>
      </c>
      <c r="AT25" s="167">
        <f>+'CO2'!AT25+char!$C$4*N2O!AT25+char!$C$5*SF6_NF3!AT25+char!$C$6*'CH4'!AT25+char!$C$7*HFC!AT25+char!$C$8*PFC!AT25</f>
        <v>3921.8898120028994</v>
      </c>
      <c r="AU25" s="379">
        <f>+'CO2'!AU25+char!$C$4*N2O!AU25+char!$C$5*SF6_NF3!AU25+char!$C$6*'CH4'!AU25+char!$C$7*HFC!AU25+char!$C$8*PFC!AU25</f>
        <v>0</v>
      </c>
      <c r="AV25" s="165">
        <f>+'CO2'!AV25+char!$C$4*N2O!AV25+char!$C$5*SF6_NF3!AV25+char!$C$6*'CH4'!AV25+char!$C$7*HFC!AV25+char!$C$8*PFC!AV25</f>
        <v>4048.4193150082001</v>
      </c>
      <c r="AW25" s="379">
        <f>+'CO2'!AW25+char!$C$4*N2O!AW25+char!$C$5*SF6_NF3!AW25+char!$C$6*'CH4'!AW25+char!$C$7*HFC!AW25+char!$C$8*PFC!AW25</f>
        <v>0</v>
      </c>
      <c r="AX25" s="165">
        <f>+'CO2'!AX25+char!$C$4*N2O!AX25+char!$C$5*SF6_NF3!AX25+char!$C$6*'CH4'!AX25+char!$C$7*HFC!AX25+char!$C$8*PFC!AX25</f>
        <v>4236.7011480013998</v>
      </c>
      <c r="AY25" s="379">
        <f>+'CO2'!AY25+char!$C$4*N2O!AY25+char!$C$5*SF6_NF3!AY25+char!$C$6*'CH4'!AY25+char!$C$7*HFC!AY25+char!$C$8*PFC!AY25</f>
        <v>0</v>
      </c>
      <c r="AZ25" s="165">
        <f>+'CO2'!AZ25+char!$C$4*N2O!AZ25+char!$C$5*SF6_NF3!AZ25+char!$C$6*'CH4'!AZ25+char!$C$7*HFC!AZ25+char!$C$8*PFC!AZ25</f>
        <v>4192.5643678657007</v>
      </c>
      <c r="BA25" s="379">
        <f>+'CO2'!BA25+char!$C$4*N2O!BA25+char!$C$5*SF6_NF3!BA25+char!$C$6*'CH4'!BA25+char!$C$7*HFC!BA25+char!$C$8*PFC!BA25</f>
        <v>0</v>
      </c>
      <c r="BB25" s="165">
        <f>+'CO2'!BB25+char!$C$4*N2O!BB25+char!$C$5*SF6_NF3!BB25+char!$C$6*'CH4'!BB25+char!$C$7*HFC!BB25+char!$C$8*PFC!BB25</f>
        <v>4265.6665009260996</v>
      </c>
      <c r="BC25" s="379">
        <f>+'CO2'!BC25+char!$C$4*N2O!BC25+char!$C$5*SF6_NF3!BC25+char!$C$6*'CH4'!BC25+char!$C$7*HFC!BC25+char!$C$8*PFC!BC25</f>
        <v>0</v>
      </c>
      <c r="BD25" s="165">
        <f>+'CO2'!BD25+char!$C$4*N2O!BD25+char!$C$5*SF6_NF3!BD25+char!$C$6*'CH4'!BD25+char!$C$7*HFC!BD25+char!$C$8*PFC!BD25</f>
        <v>4269.054536283501</v>
      </c>
      <c r="BE25" s="379">
        <f>+'CO2'!BE25+char!$C$4*N2O!BE25+char!$C$5*SF6_NF3!BE25+char!$C$6*'CH4'!BE25+char!$C$7*HFC!BE25+char!$C$8*PFC!BE25</f>
        <v>0</v>
      </c>
      <c r="BF25" s="165">
        <f>+'CO2'!BF25+char!$C$4*N2O!BF25+char!$C$5*SF6_NF3!BF25+char!$C$6*'CH4'!BF25+char!$C$7*HFC!BF25+char!$C$8*PFC!BF25</f>
        <v>4540.9782376125995</v>
      </c>
      <c r="BG25" s="379"/>
      <c r="BH25" s="225"/>
      <c r="BI25" s="184"/>
      <c r="CJ25" s="150"/>
      <c r="CK25" s="150"/>
      <c r="CL25" s="150"/>
      <c r="CM25" s="151" t="s">
        <v>749</v>
      </c>
      <c r="CN25" s="150" t="s">
        <v>1130</v>
      </c>
      <c r="CO25" s="150"/>
      <c r="CP25" s="150"/>
      <c r="CQ25" s="150"/>
      <c r="CR25" s="150"/>
      <c r="CS25" s="150"/>
      <c r="CT25" s="150"/>
    </row>
    <row r="26" spans="1:98" s="11" customFormat="1" ht="12.75" customHeight="1">
      <c r="A26" s="310"/>
      <c r="B26" s="308" t="str">
        <f>Parameters!Q25</f>
        <v>C25</v>
      </c>
      <c r="C26" s="309"/>
      <c r="D26" s="495" t="str">
        <f>Parameters!S25</f>
        <v>Manufacture of fabricated metal products, except machinery and equipment</v>
      </c>
      <c r="E26" s="510"/>
      <c r="F26" s="224"/>
      <c r="G26" s="379"/>
      <c r="H26" s="225"/>
      <c r="I26" s="379"/>
      <c r="J26" s="225"/>
      <c r="K26" s="379"/>
      <c r="L26" s="225"/>
      <c r="M26" s="379"/>
      <c r="N26" s="225"/>
      <c r="O26" s="379"/>
      <c r="P26" s="225"/>
      <c r="Q26" s="379"/>
      <c r="R26" s="225"/>
      <c r="S26" s="379"/>
      <c r="T26" s="225"/>
      <c r="U26" s="379"/>
      <c r="V26" s="225"/>
      <c r="W26" s="379"/>
      <c r="X26" s="225"/>
      <c r="Y26" s="379"/>
      <c r="Z26" s="225"/>
      <c r="AA26" s="379"/>
      <c r="AB26" s="225"/>
      <c r="AC26" s="379"/>
      <c r="AD26" s="225"/>
      <c r="AE26" s="379"/>
      <c r="AF26" s="165">
        <f>+'CO2'!AF26+char!$C$4*N2O!AF26+char!$C$5*SF6_NF3!AF26+char!$C$6*'CH4'!AF26+char!$C$7*HFC!AF26+char!$C$8*PFC!AF26</f>
        <v>37.760469202500005</v>
      </c>
      <c r="AG26" s="379">
        <f>+'CO2'!AG26+char!$C$4*N2O!AG26+char!$C$5*SF6_NF3!AG26+char!$C$6*'CH4'!AG26+char!$C$7*HFC!AG26+char!$C$8*PFC!AG26</f>
        <v>0</v>
      </c>
      <c r="AH26" s="165">
        <f>+'CO2'!AH26+char!$C$4*N2O!AH26+char!$C$5*SF6_NF3!AH26+char!$C$6*'CH4'!AH26+char!$C$7*HFC!AH26+char!$C$8*PFC!AH26</f>
        <v>29.074409260700001</v>
      </c>
      <c r="AI26" s="379">
        <f>+'CO2'!AI26+char!$C$4*N2O!AI26+char!$C$5*SF6_NF3!AI26+char!$C$6*'CH4'!AI26+char!$C$7*HFC!AI26+char!$C$8*PFC!AI26</f>
        <v>0</v>
      </c>
      <c r="AJ26" s="165">
        <f>+'CO2'!AJ26+char!$C$4*N2O!AJ26+char!$C$5*SF6_NF3!AJ26+char!$C$6*'CH4'!AJ26+char!$C$7*HFC!AJ26+char!$C$8*PFC!AJ26</f>
        <v>40.972026313000001</v>
      </c>
      <c r="AK26" s="379">
        <f>+'CO2'!AK26+char!$C$4*N2O!AK26+char!$C$5*SF6_NF3!AK26+char!$C$6*'CH4'!AK26+char!$C$7*HFC!AK26+char!$C$8*PFC!AK26</f>
        <v>0</v>
      </c>
      <c r="AL26" s="165">
        <f>+'CO2'!AL26+char!$C$4*N2O!AL26+char!$C$5*SF6_NF3!AL26+char!$C$6*'CH4'!AL26+char!$C$7*HFC!AL26+char!$C$8*PFC!AL26</f>
        <v>32.556214732099996</v>
      </c>
      <c r="AM26" s="379">
        <f>+'CO2'!AM26+char!$C$4*N2O!AM26+char!$C$5*SF6_NF3!AM26+char!$C$6*'CH4'!AM26+char!$C$7*HFC!AM26+char!$C$8*PFC!AM26</f>
        <v>0</v>
      </c>
      <c r="AN26" s="165">
        <f>+'CO2'!AN26+char!$C$4*N2O!AN26+char!$C$5*SF6_NF3!AN26+char!$C$6*'CH4'!AN26+char!$C$7*HFC!AN26+char!$C$8*PFC!AN26</f>
        <v>35.206735394900001</v>
      </c>
      <c r="AO26" s="379">
        <f>+'CO2'!AO26+char!$C$4*N2O!AO26+char!$C$5*SF6_NF3!AO26+char!$C$6*'CH4'!AO26+char!$C$7*HFC!AO26+char!$C$8*PFC!AO26</f>
        <v>0</v>
      </c>
      <c r="AP26" s="165">
        <f>+'CO2'!AP26+char!$C$4*N2O!AP26+char!$C$5*SF6_NF3!AP26+char!$C$6*'CH4'!AP26+char!$C$7*HFC!AP26+char!$C$8*PFC!AP26</f>
        <v>33.636090950400003</v>
      </c>
      <c r="AQ26" s="379">
        <f>+'CO2'!AQ26+char!$C$4*N2O!AQ26+char!$C$5*SF6_NF3!AQ26+char!$C$6*'CH4'!AQ26+char!$C$7*HFC!AQ26+char!$C$8*PFC!AQ26</f>
        <v>0</v>
      </c>
      <c r="AR26" s="165">
        <f>+'CO2'!AR26+char!$C$4*N2O!AR26+char!$C$5*SF6_NF3!AR26+char!$C$6*'CH4'!AR26+char!$C$7*HFC!AR26+char!$C$8*PFC!AR26</f>
        <v>27.742927100799999</v>
      </c>
      <c r="AS26" s="379">
        <f>+'CO2'!AS26+char!$C$4*N2O!AS26+char!$C$5*SF6_NF3!AS26+char!$C$6*'CH4'!AS26+char!$C$7*HFC!AS26+char!$C$8*PFC!AS26</f>
        <v>0</v>
      </c>
      <c r="AT26" s="165">
        <f>+'CO2'!AT26+char!$C$4*N2O!AT26+char!$C$5*SF6_NF3!AT26+char!$C$6*'CH4'!AT26+char!$C$7*HFC!AT26+char!$C$8*PFC!AT26</f>
        <v>30.930728404100002</v>
      </c>
      <c r="AU26" s="379">
        <f>+'CO2'!AU26+char!$C$4*N2O!AU26+char!$C$5*SF6_NF3!AU26+char!$C$6*'CH4'!AU26+char!$C$7*HFC!AU26+char!$C$8*PFC!AU26</f>
        <v>0</v>
      </c>
      <c r="AV26" s="165">
        <f>+'CO2'!AV26+char!$C$4*N2O!AV26+char!$C$5*SF6_NF3!AV26+char!$C$6*'CH4'!AV26+char!$C$7*HFC!AV26+char!$C$8*PFC!AV26</f>
        <v>31.081302621799999</v>
      </c>
      <c r="AW26" s="379">
        <f>+'CO2'!AW26+char!$C$4*N2O!AW26+char!$C$5*SF6_NF3!AW26+char!$C$6*'CH4'!AW26+char!$C$7*HFC!AW26+char!$C$8*PFC!AW26</f>
        <v>0</v>
      </c>
      <c r="AX26" s="165">
        <f>+'CO2'!AX26+char!$C$4*N2O!AX26+char!$C$5*SF6_NF3!AX26+char!$C$6*'CH4'!AX26+char!$C$7*HFC!AX26+char!$C$8*PFC!AX26</f>
        <v>27.9355489125</v>
      </c>
      <c r="AY26" s="379">
        <f>+'CO2'!AY26+char!$C$4*N2O!AY26+char!$C$5*SF6_NF3!AY26+char!$C$6*'CH4'!AY26+char!$C$7*HFC!AY26+char!$C$8*PFC!AY26</f>
        <v>0</v>
      </c>
      <c r="AZ26" s="165">
        <f>+'CO2'!AZ26+char!$C$4*N2O!AZ26+char!$C$5*SF6_NF3!AZ26+char!$C$6*'CH4'!AZ26+char!$C$7*HFC!AZ26+char!$C$8*PFC!AZ26</f>
        <v>24.2488064703</v>
      </c>
      <c r="BA26" s="379">
        <f>+'CO2'!BA26+char!$C$4*N2O!BA26+char!$C$5*SF6_NF3!BA26+char!$C$6*'CH4'!BA26+char!$C$7*HFC!BA26+char!$C$8*PFC!BA26</f>
        <v>0</v>
      </c>
      <c r="BB26" s="165">
        <f>+'CO2'!BB26+char!$C$4*N2O!BB26+char!$C$5*SF6_NF3!BB26+char!$C$6*'CH4'!BB26+char!$C$7*HFC!BB26+char!$C$8*PFC!BB26</f>
        <v>31.298649504299995</v>
      </c>
      <c r="BC26" s="379">
        <f>+'CO2'!BC26+char!$C$4*N2O!BC26+char!$C$5*SF6_NF3!BC26+char!$C$6*'CH4'!BC26+char!$C$7*HFC!BC26+char!$C$8*PFC!BC26</f>
        <v>0</v>
      </c>
      <c r="BD26" s="165">
        <f>+'CO2'!BD26+char!$C$4*N2O!BD26+char!$C$5*SF6_NF3!BD26+char!$C$6*'CH4'!BD26+char!$C$7*HFC!BD26+char!$C$8*PFC!BD26</f>
        <v>28.860080385700002</v>
      </c>
      <c r="BE26" s="379">
        <f>+'CO2'!BE26+char!$C$4*N2O!BE26+char!$C$5*SF6_NF3!BE26+char!$C$6*'CH4'!BE26+char!$C$7*HFC!BE26+char!$C$8*PFC!BE26</f>
        <v>0</v>
      </c>
      <c r="BF26" s="165">
        <f>+'CO2'!BF26+char!$C$4*N2O!BF26+char!$C$5*SF6_NF3!BF26+char!$C$6*'CH4'!BF26+char!$C$7*HFC!BF26+char!$C$8*PFC!BF26</f>
        <v>29.7648535523</v>
      </c>
      <c r="BG26" s="379"/>
      <c r="BH26" s="225"/>
      <c r="BI26" s="184"/>
      <c r="CJ26" s="150"/>
      <c r="CK26" s="150"/>
      <c r="CL26" s="150"/>
      <c r="CM26" s="151" t="s">
        <v>753</v>
      </c>
      <c r="CN26" s="150" t="s">
        <v>1130</v>
      </c>
      <c r="CO26" s="150"/>
      <c r="CP26" s="150"/>
      <c r="CQ26" s="150"/>
      <c r="CR26" s="150"/>
      <c r="CS26" s="150"/>
      <c r="CT26" s="150"/>
    </row>
    <row r="27" spans="1:98" s="11" customFormat="1" ht="12.75" customHeight="1">
      <c r="A27" s="26"/>
      <c r="B27" s="89" t="str">
        <f>Parameters!Q26</f>
        <v>C26</v>
      </c>
      <c r="C27" s="90"/>
      <c r="D27" s="504" t="str">
        <f>Parameters!S26</f>
        <v>Manufacture of computer, electronic and optical products</v>
      </c>
      <c r="E27" s="505"/>
      <c r="F27" s="226"/>
      <c r="G27" s="379"/>
      <c r="H27" s="227"/>
      <c r="I27" s="379"/>
      <c r="J27" s="227"/>
      <c r="K27" s="379"/>
      <c r="L27" s="227"/>
      <c r="M27" s="379"/>
      <c r="N27" s="227"/>
      <c r="O27" s="379"/>
      <c r="P27" s="227"/>
      <c r="Q27" s="379"/>
      <c r="R27" s="227"/>
      <c r="S27" s="379"/>
      <c r="T27" s="227"/>
      <c r="U27" s="379"/>
      <c r="V27" s="227"/>
      <c r="W27" s="379"/>
      <c r="X27" s="227"/>
      <c r="Y27" s="379"/>
      <c r="Z27" s="227"/>
      <c r="AA27" s="379"/>
      <c r="AB27" s="227"/>
      <c r="AC27" s="379"/>
      <c r="AD27" s="227"/>
      <c r="AE27" s="379"/>
      <c r="AF27" s="166">
        <f>+'CO2'!AF27+char!$C$4*N2O!AF27+char!$C$5*SF6_NF3!AF27+char!$C$6*'CH4'!AF27+char!$C$7*HFC!AF27+char!$C$8*PFC!AF27</f>
        <v>2.0409944379000002</v>
      </c>
      <c r="AG27" s="379">
        <f>+'CO2'!AG27+char!$C$4*N2O!AG27+char!$C$5*SF6_NF3!AG27+char!$C$6*'CH4'!AG27+char!$C$7*HFC!AG27+char!$C$8*PFC!AG27</f>
        <v>0</v>
      </c>
      <c r="AH27" s="166">
        <f>+'CO2'!AH27+char!$C$4*N2O!AH27+char!$C$5*SF6_NF3!AH27+char!$C$6*'CH4'!AH27+char!$C$7*HFC!AH27+char!$C$8*PFC!AH27</f>
        <v>2.2060999622000002</v>
      </c>
      <c r="AI27" s="379">
        <f>+'CO2'!AI27+char!$C$4*N2O!AI27+char!$C$5*SF6_NF3!AI27+char!$C$6*'CH4'!AI27+char!$C$7*HFC!AI27+char!$C$8*PFC!AI27</f>
        <v>0</v>
      </c>
      <c r="AJ27" s="166">
        <f>+'CO2'!AJ27+char!$C$4*N2O!AJ27+char!$C$5*SF6_NF3!AJ27+char!$C$6*'CH4'!AJ27+char!$C$7*HFC!AJ27+char!$C$8*PFC!AJ27</f>
        <v>2.6862441532000005</v>
      </c>
      <c r="AK27" s="379">
        <f>+'CO2'!AK27+char!$C$4*N2O!AK27+char!$C$5*SF6_NF3!AK27+char!$C$6*'CH4'!AK27+char!$C$7*HFC!AK27+char!$C$8*PFC!AK27</f>
        <v>0</v>
      </c>
      <c r="AL27" s="166">
        <f>+'CO2'!AL27+char!$C$4*N2O!AL27+char!$C$5*SF6_NF3!AL27+char!$C$6*'CH4'!AL27+char!$C$7*HFC!AL27+char!$C$8*PFC!AL27</f>
        <v>2.4026199289000001</v>
      </c>
      <c r="AM27" s="379">
        <f>+'CO2'!AM27+char!$C$4*N2O!AM27+char!$C$5*SF6_NF3!AM27+char!$C$6*'CH4'!AM27+char!$C$7*HFC!AM27+char!$C$8*PFC!AM27</f>
        <v>0</v>
      </c>
      <c r="AN27" s="166">
        <f>+'CO2'!AN27+char!$C$4*N2O!AN27+char!$C$5*SF6_NF3!AN27+char!$C$6*'CH4'!AN27+char!$C$7*HFC!AN27+char!$C$8*PFC!AN27</f>
        <v>3.2698248155000003</v>
      </c>
      <c r="AO27" s="379">
        <f>+'CO2'!AO27+char!$C$4*N2O!AO27+char!$C$5*SF6_NF3!AO27+char!$C$6*'CH4'!AO27+char!$C$7*HFC!AO27+char!$C$8*PFC!AO27</f>
        <v>0</v>
      </c>
      <c r="AP27" s="166">
        <f>+'CO2'!AP27+char!$C$4*N2O!AP27+char!$C$5*SF6_NF3!AP27+char!$C$6*'CH4'!AP27+char!$C$7*HFC!AP27+char!$C$8*PFC!AP27</f>
        <v>2.6992725499000003</v>
      </c>
      <c r="AQ27" s="379">
        <f>+'CO2'!AQ27+char!$C$4*N2O!AQ27+char!$C$5*SF6_NF3!AQ27+char!$C$6*'CH4'!AQ27+char!$C$7*HFC!AQ27+char!$C$8*PFC!AQ27</f>
        <v>0</v>
      </c>
      <c r="AR27" s="166">
        <f>+'CO2'!AR27+char!$C$4*N2O!AR27+char!$C$5*SF6_NF3!AR27+char!$C$6*'CH4'!AR27+char!$C$7*HFC!AR27+char!$C$8*PFC!AR27</f>
        <v>2.2103965982</v>
      </c>
      <c r="AS27" s="379">
        <f>+'CO2'!AS27+char!$C$4*N2O!AS27+char!$C$5*SF6_NF3!AS27+char!$C$6*'CH4'!AS27+char!$C$7*HFC!AS27+char!$C$8*PFC!AS27</f>
        <v>0</v>
      </c>
      <c r="AT27" s="166">
        <f>+'CO2'!AT27+char!$C$4*N2O!AT27+char!$C$5*SF6_NF3!AT27+char!$C$6*'CH4'!AT27+char!$C$7*HFC!AT27+char!$C$8*PFC!AT27</f>
        <v>2.3180061089000001</v>
      </c>
      <c r="AU27" s="379">
        <f>+'CO2'!AU27+char!$C$4*N2O!AU27+char!$C$5*SF6_NF3!AU27+char!$C$6*'CH4'!AU27+char!$C$7*HFC!AU27+char!$C$8*PFC!AU27</f>
        <v>0</v>
      </c>
      <c r="AV27" s="166">
        <f>+'CO2'!AV27+char!$C$4*N2O!AV27+char!$C$5*SF6_NF3!AV27+char!$C$6*'CH4'!AV27+char!$C$7*HFC!AV27+char!$C$8*PFC!AV27</f>
        <v>2.2388830938000002</v>
      </c>
      <c r="AW27" s="379">
        <f>+'CO2'!AW27+char!$C$4*N2O!AW27+char!$C$5*SF6_NF3!AW27+char!$C$6*'CH4'!AW27+char!$C$7*HFC!AW27+char!$C$8*PFC!AW27</f>
        <v>0</v>
      </c>
      <c r="AX27" s="166">
        <f>+'CO2'!AX27+char!$C$4*N2O!AX27+char!$C$5*SF6_NF3!AX27+char!$C$6*'CH4'!AX27+char!$C$7*HFC!AX27+char!$C$8*PFC!AX27</f>
        <v>1.9698629267000001</v>
      </c>
      <c r="AY27" s="379">
        <f>+'CO2'!AY27+char!$C$4*N2O!AY27+char!$C$5*SF6_NF3!AY27+char!$C$6*'CH4'!AY27+char!$C$7*HFC!AY27+char!$C$8*PFC!AY27</f>
        <v>0</v>
      </c>
      <c r="AZ27" s="166">
        <f>+'CO2'!AZ27+char!$C$4*N2O!AZ27+char!$C$5*SF6_NF3!AZ27+char!$C$6*'CH4'!AZ27+char!$C$7*HFC!AZ27+char!$C$8*PFC!AZ27</f>
        <v>4.2800197437000005</v>
      </c>
      <c r="BA27" s="379">
        <f>+'CO2'!BA27+char!$C$4*N2O!BA27+char!$C$5*SF6_NF3!BA27+char!$C$6*'CH4'!BA27+char!$C$7*HFC!BA27+char!$C$8*PFC!BA27</f>
        <v>0</v>
      </c>
      <c r="BB27" s="166">
        <f>+'CO2'!BB27+char!$C$4*N2O!BB27+char!$C$5*SF6_NF3!BB27+char!$C$6*'CH4'!BB27+char!$C$7*HFC!BB27+char!$C$8*PFC!BB27</f>
        <v>2.6820229236000004</v>
      </c>
      <c r="BC27" s="379">
        <f>+'CO2'!BC27+char!$C$4*N2O!BC27+char!$C$5*SF6_NF3!BC27+char!$C$6*'CH4'!BC27+char!$C$7*HFC!BC27+char!$C$8*PFC!BC27</f>
        <v>0</v>
      </c>
      <c r="BD27" s="166">
        <f>+'CO2'!BD27+char!$C$4*N2O!BD27+char!$C$5*SF6_NF3!BD27+char!$C$6*'CH4'!BD27+char!$C$7*HFC!BD27+char!$C$8*PFC!BD27</f>
        <v>3.8229314383000004</v>
      </c>
      <c r="BE27" s="379">
        <f>+'CO2'!BE27+char!$C$4*N2O!BE27+char!$C$5*SF6_NF3!BE27+char!$C$6*'CH4'!BE27+char!$C$7*HFC!BE27+char!$C$8*PFC!BE27</f>
        <v>0</v>
      </c>
      <c r="BF27" s="166">
        <f>+'CO2'!BF27+char!$C$4*N2O!BF27+char!$C$5*SF6_NF3!BF27+char!$C$6*'CH4'!BF27+char!$C$7*HFC!BF27+char!$C$8*PFC!BF27</f>
        <v>2.2724525182000002</v>
      </c>
      <c r="BG27" s="379"/>
      <c r="BH27" s="227"/>
      <c r="BI27" s="184"/>
      <c r="CJ27" s="150"/>
      <c r="CK27" s="150"/>
      <c r="CL27" s="150"/>
      <c r="CM27" s="151" t="s">
        <v>760</v>
      </c>
      <c r="CN27" s="150" t="s">
        <v>1130</v>
      </c>
      <c r="CO27" s="150"/>
      <c r="CP27" s="150"/>
      <c r="CQ27" s="150"/>
      <c r="CR27" s="150"/>
      <c r="CS27" s="150"/>
      <c r="CT27" s="150"/>
    </row>
    <row r="28" spans="1:98" s="12" customFormat="1" ht="12.75" customHeight="1">
      <c r="A28" s="26"/>
      <c r="B28" s="89" t="str">
        <f>Parameters!Q27</f>
        <v>C27</v>
      </c>
      <c r="C28" s="90"/>
      <c r="D28" s="504" t="str">
        <f>Parameters!S27</f>
        <v>Manufacture of electrical equipment</v>
      </c>
      <c r="E28" s="505"/>
      <c r="F28" s="226"/>
      <c r="G28" s="379"/>
      <c r="H28" s="227"/>
      <c r="I28" s="379"/>
      <c r="J28" s="227"/>
      <c r="K28" s="379"/>
      <c r="L28" s="227"/>
      <c r="M28" s="379"/>
      <c r="N28" s="227"/>
      <c r="O28" s="379"/>
      <c r="P28" s="227"/>
      <c r="Q28" s="379"/>
      <c r="R28" s="227"/>
      <c r="S28" s="379"/>
      <c r="T28" s="227"/>
      <c r="U28" s="379"/>
      <c r="V28" s="227"/>
      <c r="W28" s="379"/>
      <c r="X28" s="227"/>
      <c r="Y28" s="379"/>
      <c r="Z28" s="227"/>
      <c r="AA28" s="379"/>
      <c r="AB28" s="227"/>
      <c r="AC28" s="379"/>
      <c r="AD28" s="227"/>
      <c r="AE28" s="379"/>
      <c r="AF28" s="166">
        <f>+'CO2'!AF28+char!$C$4*N2O!AF28+char!$C$5*SF6_NF3!AF28+char!$C$6*'CH4'!AF28+char!$C$7*HFC!AF28+char!$C$8*PFC!AF28</f>
        <v>11.792892992099999</v>
      </c>
      <c r="AG28" s="379">
        <f>+'CO2'!AG28+char!$C$4*N2O!AG28+char!$C$5*SF6_NF3!AG28+char!$C$6*'CH4'!AG28+char!$C$7*HFC!AG28+char!$C$8*PFC!AG28</f>
        <v>0</v>
      </c>
      <c r="AH28" s="166">
        <f>+'CO2'!AH28+char!$C$4*N2O!AH28+char!$C$5*SF6_NF3!AH28+char!$C$6*'CH4'!AH28+char!$C$7*HFC!AH28+char!$C$8*PFC!AH28</f>
        <v>8.0391622291000004</v>
      </c>
      <c r="AI28" s="379">
        <f>+'CO2'!AI28+char!$C$4*N2O!AI28+char!$C$5*SF6_NF3!AI28+char!$C$6*'CH4'!AI28+char!$C$7*HFC!AI28+char!$C$8*PFC!AI28</f>
        <v>0</v>
      </c>
      <c r="AJ28" s="166">
        <f>+'CO2'!AJ28+char!$C$4*N2O!AJ28+char!$C$5*SF6_NF3!AJ28+char!$C$6*'CH4'!AJ28+char!$C$7*HFC!AJ28+char!$C$8*PFC!AJ28</f>
        <v>9.135118907999999</v>
      </c>
      <c r="AK28" s="379">
        <f>+'CO2'!AK28+char!$C$4*N2O!AK28+char!$C$5*SF6_NF3!AK28+char!$C$6*'CH4'!AK28+char!$C$7*HFC!AK28+char!$C$8*PFC!AK28</f>
        <v>0</v>
      </c>
      <c r="AL28" s="166">
        <f>+'CO2'!AL28+char!$C$4*N2O!AL28+char!$C$5*SF6_NF3!AL28+char!$C$6*'CH4'!AL28+char!$C$7*HFC!AL28+char!$C$8*PFC!AL28</f>
        <v>11.153834046700002</v>
      </c>
      <c r="AM28" s="379">
        <f>+'CO2'!AM28+char!$C$4*N2O!AM28+char!$C$5*SF6_NF3!AM28+char!$C$6*'CH4'!AM28+char!$C$7*HFC!AM28+char!$C$8*PFC!AM28</f>
        <v>0</v>
      </c>
      <c r="AN28" s="166">
        <f>+'CO2'!AN28+char!$C$4*N2O!AN28+char!$C$5*SF6_NF3!AN28+char!$C$6*'CH4'!AN28+char!$C$7*HFC!AN28+char!$C$8*PFC!AN28</f>
        <v>10.155096281299999</v>
      </c>
      <c r="AO28" s="379">
        <f>+'CO2'!AO28+char!$C$4*N2O!AO28+char!$C$5*SF6_NF3!AO28+char!$C$6*'CH4'!AO28+char!$C$7*HFC!AO28+char!$C$8*PFC!AO28</f>
        <v>0</v>
      </c>
      <c r="AP28" s="166">
        <f>+'CO2'!AP28+char!$C$4*N2O!AP28+char!$C$5*SF6_NF3!AP28+char!$C$6*'CH4'!AP28+char!$C$7*HFC!AP28+char!$C$8*PFC!AP28</f>
        <v>10.607095428399999</v>
      </c>
      <c r="AQ28" s="379">
        <f>+'CO2'!AQ28+char!$C$4*N2O!AQ28+char!$C$5*SF6_NF3!AQ28+char!$C$6*'CH4'!AQ28+char!$C$7*HFC!AQ28+char!$C$8*PFC!AQ28</f>
        <v>0</v>
      </c>
      <c r="AR28" s="166">
        <f>+'CO2'!AR28+char!$C$4*N2O!AR28+char!$C$5*SF6_NF3!AR28+char!$C$6*'CH4'!AR28+char!$C$7*HFC!AR28+char!$C$8*PFC!AR28</f>
        <v>6.9689691052000011</v>
      </c>
      <c r="AS28" s="379">
        <f>+'CO2'!AS28+char!$C$4*N2O!AS28+char!$C$5*SF6_NF3!AS28+char!$C$6*'CH4'!AS28+char!$C$7*HFC!AS28+char!$C$8*PFC!AS28</f>
        <v>0</v>
      </c>
      <c r="AT28" s="166">
        <f>+'CO2'!AT28+char!$C$4*N2O!AT28+char!$C$5*SF6_NF3!AT28+char!$C$6*'CH4'!AT28+char!$C$7*HFC!AT28+char!$C$8*PFC!AT28</f>
        <v>6.3201229704999999</v>
      </c>
      <c r="AU28" s="379">
        <f>+'CO2'!AU28+char!$C$4*N2O!AU28+char!$C$5*SF6_NF3!AU28+char!$C$6*'CH4'!AU28+char!$C$7*HFC!AU28+char!$C$8*PFC!AU28</f>
        <v>0</v>
      </c>
      <c r="AV28" s="166">
        <f>+'CO2'!AV28+char!$C$4*N2O!AV28+char!$C$5*SF6_NF3!AV28+char!$C$6*'CH4'!AV28+char!$C$7*HFC!AV28+char!$C$8*PFC!AV28</f>
        <v>6.3900089486000002</v>
      </c>
      <c r="AW28" s="379">
        <f>+'CO2'!AW28+char!$C$4*N2O!AW28+char!$C$5*SF6_NF3!AW28+char!$C$6*'CH4'!AW28+char!$C$7*HFC!AW28+char!$C$8*PFC!AW28</f>
        <v>0</v>
      </c>
      <c r="AX28" s="166">
        <f>+'CO2'!AX28+char!$C$4*N2O!AX28+char!$C$5*SF6_NF3!AX28+char!$C$6*'CH4'!AX28+char!$C$7*HFC!AX28+char!$C$8*PFC!AX28</f>
        <v>7.9667508500000004</v>
      </c>
      <c r="AY28" s="379">
        <f>+'CO2'!AY28+char!$C$4*N2O!AY28+char!$C$5*SF6_NF3!AY28+char!$C$6*'CH4'!AY28+char!$C$7*HFC!AY28+char!$C$8*PFC!AY28</f>
        <v>0</v>
      </c>
      <c r="AZ28" s="166">
        <f>+'CO2'!AZ28+char!$C$4*N2O!AZ28+char!$C$5*SF6_NF3!AZ28+char!$C$6*'CH4'!AZ28+char!$C$7*HFC!AZ28+char!$C$8*PFC!AZ28</f>
        <v>7.8259747051999993</v>
      </c>
      <c r="BA28" s="379">
        <f>+'CO2'!BA28+char!$C$4*N2O!BA28+char!$C$5*SF6_NF3!BA28+char!$C$6*'CH4'!BA28+char!$C$7*HFC!BA28+char!$C$8*PFC!BA28</f>
        <v>0</v>
      </c>
      <c r="BB28" s="166">
        <f>+'CO2'!BB28+char!$C$4*N2O!BB28+char!$C$5*SF6_NF3!BB28+char!$C$6*'CH4'!BB28+char!$C$7*HFC!BB28+char!$C$8*PFC!BB28</f>
        <v>6.7448175194999997</v>
      </c>
      <c r="BC28" s="379">
        <f>+'CO2'!BC28+char!$C$4*N2O!BC28+char!$C$5*SF6_NF3!BC28+char!$C$6*'CH4'!BC28+char!$C$7*HFC!BC28+char!$C$8*PFC!BC28</f>
        <v>0</v>
      </c>
      <c r="BD28" s="166">
        <f>+'CO2'!BD28+char!$C$4*N2O!BD28+char!$C$5*SF6_NF3!BD28+char!$C$6*'CH4'!BD28+char!$C$7*HFC!BD28+char!$C$8*PFC!BD28</f>
        <v>6.4724525866999993</v>
      </c>
      <c r="BE28" s="379">
        <f>+'CO2'!BE28+char!$C$4*N2O!BE28+char!$C$5*SF6_NF3!BE28+char!$C$6*'CH4'!BE28+char!$C$7*HFC!BE28+char!$C$8*PFC!BE28</f>
        <v>0</v>
      </c>
      <c r="BF28" s="166">
        <f>+'CO2'!BF28+char!$C$4*N2O!BF28+char!$C$5*SF6_NF3!BF28+char!$C$6*'CH4'!BF28+char!$C$7*HFC!BF28+char!$C$8*PFC!BF28</f>
        <v>4.8643233797999992</v>
      </c>
      <c r="BG28" s="379"/>
      <c r="BH28" s="227"/>
      <c r="BI28" s="184"/>
      <c r="CJ28" s="150"/>
      <c r="CK28" s="150"/>
      <c r="CL28" s="150"/>
      <c r="CM28" s="151" t="s">
        <v>763</v>
      </c>
      <c r="CN28" s="150" t="s">
        <v>1130</v>
      </c>
      <c r="CO28" s="150"/>
      <c r="CP28" s="150"/>
      <c r="CQ28" s="150"/>
      <c r="CR28" s="150"/>
      <c r="CS28" s="150"/>
      <c r="CT28" s="150"/>
    </row>
    <row r="29" spans="1:98" s="12" customFormat="1" ht="12.75" customHeight="1">
      <c r="A29" s="26"/>
      <c r="B29" s="89" t="str">
        <f>Parameters!Q28</f>
        <v>C28</v>
      </c>
      <c r="C29" s="90"/>
      <c r="D29" s="504" t="str">
        <f>Parameters!S28</f>
        <v>Manufacture of machinery and equipment n.e.c.</v>
      </c>
      <c r="E29" s="505"/>
      <c r="F29" s="226"/>
      <c r="G29" s="379"/>
      <c r="H29" s="227"/>
      <c r="I29" s="379"/>
      <c r="J29" s="227"/>
      <c r="K29" s="379"/>
      <c r="L29" s="227"/>
      <c r="M29" s="379"/>
      <c r="N29" s="227"/>
      <c r="O29" s="379"/>
      <c r="P29" s="227"/>
      <c r="Q29" s="379"/>
      <c r="R29" s="227"/>
      <c r="S29" s="379"/>
      <c r="T29" s="227"/>
      <c r="U29" s="379"/>
      <c r="V29" s="227"/>
      <c r="W29" s="379"/>
      <c r="X29" s="227"/>
      <c r="Y29" s="379"/>
      <c r="Z29" s="227"/>
      <c r="AA29" s="379"/>
      <c r="AB29" s="227"/>
      <c r="AC29" s="379"/>
      <c r="AD29" s="227"/>
      <c r="AE29" s="379"/>
      <c r="AF29" s="166">
        <f>+'CO2'!AF29+char!$C$4*N2O!AF29+char!$C$5*SF6_NF3!AF29+char!$C$6*'CH4'!AF29+char!$C$7*HFC!AF29+char!$C$8*PFC!AF29</f>
        <v>30.9376941648</v>
      </c>
      <c r="AG29" s="379">
        <f>+'CO2'!AG29+char!$C$4*N2O!AG29+char!$C$5*SF6_NF3!AG29+char!$C$6*'CH4'!AG29+char!$C$7*HFC!AG29+char!$C$8*PFC!AG29</f>
        <v>0</v>
      </c>
      <c r="AH29" s="166">
        <f>+'CO2'!AH29+char!$C$4*N2O!AH29+char!$C$5*SF6_NF3!AH29+char!$C$6*'CH4'!AH29+char!$C$7*HFC!AH29+char!$C$8*PFC!AH29</f>
        <v>28.493444083099998</v>
      </c>
      <c r="AI29" s="379">
        <f>+'CO2'!AI29+char!$C$4*N2O!AI29+char!$C$5*SF6_NF3!AI29+char!$C$6*'CH4'!AI29+char!$C$7*HFC!AI29+char!$C$8*PFC!AI29</f>
        <v>0</v>
      </c>
      <c r="AJ29" s="166">
        <f>+'CO2'!AJ29+char!$C$4*N2O!AJ29+char!$C$5*SF6_NF3!AJ29+char!$C$6*'CH4'!AJ29+char!$C$7*HFC!AJ29+char!$C$8*PFC!AJ29</f>
        <v>34.387827686499996</v>
      </c>
      <c r="AK29" s="379">
        <f>+'CO2'!AK29+char!$C$4*N2O!AK29+char!$C$5*SF6_NF3!AK29+char!$C$6*'CH4'!AK29+char!$C$7*HFC!AK29+char!$C$8*PFC!AK29</f>
        <v>0</v>
      </c>
      <c r="AL29" s="166">
        <f>+'CO2'!AL29+char!$C$4*N2O!AL29+char!$C$5*SF6_NF3!AL29+char!$C$6*'CH4'!AL29+char!$C$7*HFC!AL29+char!$C$8*PFC!AL29</f>
        <v>33.888417261899995</v>
      </c>
      <c r="AM29" s="379">
        <f>+'CO2'!AM29+char!$C$4*N2O!AM29+char!$C$5*SF6_NF3!AM29+char!$C$6*'CH4'!AM29+char!$C$7*HFC!AM29+char!$C$8*PFC!AM29</f>
        <v>0</v>
      </c>
      <c r="AN29" s="166">
        <f>+'CO2'!AN29+char!$C$4*N2O!AN29+char!$C$5*SF6_NF3!AN29+char!$C$6*'CH4'!AN29+char!$C$7*HFC!AN29+char!$C$8*PFC!AN29</f>
        <v>33.114019156099999</v>
      </c>
      <c r="AO29" s="379">
        <f>+'CO2'!AO29+char!$C$4*N2O!AO29+char!$C$5*SF6_NF3!AO29+char!$C$6*'CH4'!AO29+char!$C$7*HFC!AO29+char!$C$8*PFC!AO29</f>
        <v>0</v>
      </c>
      <c r="AP29" s="166">
        <f>+'CO2'!AP29+char!$C$4*N2O!AP29+char!$C$5*SF6_NF3!AP29+char!$C$6*'CH4'!AP29+char!$C$7*HFC!AP29+char!$C$8*PFC!AP29</f>
        <v>38.370791705199998</v>
      </c>
      <c r="AQ29" s="379">
        <f>+'CO2'!AQ29+char!$C$4*N2O!AQ29+char!$C$5*SF6_NF3!AQ29+char!$C$6*'CH4'!AQ29+char!$C$7*HFC!AQ29+char!$C$8*PFC!AQ29</f>
        <v>0</v>
      </c>
      <c r="AR29" s="166">
        <f>+'CO2'!AR29+char!$C$4*N2O!AR29+char!$C$5*SF6_NF3!AR29+char!$C$6*'CH4'!AR29+char!$C$7*HFC!AR29+char!$C$8*PFC!AR29</f>
        <v>32.027569376199999</v>
      </c>
      <c r="AS29" s="379">
        <f>+'CO2'!AS29+char!$C$4*N2O!AS29+char!$C$5*SF6_NF3!AS29+char!$C$6*'CH4'!AS29+char!$C$7*HFC!AS29+char!$C$8*PFC!AS29</f>
        <v>0</v>
      </c>
      <c r="AT29" s="166">
        <f>+'CO2'!AT29+char!$C$4*N2O!AT29+char!$C$5*SF6_NF3!AT29+char!$C$6*'CH4'!AT29+char!$C$7*HFC!AT29+char!$C$8*PFC!AT29</f>
        <v>31.859351744000001</v>
      </c>
      <c r="AU29" s="379">
        <f>+'CO2'!AU29+char!$C$4*N2O!AU29+char!$C$5*SF6_NF3!AU29+char!$C$6*'CH4'!AU29+char!$C$7*HFC!AU29+char!$C$8*PFC!AU29</f>
        <v>0</v>
      </c>
      <c r="AV29" s="166">
        <f>+'CO2'!AV29+char!$C$4*N2O!AV29+char!$C$5*SF6_NF3!AV29+char!$C$6*'CH4'!AV29+char!$C$7*HFC!AV29+char!$C$8*PFC!AV29</f>
        <v>23.540753284899999</v>
      </c>
      <c r="AW29" s="379">
        <f>+'CO2'!AW29+char!$C$4*N2O!AW29+char!$C$5*SF6_NF3!AW29+char!$C$6*'CH4'!AW29+char!$C$7*HFC!AW29+char!$C$8*PFC!AW29</f>
        <v>0</v>
      </c>
      <c r="AX29" s="166">
        <f>+'CO2'!AX29+char!$C$4*N2O!AX29+char!$C$5*SF6_NF3!AX29+char!$C$6*'CH4'!AX29+char!$C$7*HFC!AX29+char!$C$8*PFC!AX29</f>
        <v>21.847071951100002</v>
      </c>
      <c r="AY29" s="379">
        <f>+'CO2'!AY29+char!$C$4*N2O!AY29+char!$C$5*SF6_NF3!AY29+char!$C$6*'CH4'!AY29+char!$C$7*HFC!AY29+char!$C$8*PFC!AY29</f>
        <v>0</v>
      </c>
      <c r="AZ29" s="166">
        <f>+'CO2'!AZ29+char!$C$4*N2O!AZ29+char!$C$5*SF6_NF3!AZ29+char!$C$6*'CH4'!AZ29+char!$C$7*HFC!AZ29+char!$C$8*PFC!AZ29</f>
        <v>23.776386492</v>
      </c>
      <c r="BA29" s="379">
        <f>+'CO2'!BA29+char!$C$4*N2O!BA29+char!$C$5*SF6_NF3!BA29+char!$C$6*'CH4'!BA29+char!$C$7*HFC!BA29+char!$C$8*PFC!BA29</f>
        <v>0</v>
      </c>
      <c r="BB29" s="166">
        <f>+'CO2'!BB29+char!$C$4*N2O!BB29+char!$C$5*SF6_NF3!BB29+char!$C$6*'CH4'!BB29+char!$C$7*HFC!BB29+char!$C$8*PFC!BB29</f>
        <v>27.390485206900003</v>
      </c>
      <c r="BC29" s="379">
        <f>+'CO2'!BC29+char!$C$4*N2O!BC29+char!$C$5*SF6_NF3!BC29+char!$C$6*'CH4'!BC29+char!$C$7*HFC!BC29+char!$C$8*PFC!BC29</f>
        <v>0</v>
      </c>
      <c r="BD29" s="166">
        <f>+'CO2'!BD29+char!$C$4*N2O!BD29+char!$C$5*SF6_NF3!BD29+char!$C$6*'CH4'!BD29+char!$C$7*HFC!BD29+char!$C$8*PFC!BD29</f>
        <v>19.256861109599999</v>
      </c>
      <c r="BE29" s="379">
        <f>+'CO2'!BE29+char!$C$4*N2O!BE29+char!$C$5*SF6_NF3!BE29+char!$C$6*'CH4'!BE29+char!$C$7*HFC!BE29+char!$C$8*PFC!BE29</f>
        <v>0</v>
      </c>
      <c r="BF29" s="166">
        <f>+'CO2'!BF29+char!$C$4*N2O!BF29+char!$C$5*SF6_NF3!BF29+char!$C$6*'CH4'!BF29+char!$C$7*HFC!BF29+char!$C$8*PFC!BF29</f>
        <v>17.677321670700003</v>
      </c>
      <c r="BG29" s="379"/>
      <c r="BH29" s="227"/>
      <c r="BI29" s="184"/>
      <c r="CJ29" s="150"/>
      <c r="CK29" s="150"/>
      <c r="CL29" s="150"/>
      <c r="CM29" s="151" t="s">
        <v>768</v>
      </c>
      <c r="CN29" s="150" t="s">
        <v>1130</v>
      </c>
      <c r="CO29" s="150"/>
      <c r="CP29" s="150"/>
      <c r="CQ29" s="150"/>
      <c r="CR29" s="150"/>
      <c r="CS29" s="150"/>
      <c r="CT29" s="150"/>
    </row>
    <row r="30" spans="1:98" s="12" customFormat="1" ht="12.75" customHeight="1">
      <c r="A30" s="26"/>
      <c r="B30" s="89" t="str">
        <f>Parameters!Q29</f>
        <v>C29_C30</v>
      </c>
      <c r="C30" s="90"/>
      <c r="D30" s="504" t="str">
        <f>Parameters!S29</f>
        <v>Manufacture of motor vehicles, trailers, semi-trailers and of other transport equipment</v>
      </c>
      <c r="E30" s="506"/>
      <c r="F30" s="252"/>
      <c r="G30" s="380"/>
      <c r="H30" s="253"/>
      <c r="I30" s="380"/>
      <c r="J30" s="253"/>
      <c r="K30" s="380"/>
      <c r="L30" s="253"/>
      <c r="M30" s="380"/>
      <c r="N30" s="253"/>
      <c r="O30" s="380"/>
      <c r="P30" s="253"/>
      <c r="Q30" s="380"/>
      <c r="R30" s="253"/>
      <c r="S30" s="380"/>
      <c r="T30" s="253"/>
      <c r="U30" s="380"/>
      <c r="V30" s="253"/>
      <c r="W30" s="380"/>
      <c r="X30" s="253"/>
      <c r="Y30" s="380"/>
      <c r="Z30" s="253"/>
      <c r="AA30" s="380"/>
      <c r="AB30" s="253"/>
      <c r="AC30" s="380"/>
      <c r="AD30" s="253"/>
      <c r="AE30" s="380"/>
      <c r="AF30" s="253">
        <f>+'CO2'!AF30+char!$C$4*N2O!AF30+char!$C$5*SF6_NF3!AF30+char!$C$6*'CH4'!AF30+char!$C$7*HFC!AF30+char!$C$8*PFC!AF30</f>
        <v>58.719914033699993</v>
      </c>
      <c r="AG30" s="380">
        <f>+'CO2'!AG30+char!$C$4*N2O!AG30+char!$C$5*SF6_NF3!AG30+char!$C$6*'CH4'!AG30+char!$C$7*HFC!AG30+char!$C$8*PFC!AG30</f>
        <v>0</v>
      </c>
      <c r="AH30" s="253">
        <f>+'CO2'!AH30+char!$C$4*N2O!AH30+char!$C$5*SF6_NF3!AH30+char!$C$6*'CH4'!AH30+char!$C$7*HFC!AH30+char!$C$8*PFC!AH30</f>
        <v>38.571059371199993</v>
      </c>
      <c r="AI30" s="380">
        <f>+'CO2'!AI30+char!$C$4*N2O!AI30+char!$C$5*SF6_NF3!AI30+char!$C$6*'CH4'!AI30+char!$C$7*HFC!AI30+char!$C$8*PFC!AI30</f>
        <v>0</v>
      </c>
      <c r="AJ30" s="253">
        <f>+'CO2'!AJ30+char!$C$4*N2O!AJ30+char!$C$5*SF6_NF3!AJ30+char!$C$6*'CH4'!AJ30+char!$C$7*HFC!AJ30+char!$C$8*PFC!AJ30</f>
        <v>51.062624859300001</v>
      </c>
      <c r="AK30" s="380">
        <f>+'CO2'!AK30+char!$C$4*N2O!AK30+char!$C$5*SF6_NF3!AK30+char!$C$6*'CH4'!AK30+char!$C$7*HFC!AK30+char!$C$8*PFC!AK30</f>
        <v>0</v>
      </c>
      <c r="AL30" s="253">
        <f>+'CO2'!AL30+char!$C$4*N2O!AL30+char!$C$5*SF6_NF3!AL30+char!$C$6*'CH4'!AL30+char!$C$7*HFC!AL30+char!$C$8*PFC!AL30</f>
        <v>42.116299425000001</v>
      </c>
      <c r="AM30" s="380">
        <f>+'CO2'!AM30+char!$C$4*N2O!AM30+char!$C$5*SF6_NF3!AM30+char!$C$6*'CH4'!AM30+char!$C$7*HFC!AM30+char!$C$8*PFC!AM30</f>
        <v>0</v>
      </c>
      <c r="AN30" s="253">
        <f>+'CO2'!AN30+char!$C$4*N2O!AN30+char!$C$5*SF6_NF3!AN30+char!$C$6*'CH4'!AN30+char!$C$7*HFC!AN30+char!$C$8*PFC!AN30</f>
        <v>47.674324538399993</v>
      </c>
      <c r="AO30" s="380">
        <f>+'CO2'!AO30+char!$C$4*N2O!AO30+char!$C$5*SF6_NF3!AO30+char!$C$6*'CH4'!AO30+char!$C$7*HFC!AO30+char!$C$8*PFC!AO30</f>
        <v>0</v>
      </c>
      <c r="AP30" s="253">
        <f>+'CO2'!AP30+char!$C$4*N2O!AP30+char!$C$5*SF6_NF3!AP30+char!$C$6*'CH4'!AP30+char!$C$7*HFC!AP30+char!$C$8*PFC!AP30</f>
        <v>47.033877780099992</v>
      </c>
      <c r="AQ30" s="380">
        <f>+'CO2'!AQ30+char!$C$4*N2O!AQ30+char!$C$5*SF6_NF3!AQ30+char!$C$6*'CH4'!AQ30+char!$C$7*HFC!AQ30+char!$C$8*PFC!AQ30</f>
        <v>0</v>
      </c>
      <c r="AR30" s="253">
        <f>+'CO2'!AR30+char!$C$4*N2O!AR30+char!$C$5*SF6_NF3!AR30+char!$C$6*'CH4'!AR30+char!$C$7*HFC!AR30+char!$C$8*PFC!AR30</f>
        <v>39.364273498100005</v>
      </c>
      <c r="AS30" s="380">
        <f>+'CO2'!AS30+char!$C$4*N2O!AS30+char!$C$5*SF6_NF3!AS30+char!$C$6*'CH4'!AS30+char!$C$7*HFC!AS30+char!$C$8*PFC!AS30</f>
        <v>0</v>
      </c>
      <c r="AT30" s="253">
        <f>+'CO2'!AT30+char!$C$4*N2O!AT30+char!$C$5*SF6_NF3!AT30+char!$C$6*'CH4'!AT30+char!$C$7*HFC!AT30+char!$C$8*PFC!AT30</f>
        <v>26.423692175399996</v>
      </c>
      <c r="AU30" s="380">
        <f>+'CO2'!AU30+char!$C$4*N2O!AU30+char!$C$5*SF6_NF3!AU30+char!$C$6*'CH4'!AU30+char!$C$7*HFC!AU30+char!$C$8*PFC!AU30</f>
        <v>0</v>
      </c>
      <c r="AV30" s="253">
        <f>+'CO2'!AV30+char!$C$4*N2O!AV30+char!$C$5*SF6_NF3!AV30+char!$C$6*'CH4'!AV30+char!$C$7*HFC!AV30+char!$C$8*PFC!AV30</f>
        <v>21.429727514699998</v>
      </c>
      <c r="AW30" s="380">
        <f>+'CO2'!AW30+char!$C$4*N2O!AW30+char!$C$5*SF6_NF3!AW30+char!$C$6*'CH4'!AW30+char!$C$7*HFC!AW30+char!$C$8*PFC!AW30</f>
        <v>0</v>
      </c>
      <c r="AX30" s="253">
        <f>+'CO2'!AX30+char!$C$4*N2O!AX30+char!$C$5*SF6_NF3!AX30+char!$C$6*'CH4'!AX30+char!$C$7*HFC!AX30+char!$C$8*PFC!AX30</f>
        <v>23.990581946799999</v>
      </c>
      <c r="AY30" s="380">
        <f>+'CO2'!AY30+char!$C$4*N2O!AY30+char!$C$5*SF6_NF3!AY30+char!$C$6*'CH4'!AY30+char!$C$7*HFC!AY30+char!$C$8*PFC!AY30</f>
        <v>0</v>
      </c>
      <c r="AZ30" s="253">
        <f>+'CO2'!AZ30+char!$C$4*N2O!AZ30+char!$C$5*SF6_NF3!AZ30+char!$C$6*'CH4'!AZ30+char!$C$7*HFC!AZ30+char!$C$8*PFC!AZ30</f>
        <v>25.493263004999999</v>
      </c>
      <c r="BA30" s="380">
        <f>+'CO2'!BA30+char!$C$4*N2O!BA30+char!$C$5*SF6_NF3!BA30+char!$C$6*'CH4'!BA30+char!$C$7*HFC!BA30+char!$C$8*PFC!BA30</f>
        <v>0</v>
      </c>
      <c r="BB30" s="253">
        <f>+'CO2'!BB30+char!$C$4*N2O!BB30+char!$C$5*SF6_NF3!BB30+char!$C$6*'CH4'!BB30+char!$C$7*HFC!BB30+char!$C$8*PFC!BB30</f>
        <v>38.191257330500001</v>
      </c>
      <c r="BC30" s="380">
        <f>+'CO2'!BC30+char!$C$4*N2O!BC30+char!$C$5*SF6_NF3!BC30+char!$C$6*'CH4'!BC30+char!$C$7*HFC!BC30+char!$C$8*PFC!BC30</f>
        <v>0</v>
      </c>
      <c r="BD30" s="253">
        <f>+'CO2'!BD30+char!$C$4*N2O!BD30+char!$C$5*SF6_NF3!BD30+char!$C$6*'CH4'!BD30+char!$C$7*HFC!BD30+char!$C$8*PFC!BD30</f>
        <v>26.680810394600002</v>
      </c>
      <c r="BE30" s="380">
        <f>+'CO2'!BE30+char!$C$4*N2O!BE30+char!$C$5*SF6_NF3!BE30+char!$C$6*'CH4'!BE30+char!$C$7*HFC!BE30+char!$C$8*PFC!BE30</f>
        <v>0</v>
      </c>
      <c r="BF30" s="253">
        <f>+'CO2'!BF30+char!$C$4*N2O!BF30+char!$C$5*SF6_NF3!BF30+char!$C$6*'CH4'!BF30+char!$C$7*HFC!BF30+char!$C$8*PFC!BF30</f>
        <v>43.843444245100002</v>
      </c>
      <c r="BG30" s="380"/>
      <c r="BH30" s="253"/>
      <c r="BI30" s="254"/>
      <c r="CJ30" s="150"/>
      <c r="CK30" s="150"/>
      <c r="CL30" s="150"/>
      <c r="CM30" s="151"/>
      <c r="CN30" s="150"/>
      <c r="CO30" s="150"/>
      <c r="CP30" s="150"/>
      <c r="CQ30" s="150"/>
      <c r="CR30" s="150"/>
      <c r="CS30" s="150"/>
      <c r="CT30" s="150"/>
    </row>
    <row r="31" spans="1:98" s="12" customFormat="1" ht="12.75" customHeight="1">
      <c r="A31" s="310"/>
      <c r="B31" s="308" t="str">
        <f>Parameters!Q30</f>
        <v>C29</v>
      </c>
      <c r="C31" s="309"/>
      <c r="D31" s="495" t="str">
        <f>Parameters!S30</f>
        <v>Manufacture of motor vehicles, trailers and semi-trailers</v>
      </c>
      <c r="E31" s="496"/>
      <c r="F31" s="224"/>
      <c r="G31" s="379"/>
      <c r="H31" s="225"/>
      <c r="I31" s="379"/>
      <c r="J31" s="225"/>
      <c r="K31" s="379"/>
      <c r="L31" s="225"/>
      <c r="M31" s="379"/>
      <c r="N31" s="225"/>
      <c r="O31" s="379"/>
      <c r="P31" s="225"/>
      <c r="Q31" s="379"/>
      <c r="R31" s="225"/>
      <c r="S31" s="379"/>
      <c r="T31" s="225"/>
      <c r="U31" s="379"/>
      <c r="V31" s="225"/>
      <c r="W31" s="379"/>
      <c r="X31" s="225"/>
      <c r="Y31" s="379"/>
      <c r="Z31" s="225"/>
      <c r="AA31" s="379"/>
      <c r="AB31" s="225"/>
      <c r="AC31" s="379"/>
      <c r="AD31" s="225"/>
      <c r="AE31" s="379"/>
      <c r="AF31" s="165">
        <f>+'CO2'!AF31+char!$C$4*N2O!AF31+char!$C$5*SF6_NF3!AF31+char!$C$6*'CH4'!AF31+char!$C$7*HFC!AF31+char!$C$8*PFC!AF31</f>
        <v>13.329716714700002</v>
      </c>
      <c r="AG31" s="379">
        <f>+'CO2'!AG31+char!$C$4*N2O!AG31+char!$C$5*SF6_NF3!AG31+char!$C$6*'CH4'!AG31+char!$C$7*HFC!AG31+char!$C$8*PFC!AG31</f>
        <v>0</v>
      </c>
      <c r="AH31" s="165">
        <f>+'CO2'!AH31+char!$C$4*N2O!AH31+char!$C$5*SF6_NF3!AH31+char!$C$6*'CH4'!AH31+char!$C$7*HFC!AH31+char!$C$8*PFC!AH31</f>
        <v>7.6839241388999993</v>
      </c>
      <c r="AI31" s="379">
        <f>+'CO2'!AI31+char!$C$4*N2O!AI31+char!$C$5*SF6_NF3!AI31+char!$C$6*'CH4'!AI31+char!$C$7*HFC!AI31+char!$C$8*PFC!AI31</f>
        <v>0</v>
      </c>
      <c r="AJ31" s="165">
        <f>+'CO2'!AJ31+char!$C$4*N2O!AJ31+char!$C$5*SF6_NF3!AJ31+char!$C$6*'CH4'!AJ31+char!$C$7*HFC!AJ31+char!$C$8*PFC!AJ31</f>
        <v>21.0578173462</v>
      </c>
      <c r="AK31" s="379">
        <f>+'CO2'!AK31+char!$C$4*N2O!AK31+char!$C$5*SF6_NF3!AK31+char!$C$6*'CH4'!AK31+char!$C$7*HFC!AK31+char!$C$8*PFC!AK31</f>
        <v>0</v>
      </c>
      <c r="AL31" s="165">
        <f>+'CO2'!AL31+char!$C$4*N2O!AL31+char!$C$5*SF6_NF3!AL31+char!$C$6*'CH4'!AL31+char!$C$7*HFC!AL31+char!$C$8*PFC!AL31</f>
        <v>13.607281349400001</v>
      </c>
      <c r="AM31" s="379">
        <f>+'CO2'!AM31+char!$C$4*N2O!AM31+char!$C$5*SF6_NF3!AM31+char!$C$6*'CH4'!AM31+char!$C$7*HFC!AM31+char!$C$8*PFC!AM31</f>
        <v>0</v>
      </c>
      <c r="AN31" s="165">
        <f>+'CO2'!AN31+char!$C$4*N2O!AN31+char!$C$5*SF6_NF3!AN31+char!$C$6*'CH4'!AN31+char!$C$7*HFC!AN31+char!$C$8*PFC!AN31</f>
        <v>14.273066133799999</v>
      </c>
      <c r="AO31" s="379">
        <f>+'CO2'!AO31+char!$C$4*N2O!AO31+char!$C$5*SF6_NF3!AO31+char!$C$6*'CH4'!AO31+char!$C$7*HFC!AO31+char!$C$8*PFC!AO31</f>
        <v>0</v>
      </c>
      <c r="AP31" s="165">
        <f>+'CO2'!AP31+char!$C$4*N2O!AP31+char!$C$5*SF6_NF3!AP31+char!$C$6*'CH4'!AP31+char!$C$7*HFC!AP31+char!$C$8*PFC!AP31</f>
        <v>13.357756224900001</v>
      </c>
      <c r="AQ31" s="379">
        <f>+'CO2'!AQ31+char!$C$4*N2O!AQ31+char!$C$5*SF6_NF3!AQ31+char!$C$6*'CH4'!AQ31+char!$C$7*HFC!AQ31+char!$C$8*PFC!AQ31</f>
        <v>0</v>
      </c>
      <c r="AR31" s="165">
        <f>+'CO2'!AR31+char!$C$4*N2O!AR31+char!$C$5*SF6_NF3!AR31+char!$C$6*'CH4'!AR31+char!$C$7*HFC!AR31+char!$C$8*PFC!AR31</f>
        <v>14.122138941400001</v>
      </c>
      <c r="AS31" s="379">
        <f>+'CO2'!AS31+char!$C$4*N2O!AS31+char!$C$5*SF6_NF3!AS31+char!$C$6*'CH4'!AS31+char!$C$7*HFC!AS31+char!$C$8*PFC!AS31</f>
        <v>0</v>
      </c>
      <c r="AT31" s="165">
        <f>+'CO2'!AT31+char!$C$4*N2O!AT31+char!$C$5*SF6_NF3!AT31+char!$C$6*'CH4'!AT31+char!$C$7*HFC!AT31+char!$C$8*PFC!AT31</f>
        <v>3.3402597596999999</v>
      </c>
      <c r="AU31" s="379">
        <f>+'CO2'!AU31+char!$C$4*N2O!AU31+char!$C$5*SF6_NF3!AU31+char!$C$6*'CH4'!AU31+char!$C$7*HFC!AU31+char!$C$8*PFC!AU31</f>
        <v>0</v>
      </c>
      <c r="AV31" s="165">
        <f>+'CO2'!AV31+char!$C$4*N2O!AV31+char!$C$5*SF6_NF3!AV31+char!$C$6*'CH4'!AV31+char!$C$7*HFC!AV31+char!$C$8*PFC!AV31</f>
        <v>2.5076853003000004</v>
      </c>
      <c r="AW31" s="379">
        <f>+'CO2'!AW31+char!$C$4*N2O!AW31+char!$C$5*SF6_NF3!AW31+char!$C$6*'CH4'!AW31+char!$C$7*HFC!AW31+char!$C$8*PFC!AW31</f>
        <v>0</v>
      </c>
      <c r="AX31" s="165">
        <f>+'CO2'!AX31+char!$C$4*N2O!AX31+char!$C$5*SF6_NF3!AX31+char!$C$6*'CH4'!AX31+char!$C$7*HFC!AX31+char!$C$8*PFC!AX31</f>
        <v>3.9722168020000006</v>
      </c>
      <c r="AY31" s="379">
        <f>+'CO2'!AY31+char!$C$4*N2O!AY31+char!$C$5*SF6_NF3!AY31+char!$C$6*'CH4'!AY31+char!$C$7*HFC!AY31+char!$C$8*PFC!AY31</f>
        <v>0</v>
      </c>
      <c r="AZ31" s="165">
        <f>+'CO2'!AZ31+char!$C$4*N2O!AZ31+char!$C$5*SF6_NF3!AZ31+char!$C$6*'CH4'!AZ31+char!$C$7*HFC!AZ31+char!$C$8*PFC!AZ31</f>
        <v>3.8585817999000001</v>
      </c>
      <c r="BA31" s="379">
        <f>+'CO2'!BA31+char!$C$4*N2O!BA31+char!$C$5*SF6_NF3!BA31+char!$C$6*'CH4'!BA31+char!$C$7*HFC!BA31+char!$C$8*PFC!BA31</f>
        <v>0</v>
      </c>
      <c r="BB31" s="165">
        <f>+'CO2'!BB31+char!$C$4*N2O!BB31+char!$C$5*SF6_NF3!BB31+char!$C$6*'CH4'!BB31+char!$C$7*HFC!BB31+char!$C$8*PFC!BB31</f>
        <v>3.4961987296000001</v>
      </c>
      <c r="BC31" s="379">
        <f>+'CO2'!BC31+char!$C$4*N2O!BC31+char!$C$5*SF6_NF3!BC31+char!$C$6*'CH4'!BC31+char!$C$7*HFC!BC31+char!$C$8*PFC!BC31</f>
        <v>0</v>
      </c>
      <c r="BD31" s="165">
        <f>+'CO2'!BD31+char!$C$4*N2O!BD31+char!$C$5*SF6_NF3!BD31+char!$C$6*'CH4'!BD31+char!$C$7*HFC!BD31+char!$C$8*PFC!BD31</f>
        <v>2.7132145900999998</v>
      </c>
      <c r="BE31" s="379">
        <f>+'CO2'!BE31+char!$C$4*N2O!BE31+char!$C$5*SF6_NF3!BE31+char!$C$6*'CH4'!BE31+char!$C$7*HFC!BE31+char!$C$8*PFC!BE31</f>
        <v>0</v>
      </c>
      <c r="BF31" s="165">
        <f>+'CO2'!BF31+char!$C$4*N2O!BF31+char!$C$5*SF6_NF3!BF31+char!$C$6*'CH4'!BF31+char!$C$7*HFC!BF31+char!$C$8*PFC!BF31</f>
        <v>5.1219301233000003</v>
      </c>
      <c r="BG31" s="379"/>
      <c r="BH31" s="225"/>
      <c r="BI31" s="184"/>
      <c r="CJ31" s="150"/>
      <c r="CK31" s="150"/>
      <c r="CL31" s="150"/>
      <c r="CM31" s="151" t="s">
        <v>779</v>
      </c>
      <c r="CN31" s="150" t="s">
        <v>1130</v>
      </c>
      <c r="CO31" s="150"/>
      <c r="CP31" s="150"/>
      <c r="CQ31" s="150"/>
      <c r="CR31" s="150"/>
      <c r="CS31" s="150"/>
      <c r="CT31" s="150"/>
    </row>
    <row r="32" spans="1:98" s="12" customFormat="1" ht="12.75" customHeight="1">
      <c r="A32" s="310"/>
      <c r="B32" s="308" t="str">
        <f>Parameters!Q31</f>
        <v>C30</v>
      </c>
      <c r="C32" s="309"/>
      <c r="D32" s="495" t="str">
        <f>Parameters!S31</f>
        <v>Manufacture of other transport equipment</v>
      </c>
      <c r="E32" s="496"/>
      <c r="F32" s="224"/>
      <c r="G32" s="379"/>
      <c r="H32" s="225"/>
      <c r="I32" s="379"/>
      <c r="J32" s="225"/>
      <c r="K32" s="379"/>
      <c r="L32" s="225"/>
      <c r="M32" s="379"/>
      <c r="N32" s="225"/>
      <c r="O32" s="379"/>
      <c r="P32" s="225"/>
      <c r="Q32" s="379"/>
      <c r="R32" s="225"/>
      <c r="S32" s="379"/>
      <c r="T32" s="225"/>
      <c r="U32" s="379"/>
      <c r="V32" s="225"/>
      <c r="W32" s="379"/>
      <c r="X32" s="225"/>
      <c r="Y32" s="379"/>
      <c r="Z32" s="225"/>
      <c r="AA32" s="379"/>
      <c r="AB32" s="225"/>
      <c r="AC32" s="379"/>
      <c r="AD32" s="225"/>
      <c r="AE32" s="379"/>
      <c r="AF32" s="165">
        <f>+'CO2'!AF32+char!$C$4*N2O!AF32+char!$C$5*SF6_NF3!AF32+char!$C$6*'CH4'!AF32+char!$C$7*HFC!AF32+char!$C$8*PFC!AF32</f>
        <v>45.390197321799995</v>
      </c>
      <c r="AG32" s="379">
        <f>+'CO2'!AG32+char!$C$4*N2O!AG32+char!$C$5*SF6_NF3!AG32+char!$C$6*'CH4'!AG32+char!$C$7*HFC!AG32+char!$C$8*PFC!AG32</f>
        <v>0</v>
      </c>
      <c r="AH32" s="165">
        <f>+'CO2'!AH32+char!$C$4*N2O!AH32+char!$C$5*SF6_NF3!AH32+char!$C$6*'CH4'!AH32+char!$C$7*HFC!AH32+char!$C$8*PFC!AH32</f>
        <v>30.887135235100001</v>
      </c>
      <c r="AI32" s="379">
        <f>+'CO2'!AI32+char!$C$4*N2O!AI32+char!$C$5*SF6_NF3!AI32+char!$C$6*'CH4'!AI32+char!$C$7*HFC!AI32+char!$C$8*PFC!AI32</f>
        <v>0</v>
      </c>
      <c r="AJ32" s="165">
        <f>+'CO2'!AJ32+char!$C$4*N2O!AJ32+char!$C$5*SF6_NF3!AJ32+char!$C$6*'CH4'!AJ32+char!$C$7*HFC!AJ32+char!$C$8*PFC!AJ32</f>
        <v>30.0048074131</v>
      </c>
      <c r="AK32" s="379">
        <f>+'CO2'!AK32+char!$C$4*N2O!AK32+char!$C$5*SF6_NF3!AK32+char!$C$6*'CH4'!AK32+char!$C$7*HFC!AK32+char!$C$8*PFC!AK32</f>
        <v>0</v>
      </c>
      <c r="AL32" s="165">
        <f>+'CO2'!AL32+char!$C$4*N2O!AL32+char!$C$5*SF6_NF3!AL32+char!$C$6*'CH4'!AL32+char!$C$7*HFC!AL32+char!$C$8*PFC!AL32</f>
        <v>28.509018075600004</v>
      </c>
      <c r="AM32" s="379">
        <f>+'CO2'!AM32+char!$C$4*N2O!AM32+char!$C$5*SF6_NF3!AM32+char!$C$6*'CH4'!AM32+char!$C$7*HFC!AM32+char!$C$8*PFC!AM32</f>
        <v>0</v>
      </c>
      <c r="AN32" s="165">
        <f>+'CO2'!AN32+char!$C$4*N2O!AN32+char!$C$5*SF6_NF3!AN32+char!$C$6*'CH4'!AN32+char!$C$7*HFC!AN32+char!$C$8*PFC!AN32</f>
        <v>33.401258378099989</v>
      </c>
      <c r="AO32" s="379">
        <f>+'CO2'!AO32+char!$C$4*N2O!AO32+char!$C$5*SF6_NF3!AO32+char!$C$6*'CH4'!AO32+char!$C$7*HFC!AO32+char!$C$8*PFC!AO32</f>
        <v>0</v>
      </c>
      <c r="AP32" s="165">
        <f>+'CO2'!AP32+char!$C$4*N2O!AP32+char!$C$5*SF6_NF3!AP32+char!$C$6*'CH4'!AP32+char!$C$7*HFC!AP32+char!$C$8*PFC!AP32</f>
        <v>33.676121555199998</v>
      </c>
      <c r="AQ32" s="379">
        <f>+'CO2'!AQ32+char!$C$4*N2O!AQ32+char!$C$5*SF6_NF3!AQ32+char!$C$6*'CH4'!AQ32+char!$C$7*HFC!AQ32+char!$C$8*PFC!AQ32</f>
        <v>0</v>
      </c>
      <c r="AR32" s="165">
        <f>+'CO2'!AR32+char!$C$4*N2O!AR32+char!$C$5*SF6_NF3!AR32+char!$C$6*'CH4'!AR32+char!$C$7*HFC!AR32+char!$C$8*PFC!AR32</f>
        <v>25.242134556700002</v>
      </c>
      <c r="AS32" s="379">
        <f>+'CO2'!AS32+char!$C$4*N2O!AS32+char!$C$5*SF6_NF3!AS32+char!$C$6*'CH4'!AS32+char!$C$7*HFC!AS32+char!$C$8*PFC!AS32</f>
        <v>0</v>
      </c>
      <c r="AT32" s="165">
        <f>+'CO2'!AT32+char!$C$4*N2O!AT32+char!$C$5*SF6_NF3!AT32+char!$C$6*'CH4'!AT32+char!$C$7*HFC!AT32+char!$C$8*PFC!AT32</f>
        <v>23.083432415800001</v>
      </c>
      <c r="AU32" s="379">
        <f>+'CO2'!AU32+char!$C$4*N2O!AU32+char!$C$5*SF6_NF3!AU32+char!$C$6*'CH4'!AU32+char!$C$7*HFC!AU32+char!$C$8*PFC!AU32</f>
        <v>0</v>
      </c>
      <c r="AV32" s="165">
        <f>+'CO2'!AV32+char!$C$4*N2O!AV32+char!$C$5*SF6_NF3!AV32+char!$C$6*'CH4'!AV32+char!$C$7*HFC!AV32+char!$C$8*PFC!AV32</f>
        <v>18.922042314399999</v>
      </c>
      <c r="AW32" s="379">
        <f>+'CO2'!AW32+char!$C$4*N2O!AW32+char!$C$5*SF6_NF3!AW32+char!$C$6*'CH4'!AW32+char!$C$7*HFC!AW32+char!$C$8*PFC!AW32</f>
        <v>0</v>
      </c>
      <c r="AX32" s="165">
        <f>+'CO2'!AX32+char!$C$4*N2O!AX32+char!$C$5*SF6_NF3!AX32+char!$C$6*'CH4'!AX32+char!$C$7*HFC!AX32+char!$C$8*PFC!AX32</f>
        <v>20.018365141999997</v>
      </c>
      <c r="AY32" s="379">
        <f>+'CO2'!AY32+char!$C$4*N2O!AY32+char!$C$5*SF6_NF3!AY32+char!$C$6*'CH4'!AY32+char!$C$7*HFC!AY32+char!$C$8*PFC!AY32</f>
        <v>0</v>
      </c>
      <c r="AZ32" s="165">
        <f>+'CO2'!AZ32+char!$C$4*N2O!AZ32+char!$C$5*SF6_NF3!AZ32+char!$C$6*'CH4'!AZ32+char!$C$7*HFC!AZ32+char!$C$8*PFC!AZ32</f>
        <v>21.634681305099999</v>
      </c>
      <c r="BA32" s="379">
        <f>+'CO2'!BA32+char!$C$4*N2O!BA32+char!$C$5*SF6_NF3!BA32+char!$C$6*'CH4'!BA32+char!$C$7*HFC!BA32+char!$C$8*PFC!BA32</f>
        <v>0</v>
      </c>
      <c r="BB32" s="165">
        <f>+'CO2'!BB32+char!$C$4*N2O!BB32+char!$C$5*SF6_NF3!BB32+char!$C$6*'CH4'!BB32+char!$C$7*HFC!BB32+char!$C$8*PFC!BB32</f>
        <v>34.695058603699998</v>
      </c>
      <c r="BC32" s="379">
        <f>+'CO2'!BC32+char!$C$4*N2O!BC32+char!$C$5*SF6_NF3!BC32+char!$C$6*'CH4'!BC32+char!$C$7*HFC!BC32+char!$C$8*PFC!BC32</f>
        <v>0</v>
      </c>
      <c r="BD32" s="165">
        <f>+'CO2'!BD32+char!$C$4*N2O!BD32+char!$C$5*SF6_NF3!BD32+char!$C$6*'CH4'!BD32+char!$C$7*HFC!BD32+char!$C$8*PFC!BD32</f>
        <v>23.967595804399998</v>
      </c>
      <c r="BE32" s="379">
        <f>+'CO2'!BE32+char!$C$4*N2O!BE32+char!$C$5*SF6_NF3!BE32+char!$C$6*'CH4'!BE32+char!$C$7*HFC!BE32+char!$C$8*PFC!BE32</f>
        <v>0</v>
      </c>
      <c r="BF32" s="165">
        <f>+'CO2'!BF32+char!$C$4*N2O!BF32+char!$C$5*SF6_NF3!BF32+char!$C$6*'CH4'!BF32+char!$C$7*HFC!BF32+char!$C$8*PFC!BF32</f>
        <v>38.721514121799999</v>
      </c>
      <c r="BG32" s="379"/>
      <c r="BH32" s="225"/>
      <c r="BI32" s="184"/>
      <c r="CJ32" s="150"/>
      <c r="CK32" s="150"/>
      <c r="CL32" s="150"/>
      <c r="CM32" s="151" t="s">
        <v>788</v>
      </c>
      <c r="CN32" s="150" t="s">
        <v>1130</v>
      </c>
      <c r="CO32" s="150"/>
      <c r="CP32" s="150"/>
      <c r="CQ32" s="150"/>
      <c r="CR32" s="150"/>
      <c r="CS32" s="150"/>
      <c r="CT32" s="150"/>
    </row>
    <row r="33" spans="1:98" s="12" customFormat="1" ht="25.5" customHeight="1">
      <c r="A33" s="26"/>
      <c r="B33" s="89" t="str">
        <f>Parameters!Q32</f>
        <v>C31-C33</v>
      </c>
      <c r="C33" s="90"/>
      <c r="D33" s="504" t="str">
        <f>Parameters!S32</f>
        <v>Manufacture of furniture; jewellery, musical instruments, toys; repair and installation of machinery and equipment</v>
      </c>
      <c r="E33" s="506"/>
      <c r="F33" s="252"/>
      <c r="G33" s="380"/>
      <c r="H33" s="253"/>
      <c r="I33" s="380"/>
      <c r="J33" s="253"/>
      <c r="K33" s="380"/>
      <c r="L33" s="253"/>
      <c r="M33" s="380"/>
      <c r="N33" s="253"/>
      <c r="O33" s="380"/>
      <c r="P33" s="253"/>
      <c r="Q33" s="380"/>
      <c r="R33" s="253"/>
      <c r="S33" s="380"/>
      <c r="T33" s="253"/>
      <c r="U33" s="380"/>
      <c r="V33" s="253"/>
      <c r="W33" s="380"/>
      <c r="X33" s="253"/>
      <c r="Y33" s="380"/>
      <c r="Z33" s="253"/>
      <c r="AA33" s="380"/>
      <c r="AB33" s="253"/>
      <c r="AC33" s="380"/>
      <c r="AD33" s="253"/>
      <c r="AE33" s="380"/>
      <c r="AF33" s="253">
        <f>+'CO2'!AF33+char!$C$4*N2O!AF33+char!$C$5*SF6_NF3!AF33+char!$C$6*'CH4'!AF33+char!$C$7*HFC!AF33+char!$C$8*PFC!AF33</f>
        <v>31.6316011692</v>
      </c>
      <c r="AG33" s="380">
        <f>+'CO2'!AG33+char!$C$4*N2O!AG33+char!$C$5*SF6_NF3!AG33+char!$C$6*'CH4'!AG33+char!$C$7*HFC!AG33+char!$C$8*PFC!AG33</f>
        <v>0</v>
      </c>
      <c r="AH33" s="253">
        <f>+'CO2'!AH33+char!$C$4*N2O!AH33+char!$C$5*SF6_NF3!AH33+char!$C$6*'CH4'!AH33+char!$C$7*HFC!AH33+char!$C$8*PFC!AH33</f>
        <v>33.027288090200003</v>
      </c>
      <c r="AI33" s="380">
        <f>+'CO2'!AI33+char!$C$4*N2O!AI33+char!$C$5*SF6_NF3!AI33+char!$C$6*'CH4'!AI33+char!$C$7*HFC!AI33+char!$C$8*PFC!AI33</f>
        <v>0</v>
      </c>
      <c r="AJ33" s="253">
        <f>+'CO2'!AJ33+char!$C$4*N2O!AJ33+char!$C$5*SF6_NF3!AJ33+char!$C$6*'CH4'!AJ33+char!$C$7*HFC!AJ33+char!$C$8*PFC!AJ33</f>
        <v>48.313937728399999</v>
      </c>
      <c r="AK33" s="380">
        <f>+'CO2'!AK33+char!$C$4*N2O!AK33+char!$C$5*SF6_NF3!AK33+char!$C$6*'CH4'!AK33+char!$C$7*HFC!AK33+char!$C$8*PFC!AK33</f>
        <v>0</v>
      </c>
      <c r="AL33" s="253">
        <f>+'CO2'!AL33+char!$C$4*N2O!AL33+char!$C$5*SF6_NF3!AL33+char!$C$6*'CH4'!AL33+char!$C$7*HFC!AL33+char!$C$8*PFC!AL33</f>
        <v>39.706454326299998</v>
      </c>
      <c r="AM33" s="380">
        <f>+'CO2'!AM33+char!$C$4*N2O!AM33+char!$C$5*SF6_NF3!AM33+char!$C$6*'CH4'!AM33+char!$C$7*HFC!AM33+char!$C$8*PFC!AM33</f>
        <v>0</v>
      </c>
      <c r="AN33" s="253">
        <f>+'CO2'!AN33+char!$C$4*N2O!AN33+char!$C$5*SF6_NF3!AN33+char!$C$6*'CH4'!AN33+char!$C$7*HFC!AN33+char!$C$8*PFC!AN33</f>
        <v>33.875420066499991</v>
      </c>
      <c r="AO33" s="380">
        <f>+'CO2'!AO33+char!$C$4*N2O!AO33+char!$C$5*SF6_NF3!AO33+char!$C$6*'CH4'!AO33+char!$C$7*HFC!AO33+char!$C$8*PFC!AO33</f>
        <v>0</v>
      </c>
      <c r="AP33" s="253">
        <f>+'CO2'!AP33+char!$C$4*N2O!AP33+char!$C$5*SF6_NF3!AP33+char!$C$6*'CH4'!AP33+char!$C$7*HFC!AP33+char!$C$8*PFC!AP33</f>
        <v>28.9031311012</v>
      </c>
      <c r="AQ33" s="380">
        <f>+'CO2'!AQ33+char!$C$4*N2O!AQ33+char!$C$5*SF6_NF3!AQ33+char!$C$6*'CH4'!AQ33+char!$C$7*HFC!AQ33+char!$C$8*PFC!AQ33</f>
        <v>0</v>
      </c>
      <c r="AR33" s="253">
        <f>+'CO2'!AR33+char!$C$4*N2O!AR33+char!$C$5*SF6_NF3!AR33+char!$C$6*'CH4'!AR33+char!$C$7*HFC!AR33+char!$C$8*PFC!AR33</f>
        <v>35.757964821599998</v>
      </c>
      <c r="AS33" s="380">
        <f>+'CO2'!AS33+char!$C$4*N2O!AS33+char!$C$5*SF6_NF3!AS33+char!$C$6*'CH4'!AS33+char!$C$7*HFC!AS33+char!$C$8*PFC!AS33</f>
        <v>0</v>
      </c>
      <c r="AT33" s="253">
        <f>+'CO2'!AT33+char!$C$4*N2O!AT33+char!$C$5*SF6_NF3!AT33+char!$C$6*'CH4'!AT33+char!$C$7*HFC!AT33+char!$C$8*PFC!AT33</f>
        <v>38.262462736899998</v>
      </c>
      <c r="AU33" s="380">
        <f>+'CO2'!AU33+char!$C$4*N2O!AU33+char!$C$5*SF6_NF3!AU33+char!$C$6*'CH4'!AU33+char!$C$7*HFC!AU33+char!$C$8*PFC!AU33</f>
        <v>0</v>
      </c>
      <c r="AV33" s="253">
        <f>+'CO2'!AV33+char!$C$4*N2O!AV33+char!$C$5*SF6_NF3!AV33+char!$C$6*'CH4'!AV33+char!$C$7*HFC!AV33+char!$C$8*PFC!AV33</f>
        <v>39.215067153900002</v>
      </c>
      <c r="AW33" s="380">
        <f>+'CO2'!AW33+char!$C$4*N2O!AW33+char!$C$5*SF6_NF3!AW33+char!$C$6*'CH4'!AW33+char!$C$7*HFC!AW33+char!$C$8*PFC!AW33</f>
        <v>0</v>
      </c>
      <c r="AX33" s="253">
        <f>+'CO2'!AX33+char!$C$4*N2O!AX33+char!$C$5*SF6_NF3!AX33+char!$C$6*'CH4'!AX33+char!$C$7*HFC!AX33+char!$C$8*PFC!AX33</f>
        <v>29.078628205000001</v>
      </c>
      <c r="AY33" s="380">
        <f>+'CO2'!AY33+char!$C$4*N2O!AY33+char!$C$5*SF6_NF3!AY33+char!$C$6*'CH4'!AY33+char!$C$7*HFC!AY33+char!$C$8*PFC!AY33</f>
        <v>0</v>
      </c>
      <c r="AZ33" s="253">
        <f>+'CO2'!AZ33+char!$C$4*N2O!AZ33+char!$C$5*SF6_NF3!AZ33+char!$C$6*'CH4'!AZ33+char!$C$7*HFC!AZ33+char!$C$8*PFC!AZ33</f>
        <v>32.823526181199995</v>
      </c>
      <c r="BA33" s="380">
        <f>+'CO2'!BA33+char!$C$4*N2O!BA33+char!$C$5*SF6_NF3!BA33+char!$C$6*'CH4'!BA33+char!$C$7*HFC!BA33+char!$C$8*PFC!BA33</f>
        <v>0</v>
      </c>
      <c r="BB33" s="253">
        <f>+'CO2'!BB33+char!$C$4*N2O!BB33+char!$C$5*SF6_NF3!BB33+char!$C$6*'CH4'!BB33+char!$C$7*HFC!BB33+char!$C$8*PFC!BB33</f>
        <v>38.458583988199997</v>
      </c>
      <c r="BC33" s="380">
        <f>+'CO2'!BC33+char!$C$4*N2O!BC33+char!$C$5*SF6_NF3!BC33+char!$C$6*'CH4'!BC33+char!$C$7*HFC!BC33+char!$C$8*PFC!BC33</f>
        <v>0</v>
      </c>
      <c r="BD33" s="253">
        <f>+'CO2'!BD33+char!$C$4*N2O!BD33+char!$C$5*SF6_NF3!BD33+char!$C$6*'CH4'!BD33+char!$C$7*HFC!BD33+char!$C$8*PFC!BD33</f>
        <v>40.582691398799994</v>
      </c>
      <c r="BE33" s="380">
        <f>+'CO2'!BE33+char!$C$4*N2O!BE33+char!$C$5*SF6_NF3!BE33+char!$C$6*'CH4'!BE33+char!$C$7*HFC!BE33+char!$C$8*PFC!BE33</f>
        <v>0</v>
      </c>
      <c r="BF33" s="253">
        <f>+'CO2'!BF33+char!$C$4*N2O!BF33+char!$C$5*SF6_NF3!BF33+char!$C$6*'CH4'!BF33+char!$C$7*HFC!BF33+char!$C$8*PFC!BF33</f>
        <v>39.724803675400004</v>
      </c>
      <c r="BG33" s="380"/>
      <c r="BH33" s="253"/>
      <c r="BI33" s="254"/>
      <c r="CJ33" s="150"/>
      <c r="CK33" s="150"/>
      <c r="CL33" s="150"/>
      <c r="CM33" s="151"/>
      <c r="CN33" s="150"/>
      <c r="CO33" s="150"/>
      <c r="CP33" s="150"/>
      <c r="CQ33" s="150"/>
      <c r="CR33" s="150"/>
      <c r="CS33" s="150"/>
      <c r="CT33" s="150"/>
    </row>
    <row r="34" spans="1:98" s="12" customFormat="1" ht="12.75" customHeight="1">
      <c r="A34" s="310"/>
      <c r="B34" s="308" t="str">
        <f>Parameters!Q33</f>
        <v>C31_C32</v>
      </c>
      <c r="C34" s="309"/>
      <c r="D34" s="495" t="str">
        <f>Parameters!S33</f>
        <v>Manufacture of furniture; other manufacturing</v>
      </c>
      <c r="E34" s="496"/>
      <c r="F34" s="224"/>
      <c r="G34" s="379"/>
      <c r="H34" s="225"/>
      <c r="I34" s="379"/>
      <c r="J34" s="225"/>
      <c r="K34" s="379"/>
      <c r="L34" s="225"/>
      <c r="M34" s="379"/>
      <c r="N34" s="225"/>
      <c r="O34" s="379"/>
      <c r="P34" s="225"/>
      <c r="Q34" s="379"/>
      <c r="R34" s="225"/>
      <c r="S34" s="379"/>
      <c r="T34" s="225"/>
      <c r="U34" s="379"/>
      <c r="V34" s="225"/>
      <c r="W34" s="379"/>
      <c r="X34" s="225"/>
      <c r="Y34" s="379"/>
      <c r="Z34" s="225"/>
      <c r="AA34" s="379"/>
      <c r="AB34" s="225"/>
      <c r="AC34" s="379"/>
      <c r="AD34" s="225"/>
      <c r="AE34" s="379"/>
      <c r="AF34" s="165">
        <f>+'CO2'!AF34+char!$C$4*N2O!AF34+char!$C$5*SF6_NF3!AF34+char!$C$6*'CH4'!AF34+char!$C$7*HFC!AF34+char!$C$8*PFC!AF34</f>
        <v>14.226367581</v>
      </c>
      <c r="AG34" s="379">
        <f>+'CO2'!AG34+char!$C$4*N2O!AG34+char!$C$5*SF6_NF3!AG34+char!$C$6*'CH4'!AG34+char!$C$7*HFC!AG34+char!$C$8*PFC!AG34</f>
        <v>0</v>
      </c>
      <c r="AH34" s="165">
        <f>+'CO2'!AH34+char!$C$4*N2O!AH34+char!$C$5*SF6_NF3!AH34+char!$C$6*'CH4'!AH34+char!$C$7*HFC!AH34+char!$C$8*PFC!AH34</f>
        <v>10.449278185899999</v>
      </c>
      <c r="AI34" s="379">
        <f>+'CO2'!AI34+char!$C$4*N2O!AI34+char!$C$5*SF6_NF3!AI34+char!$C$6*'CH4'!AI34+char!$C$7*HFC!AI34+char!$C$8*PFC!AI34</f>
        <v>0</v>
      </c>
      <c r="AJ34" s="165">
        <f>+'CO2'!AJ34+char!$C$4*N2O!AJ34+char!$C$5*SF6_NF3!AJ34+char!$C$6*'CH4'!AJ34+char!$C$7*HFC!AJ34+char!$C$8*PFC!AJ34</f>
        <v>16.076452572100003</v>
      </c>
      <c r="AK34" s="379">
        <f>+'CO2'!AK34+char!$C$4*N2O!AK34+char!$C$5*SF6_NF3!AK34+char!$C$6*'CH4'!AK34+char!$C$7*HFC!AK34+char!$C$8*PFC!AK34</f>
        <v>0</v>
      </c>
      <c r="AL34" s="165">
        <f>+'CO2'!AL34+char!$C$4*N2O!AL34+char!$C$5*SF6_NF3!AL34+char!$C$6*'CH4'!AL34+char!$C$7*HFC!AL34+char!$C$8*PFC!AL34</f>
        <v>12.047645299299999</v>
      </c>
      <c r="AM34" s="379">
        <f>+'CO2'!AM34+char!$C$4*N2O!AM34+char!$C$5*SF6_NF3!AM34+char!$C$6*'CH4'!AM34+char!$C$7*HFC!AM34+char!$C$8*PFC!AM34</f>
        <v>0</v>
      </c>
      <c r="AN34" s="165">
        <f>+'CO2'!AN34+char!$C$4*N2O!AN34+char!$C$5*SF6_NF3!AN34+char!$C$6*'CH4'!AN34+char!$C$7*HFC!AN34+char!$C$8*PFC!AN34</f>
        <v>10.9663498463</v>
      </c>
      <c r="AO34" s="379">
        <f>+'CO2'!AO34+char!$C$4*N2O!AO34+char!$C$5*SF6_NF3!AO34+char!$C$6*'CH4'!AO34+char!$C$7*HFC!AO34+char!$C$8*PFC!AO34</f>
        <v>0</v>
      </c>
      <c r="AP34" s="165">
        <f>+'CO2'!AP34+char!$C$4*N2O!AP34+char!$C$5*SF6_NF3!AP34+char!$C$6*'CH4'!AP34+char!$C$7*HFC!AP34+char!$C$8*PFC!AP34</f>
        <v>10.982892845</v>
      </c>
      <c r="AQ34" s="379">
        <f>+'CO2'!AQ34+char!$C$4*N2O!AQ34+char!$C$5*SF6_NF3!AQ34+char!$C$6*'CH4'!AQ34+char!$C$7*HFC!AQ34+char!$C$8*PFC!AQ34</f>
        <v>0</v>
      </c>
      <c r="AR34" s="165">
        <f>+'CO2'!AR34+char!$C$4*N2O!AR34+char!$C$5*SF6_NF3!AR34+char!$C$6*'CH4'!AR34+char!$C$7*HFC!AR34+char!$C$8*PFC!AR34</f>
        <v>10.7072147424</v>
      </c>
      <c r="AS34" s="379">
        <f>+'CO2'!AS34+char!$C$4*N2O!AS34+char!$C$5*SF6_NF3!AS34+char!$C$6*'CH4'!AS34+char!$C$7*HFC!AS34+char!$C$8*PFC!AS34</f>
        <v>0</v>
      </c>
      <c r="AT34" s="165">
        <f>+'CO2'!AT34+char!$C$4*N2O!AT34+char!$C$5*SF6_NF3!AT34+char!$C$6*'CH4'!AT34+char!$C$7*HFC!AT34+char!$C$8*PFC!AT34</f>
        <v>7.7666912250999998</v>
      </c>
      <c r="AU34" s="379">
        <f>+'CO2'!AU34+char!$C$4*N2O!AU34+char!$C$5*SF6_NF3!AU34+char!$C$6*'CH4'!AU34+char!$C$7*HFC!AU34+char!$C$8*PFC!AU34</f>
        <v>0</v>
      </c>
      <c r="AV34" s="165">
        <f>+'CO2'!AV34+char!$C$4*N2O!AV34+char!$C$5*SF6_NF3!AV34+char!$C$6*'CH4'!AV34+char!$C$7*HFC!AV34+char!$C$8*PFC!AV34</f>
        <v>9.3878647364999992</v>
      </c>
      <c r="AW34" s="379">
        <f>+'CO2'!AW34+char!$C$4*N2O!AW34+char!$C$5*SF6_NF3!AW34+char!$C$6*'CH4'!AW34+char!$C$7*HFC!AW34+char!$C$8*PFC!AW34</f>
        <v>0</v>
      </c>
      <c r="AX34" s="165">
        <f>+'CO2'!AX34+char!$C$4*N2O!AX34+char!$C$5*SF6_NF3!AX34+char!$C$6*'CH4'!AX34+char!$C$7*HFC!AX34+char!$C$8*PFC!AX34</f>
        <v>8.3896504266000012</v>
      </c>
      <c r="AY34" s="379">
        <f>+'CO2'!AY34+char!$C$4*N2O!AY34+char!$C$5*SF6_NF3!AY34+char!$C$6*'CH4'!AY34+char!$C$7*HFC!AY34+char!$C$8*PFC!AY34</f>
        <v>0</v>
      </c>
      <c r="AZ34" s="165">
        <f>+'CO2'!AZ34+char!$C$4*N2O!AZ34+char!$C$5*SF6_NF3!AZ34+char!$C$6*'CH4'!AZ34+char!$C$7*HFC!AZ34+char!$C$8*PFC!AZ34</f>
        <v>8.662306203</v>
      </c>
      <c r="BA34" s="379">
        <f>+'CO2'!BA34+char!$C$4*N2O!BA34+char!$C$5*SF6_NF3!BA34+char!$C$6*'CH4'!BA34+char!$C$7*HFC!BA34+char!$C$8*PFC!BA34</f>
        <v>0</v>
      </c>
      <c r="BB34" s="165">
        <f>+'CO2'!BB34+char!$C$4*N2O!BB34+char!$C$5*SF6_NF3!BB34+char!$C$6*'CH4'!BB34+char!$C$7*HFC!BB34+char!$C$8*PFC!BB34</f>
        <v>7.1936992620999991</v>
      </c>
      <c r="BC34" s="379">
        <f>+'CO2'!BC34+char!$C$4*N2O!BC34+char!$C$5*SF6_NF3!BC34+char!$C$6*'CH4'!BC34+char!$C$7*HFC!BC34+char!$C$8*PFC!BC34</f>
        <v>0</v>
      </c>
      <c r="BD34" s="165">
        <f>+'CO2'!BD34+char!$C$4*N2O!BD34+char!$C$5*SF6_NF3!BD34+char!$C$6*'CH4'!BD34+char!$C$7*HFC!BD34+char!$C$8*PFC!BD34</f>
        <v>9.2003599675000007</v>
      </c>
      <c r="BE34" s="379">
        <f>+'CO2'!BE34+char!$C$4*N2O!BE34+char!$C$5*SF6_NF3!BE34+char!$C$6*'CH4'!BE34+char!$C$7*HFC!BE34+char!$C$8*PFC!BE34</f>
        <v>0</v>
      </c>
      <c r="BF34" s="165">
        <f>+'CO2'!BF34+char!$C$4*N2O!BF34+char!$C$5*SF6_NF3!BF34+char!$C$6*'CH4'!BF34+char!$C$7*HFC!BF34+char!$C$8*PFC!BF34</f>
        <v>8.1983022763999998</v>
      </c>
      <c r="BG34" s="379"/>
      <c r="BH34" s="225"/>
      <c r="BI34" s="184"/>
      <c r="CJ34" s="150"/>
      <c r="CK34" s="150"/>
      <c r="CL34" s="150"/>
      <c r="CM34" s="151" t="s">
        <v>1137</v>
      </c>
      <c r="CN34" s="150" t="s">
        <v>1130</v>
      </c>
      <c r="CO34" s="150"/>
      <c r="CP34" s="150"/>
      <c r="CQ34" s="150"/>
      <c r="CR34" s="150"/>
      <c r="CS34" s="150"/>
      <c r="CT34" s="150"/>
    </row>
    <row r="35" spans="1:98" s="11" customFormat="1" ht="12.75" customHeight="1">
      <c r="A35" s="310"/>
      <c r="B35" s="308" t="str">
        <f>Parameters!Q34</f>
        <v>C33</v>
      </c>
      <c r="C35" s="309"/>
      <c r="D35" s="495" t="str">
        <f>Parameters!S34</f>
        <v>Repair and installation of machinery and equipment</v>
      </c>
      <c r="E35" s="510"/>
      <c r="F35" s="224"/>
      <c r="G35" s="379"/>
      <c r="H35" s="225"/>
      <c r="I35" s="379"/>
      <c r="J35" s="225"/>
      <c r="K35" s="379"/>
      <c r="L35" s="225"/>
      <c r="M35" s="379"/>
      <c r="N35" s="225"/>
      <c r="O35" s="379"/>
      <c r="P35" s="225"/>
      <c r="Q35" s="379"/>
      <c r="R35" s="225"/>
      <c r="S35" s="379"/>
      <c r="T35" s="225"/>
      <c r="U35" s="379"/>
      <c r="V35" s="225"/>
      <c r="W35" s="379"/>
      <c r="X35" s="225"/>
      <c r="Y35" s="379"/>
      <c r="Z35" s="225"/>
      <c r="AA35" s="379"/>
      <c r="AB35" s="225"/>
      <c r="AC35" s="379"/>
      <c r="AD35" s="225"/>
      <c r="AE35" s="379"/>
      <c r="AF35" s="165">
        <f>+'CO2'!AF35+char!$C$4*N2O!AF35+char!$C$5*SF6_NF3!AF35+char!$C$6*'CH4'!AF35+char!$C$7*HFC!AF35+char!$C$8*PFC!AF35</f>
        <v>17.405233588199998</v>
      </c>
      <c r="AG35" s="379">
        <f>+'CO2'!AG35+char!$C$4*N2O!AG35+char!$C$5*SF6_NF3!AG35+char!$C$6*'CH4'!AG35+char!$C$7*HFC!AG35+char!$C$8*PFC!AG35</f>
        <v>0</v>
      </c>
      <c r="AH35" s="165">
        <f>+'CO2'!AH35+char!$C$4*N2O!AH35+char!$C$5*SF6_NF3!AH35+char!$C$6*'CH4'!AH35+char!$C$7*HFC!AH35+char!$C$8*PFC!AH35</f>
        <v>22.5780099043</v>
      </c>
      <c r="AI35" s="379">
        <f>+'CO2'!AI35+char!$C$4*N2O!AI35+char!$C$5*SF6_NF3!AI35+char!$C$6*'CH4'!AI35+char!$C$7*HFC!AI35+char!$C$8*PFC!AI35</f>
        <v>0</v>
      </c>
      <c r="AJ35" s="165">
        <f>+'CO2'!AJ35+char!$C$4*N2O!AJ35+char!$C$5*SF6_NF3!AJ35+char!$C$6*'CH4'!AJ35+char!$C$7*HFC!AJ35+char!$C$8*PFC!AJ35</f>
        <v>32.2374851298</v>
      </c>
      <c r="AK35" s="379">
        <f>+'CO2'!AK35+char!$C$4*N2O!AK35+char!$C$5*SF6_NF3!AK35+char!$C$6*'CH4'!AK35+char!$C$7*HFC!AK35+char!$C$8*PFC!AK35</f>
        <v>0</v>
      </c>
      <c r="AL35" s="165">
        <f>+'CO2'!AL35+char!$C$4*N2O!AL35+char!$C$5*SF6_NF3!AL35+char!$C$6*'CH4'!AL35+char!$C$7*HFC!AL35+char!$C$8*PFC!AL35</f>
        <v>27.658808927000003</v>
      </c>
      <c r="AM35" s="379">
        <f>+'CO2'!AM35+char!$C$4*N2O!AM35+char!$C$5*SF6_NF3!AM35+char!$C$6*'CH4'!AM35+char!$C$7*HFC!AM35+char!$C$8*PFC!AM35</f>
        <v>0</v>
      </c>
      <c r="AN35" s="165">
        <f>+'CO2'!AN35+char!$C$4*N2O!AN35+char!$C$5*SF6_NF3!AN35+char!$C$6*'CH4'!AN35+char!$C$7*HFC!AN35+char!$C$8*PFC!AN35</f>
        <v>22.9090701937</v>
      </c>
      <c r="AO35" s="379">
        <f>+'CO2'!AO35+char!$C$4*N2O!AO35+char!$C$5*SF6_NF3!AO35+char!$C$6*'CH4'!AO35+char!$C$7*HFC!AO35+char!$C$8*PFC!AO35</f>
        <v>0</v>
      </c>
      <c r="AP35" s="165">
        <f>+'CO2'!AP35+char!$C$4*N2O!AP35+char!$C$5*SF6_NF3!AP35+char!$C$6*'CH4'!AP35+char!$C$7*HFC!AP35+char!$C$8*PFC!AP35</f>
        <v>17.920238282700002</v>
      </c>
      <c r="AQ35" s="379">
        <f>+'CO2'!AQ35+char!$C$4*N2O!AQ35+char!$C$5*SF6_NF3!AQ35+char!$C$6*'CH4'!AQ35+char!$C$7*HFC!AQ35+char!$C$8*PFC!AQ35</f>
        <v>0</v>
      </c>
      <c r="AR35" s="165">
        <f>+'CO2'!AR35+char!$C$4*N2O!AR35+char!$C$5*SF6_NF3!AR35+char!$C$6*'CH4'!AR35+char!$C$7*HFC!AR35+char!$C$8*PFC!AR35</f>
        <v>25.0507500527</v>
      </c>
      <c r="AS35" s="379">
        <f>+'CO2'!AS35+char!$C$4*N2O!AS35+char!$C$5*SF6_NF3!AS35+char!$C$6*'CH4'!AS35+char!$C$7*HFC!AS35+char!$C$8*PFC!AS35</f>
        <v>0</v>
      </c>
      <c r="AT35" s="165">
        <f>+'CO2'!AT35+char!$C$4*N2O!AT35+char!$C$5*SF6_NF3!AT35+char!$C$6*'CH4'!AT35+char!$C$7*HFC!AT35+char!$C$8*PFC!AT35</f>
        <v>30.495771411800003</v>
      </c>
      <c r="AU35" s="379">
        <f>+'CO2'!AU35+char!$C$4*N2O!AU35+char!$C$5*SF6_NF3!AU35+char!$C$6*'CH4'!AU35+char!$C$7*HFC!AU35+char!$C$8*PFC!AU35</f>
        <v>0</v>
      </c>
      <c r="AV35" s="165">
        <f>+'CO2'!AV35+char!$C$4*N2O!AV35+char!$C$5*SF6_NF3!AV35+char!$C$6*'CH4'!AV35+char!$C$7*HFC!AV35+char!$C$8*PFC!AV35</f>
        <v>29.827202417400002</v>
      </c>
      <c r="AW35" s="379">
        <f>+'CO2'!AW35+char!$C$4*N2O!AW35+char!$C$5*SF6_NF3!AW35+char!$C$6*'CH4'!AW35+char!$C$7*HFC!AW35+char!$C$8*PFC!AW35</f>
        <v>0</v>
      </c>
      <c r="AX35" s="165">
        <f>+'CO2'!AX35+char!$C$4*N2O!AX35+char!$C$5*SF6_NF3!AX35+char!$C$6*'CH4'!AX35+char!$C$7*HFC!AX35+char!$C$8*PFC!AX35</f>
        <v>20.688977781200002</v>
      </c>
      <c r="AY35" s="379">
        <f>+'CO2'!AY35+char!$C$4*N2O!AY35+char!$C$5*SF6_NF3!AY35+char!$C$6*'CH4'!AY35+char!$C$7*HFC!AY35+char!$C$8*PFC!AY35</f>
        <v>0</v>
      </c>
      <c r="AZ35" s="165">
        <f>+'CO2'!AZ35+char!$C$4*N2O!AZ35+char!$C$5*SF6_NF3!AZ35+char!$C$6*'CH4'!AZ35+char!$C$7*HFC!AZ35+char!$C$8*PFC!AZ35</f>
        <v>24.161219978199998</v>
      </c>
      <c r="BA35" s="379">
        <f>+'CO2'!BA35+char!$C$4*N2O!BA35+char!$C$5*SF6_NF3!BA35+char!$C$6*'CH4'!BA35+char!$C$7*HFC!BA35+char!$C$8*PFC!BA35</f>
        <v>0</v>
      </c>
      <c r="BB35" s="165">
        <f>+'CO2'!BB35+char!$C$4*N2O!BB35+char!$C$5*SF6_NF3!BB35+char!$C$6*'CH4'!BB35+char!$C$7*HFC!BB35+char!$C$8*PFC!BB35</f>
        <v>31.264884826100001</v>
      </c>
      <c r="BC35" s="379">
        <f>+'CO2'!BC35+char!$C$4*N2O!BC35+char!$C$5*SF6_NF3!BC35+char!$C$6*'CH4'!BC35+char!$C$7*HFC!BC35+char!$C$8*PFC!BC35</f>
        <v>0</v>
      </c>
      <c r="BD35" s="165">
        <f>+'CO2'!BD35+char!$C$4*N2O!BD35+char!$C$5*SF6_NF3!BD35+char!$C$6*'CH4'!BD35+char!$C$7*HFC!BD35+char!$C$8*PFC!BD35</f>
        <v>31.3823315313</v>
      </c>
      <c r="BE35" s="379">
        <f>+'CO2'!BE35+char!$C$4*N2O!BE35+char!$C$5*SF6_NF3!BE35+char!$C$6*'CH4'!BE35+char!$C$7*HFC!BE35+char!$C$8*PFC!BE35</f>
        <v>0</v>
      </c>
      <c r="BF35" s="165">
        <f>+'CO2'!BF35+char!$C$4*N2O!BF35+char!$C$5*SF6_NF3!BF35+char!$C$6*'CH4'!BF35+char!$C$7*HFC!BF35+char!$C$8*PFC!BF35</f>
        <v>31.5265013962</v>
      </c>
      <c r="BG35" s="379"/>
      <c r="BH35" s="225"/>
      <c r="BI35" s="184"/>
      <c r="CJ35" s="150"/>
      <c r="CK35" s="150"/>
      <c r="CL35" s="150"/>
      <c r="CM35" s="151" t="s">
        <v>810</v>
      </c>
      <c r="CN35" s="150" t="s">
        <v>1130</v>
      </c>
      <c r="CO35" s="150"/>
      <c r="CP35" s="150"/>
      <c r="CQ35" s="150"/>
      <c r="CR35" s="150"/>
      <c r="CS35" s="150"/>
      <c r="CT35" s="150"/>
    </row>
    <row r="36" spans="1:98" s="10" customFormat="1" ht="12.75" customHeight="1">
      <c r="A36" s="25"/>
      <c r="B36" s="87" t="str">
        <f>Parameters!Q35</f>
        <v>D</v>
      </c>
      <c r="C36" s="88"/>
      <c r="D36" s="498" t="str">
        <f>Parameters!S35</f>
        <v>Electricity, gas, steam and air conditioning supply</v>
      </c>
      <c r="E36" s="496"/>
      <c r="F36" s="222"/>
      <c r="G36" s="379"/>
      <c r="H36" s="223"/>
      <c r="I36" s="379"/>
      <c r="J36" s="223"/>
      <c r="K36" s="379"/>
      <c r="L36" s="223"/>
      <c r="M36" s="379"/>
      <c r="N36" s="223"/>
      <c r="O36" s="379"/>
      <c r="P36" s="223"/>
      <c r="Q36" s="379"/>
      <c r="R36" s="223"/>
      <c r="S36" s="379"/>
      <c r="T36" s="223"/>
      <c r="U36" s="379"/>
      <c r="V36" s="223"/>
      <c r="W36" s="379"/>
      <c r="X36" s="223"/>
      <c r="Y36" s="379"/>
      <c r="Z36" s="223"/>
      <c r="AA36" s="379"/>
      <c r="AB36" s="223"/>
      <c r="AC36" s="379"/>
      <c r="AD36" s="223"/>
      <c r="AE36" s="379"/>
      <c r="AF36" s="164">
        <f>+'CO2'!AF36+char!$C$4*N2O!AF36+char!$C$5*SF6_NF3!AF36+char!$C$6*'CH4'!AF36+char!$C$7*HFC!AF36+char!$C$8*PFC!AF36</f>
        <v>871.18903850039999</v>
      </c>
      <c r="AG36" s="379">
        <f>+'CO2'!AG36+char!$C$4*N2O!AG36+char!$C$5*SF6_NF3!AG36+char!$C$6*'CH4'!AG36+char!$C$7*HFC!AG36+char!$C$8*PFC!AG36</f>
        <v>0</v>
      </c>
      <c r="AH36" s="164">
        <f>+'CO2'!AH36+char!$C$4*N2O!AH36+char!$C$5*SF6_NF3!AH36+char!$C$6*'CH4'!AH36+char!$C$7*HFC!AH36+char!$C$8*PFC!AH36</f>
        <v>2084.2547496886</v>
      </c>
      <c r="AI36" s="379">
        <f>+'CO2'!AI36+char!$C$4*N2O!AI36+char!$C$5*SF6_NF3!AI36+char!$C$6*'CH4'!AI36+char!$C$7*HFC!AI36+char!$C$8*PFC!AI36</f>
        <v>0</v>
      </c>
      <c r="AJ36" s="164">
        <f>+'CO2'!AJ36+char!$C$4*N2O!AJ36+char!$C$5*SF6_NF3!AJ36+char!$C$6*'CH4'!AJ36+char!$C$7*HFC!AJ36+char!$C$8*PFC!AJ36</f>
        <v>2565.0554119088001</v>
      </c>
      <c r="AK36" s="379" t="e">
        <f>+'CO2'!AK36+char!$C$4*N2O!AK36+char!$C$5*SF6_NF3!AK36+char!$C$6*'CH4'!AK36+char!$C$7*HFC!AK36+char!$C$8*PFC!AK36</f>
        <v>#VALUE!</v>
      </c>
      <c r="AL36" s="164">
        <f>+'CO2'!AL36+char!$C$4*N2O!AL36+char!$C$5*SF6_NF3!AL36+char!$C$6*'CH4'!AL36+char!$C$7*HFC!AL36+char!$C$8*PFC!AL36</f>
        <v>2343.4091702579999</v>
      </c>
      <c r="AM36" s="379">
        <f>+'CO2'!AM36+char!$C$4*N2O!AM36+char!$C$5*SF6_NF3!AM36+char!$C$6*'CH4'!AM36+char!$C$7*HFC!AM36+char!$C$8*PFC!AM36</f>
        <v>0</v>
      </c>
      <c r="AN36" s="164">
        <f>+'CO2'!AN36+char!$C$4*N2O!AN36+char!$C$5*SF6_NF3!AN36+char!$C$6*'CH4'!AN36+char!$C$7*HFC!AN36+char!$C$8*PFC!AN36</f>
        <v>1820.9756369893</v>
      </c>
      <c r="AO36" s="379">
        <f>+'CO2'!AO36+char!$C$4*N2O!AO36+char!$C$5*SF6_NF3!AO36+char!$C$6*'CH4'!AO36+char!$C$7*HFC!AO36+char!$C$8*PFC!AO36</f>
        <v>0</v>
      </c>
      <c r="AP36" s="164">
        <f>+'CO2'!AP36+char!$C$4*N2O!AP36+char!$C$5*SF6_NF3!AP36+char!$C$6*'CH4'!AP36+char!$C$7*HFC!AP36+char!$C$8*PFC!AP36</f>
        <v>1844.2539473950999</v>
      </c>
      <c r="AQ36" s="379">
        <f>+'CO2'!AQ36+char!$C$4*N2O!AQ36+char!$C$5*SF6_NF3!AQ36+char!$C$6*'CH4'!AQ36+char!$C$7*HFC!AQ36+char!$C$8*PFC!AQ36</f>
        <v>0</v>
      </c>
      <c r="AR36" s="164">
        <f>+'CO2'!AR36+char!$C$4*N2O!AR36+char!$C$5*SF6_NF3!AR36+char!$C$6*'CH4'!AR36+char!$C$7*HFC!AR36+char!$C$8*PFC!AR36</f>
        <v>1801.8010625247</v>
      </c>
      <c r="AS36" s="379">
        <f>+'CO2'!AS36+char!$C$4*N2O!AS36+char!$C$5*SF6_NF3!AS36+char!$C$6*'CH4'!AS36+char!$C$7*HFC!AS36+char!$C$8*PFC!AS36</f>
        <v>0</v>
      </c>
      <c r="AT36" s="164">
        <f>+'CO2'!AT36+char!$C$4*N2O!AT36+char!$C$5*SF6_NF3!AT36+char!$C$6*'CH4'!AT36+char!$C$7*HFC!AT36+char!$C$8*PFC!AT36</f>
        <v>1790.8848916732002</v>
      </c>
      <c r="AU36" s="379">
        <f>+'CO2'!AU36+char!$C$4*N2O!AU36+char!$C$5*SF6_NF3!AU36+char!$C$6*'CH4'!AU36+char!$C$7*HFC!AU36+char!$C$8*PFC!AU36</f>
        <v>0</v>
      </c>
      <c r="AV36" s="164">
        <f>+'CO2'!AV36+char!$C$4*N2O!AV36+char!$C$5*SF6_NF3!AV36+char!$C$6*'CH4'!AV36+char!$C$7*HFC!AV36+char!$C$8*PFC!AV36</f>
        <v>1743.3111475546</v>
      </c>
      <c r="AW36" s="379">
        <f>+'CO2'!AW36+char!$C$4*N2O!AW36+char!$C$5*SF6_NF3!AW36+char!$C$6*'CH4'!AW36+char!$C$7*HFC!AW36+char!$C$8*PFC!AW36</f>
        <v>0</v>
      </c>
      <c r="AX36" s="164">
        <f>+'CO2'!AX36+char!$C$4*N2O!AX36+char!$C$5*SF6_NF3!AX36+char!$C$6*'CH4'!AX36+char!$C$7*HFC!AX36+char!$C$8*PFC!AX36</f>
        <v>1879.6414022054</v>
      </c>
      <c r="AY36" s="379">
        <f>+'CO2'!AY36+char!$C$4*N2O!AY36+char!$C$5*SF6_NF3!AY36+char!$C$6*'CH4'!AY36+char!$C$7*HFC!AY36+char!$C$8*PFC!AY36</f>
        <v>0</v>
      </c>
      <c r="AZ36" s="164">
        <f>+'CO2'!AZ36+char!$C$4*N2O!AZ36+char!$C$5*SF6_NF3!AZ36+char!$C$6*'CH4'!AZ36+char!$C$7*HFC!AZ36+char!$C$8*PFC!AZ36</f>
        <v>1836.6569659465001</v>
      </c>
      <c r="BA36" s="379">
        <f>+'CO2'!BA36+char!$C$4*N2O!BA36+char!$C$5*SF6_NF3!BA36+char!$C$6*'CH4'!BA36+char!$C$7*HFC!BA36+char!$C$8*PFC!BA36</f>
        <v>0</v>
      </c>
      <c r="BB36" s="164">
        <f>+'CO2'!BB36+char!$C$4*N2O!BB36+char!$C$5*SF6_NF3!BB36+char!$C$6*'CH4'!BB36+char!$C$7*HFC!BB36+char!$C$8*PFC!BB36</f>
        <v>1744.0489438534998</v>
      </c>
      <c r="BC36" s="379" t="e">
        <f>+'CO2'!BC36+char!$C$4*N2O!BC36+char!$C$5*SF6_NF3!BC36+char!$C$6*'CH4'!BC36+char!$C$7*HFC!BC36+char!$C$8*PFC!BC36</f>
        <v>#VALUE!</v>
      </c>
      <c r="BD36" s="164">
        <f>+'CO2'!BD36+char!$C$4*N2O!BD36+char!$C$5*SF6_NF3!BD36+char!$C$6*'CH4'!BD36+char!$C$7*HFC!BD36+char!$C$8*PFC!BD36</f>
        <v>1681.1526864</v>
      </c>
      <c r="BE36" s="379">
        <f>+'CO2'!BE36+char!$C$4*N2O!BE36+char!$C$5*SF6_NF3!BE36+char!$C$6*'CH4'!BE36+char!$C$7*HFC!BE36+char!$C$8*PFC!BE36</f>
        <v>0</v>
      </c>
      <c r="BF36" s="164">
        <f>+'CO2'!BF36+char!$C$4*N2O!BF36+char!$C$5*SF6_NF3!BF36+char!$C$6*'CH4'!BF36+char!$C$7*HFC!BF36+char!$C$8*PFC!BF36</f>
        <v>1723.4143780608999</v>
      </c>
      <c r="BG36" s="379"/>
      <c r="BH36" s="223"/>
      <c r="BI36" s="184"/>
      <c r="CJ36" s="150"/>
      <c r="CK36" s="150"/>
      <c r="CL36" s="150"/>
      <c r="CM36" s="151" t="s">
        <v>275</v>
      </c>
      <c r="CN36" s="150" t="s">
        <v>1130</v>
      </c>
      <c r="CO36" s="150"/>
      <c r="CP36" s="150"/>
      <c r="CQ36" s="150"/>
      <c r="CR36" s="150"/>
      <c r="CS36" s="150"/>
      <c r="CT36" s="150"/>
    </row>
    <row r="37" spans="1:98" s="10" customFormat="1">
      <c r="A37" s="25"/>
      <c r="B37" s="87" t="str">
        <f>Parameters!Q36</f>
        <v>E</v>
      </c>
      <c r="C37" s="88"/>
      <c r="D37" s="498" t="str">
        <f>Parameters!S36</f>
        <v>Water supply; sewerage, waste management and remediation activities</v>
      </c>
      <c r="E37" s="499"/>
      <c r="F37" s="222"/>
      <c r="G37" s="379"/>
      <c r="H37" s="223"/>
      <c r="I37" s="379"/>
      <c r="J37" s="223"/>
      <c r="K37" s="379"/>
      <c r="L37" s="223"/>
      <c r="M37" s="379"/>
      <c r="N37" s="223"/>
      <c r="O37" s="379"/>
      <c r="P37" s="223"/>
      <c r="Q37" s="379"/>
      <c r="R37" s="223"/>
      <c r="S37" s="379"/>
      <c r="T37" s="223"/>
      <c r="U37" s="379"/>
      <c r="V37" s="223"/>
      <c r="W37" s="379"/>
      <c r="X37" s="223"/>
      <c r="Y37" s="379"/>
      <c r="Z37" s="223"/>
      <c r="AA37" s="379"/>
      <c r="AB37" s="223"/>
      <c r="AC37" s="379"/>
      <c r="AD37" s="223"/>
      <c r="AE37" s="379"/>
      <c r="AF37" s="164">
        <f>+'CO2'!AF37+char!$C$4*N2O!AF37+char!$C$5*SF6_NF3!AF37+char!$C$6*'CH4'!AF37+char!$C$7*HFC!AF37+char!$C$8*PFC!AF37</f>
        <v>1697.2200091044001</v>
      </c>
      <c r="AG37" s="379">
        <f>+'CO2'!AG37+char!$C$4*N2O!AG37+char!$C$5*SF6_NF3!AG37+char!$C$6*'CH4'!AG37+char!$C$7*HFC!AG37+char!$C$8*PFC!AG37</f>
        <v>0</v>
      </c>
      <c r="AH37" s="164">
        <f>+'CO2'!AH37+char!$C$4*N2O!AH37+char!$C$5*SF6_NF3!AH37+char!$C$6*'CH4'!AH37+char!$C$7*HFC!AH37+char!$C$8*PFC!AH37</f>
        <v>1761.7394549914</v>
      </c>
      <c r="AI37" s="379" t="e">
        <f>+'CO2'!AI37+char!$C$4*N2O!AI37+char!$C$5*SF6_NF3!AI37+char!$C$6*'CH4'!AI37+char!$C$7*HFC!AI37+char!$C$8*PFC!AI37</f>
        <v>#VALUE!</v>
      </c>
      <c r="AJ37" s="164">
        <f>+'CO2'!AJ37+char!$C$4*N2O!AJ37+char!$C$5*SF6_NF3!AJ37+char!$C$6*'CH4'!AJ37+char!$C$7*HFC!AJ37+char!$C$8*PFC!AJ37</f>
        <v>1762.2503658925</v>
      </c>
      <c r="AK37" s="379">
        <f>+'CO2'!AK37+char!$C$4*N2O!AK37+char!$C$5*SF6_NF3!AK37+char!$C$6*'CH4'!AK37+char!$C$7*HFC!AK37+char!$C$8*PFC!AK37</f>
        <v>0</v>
      </c>
      <c r="AL37" s="164">
        <f>+'CO2'!AL37+char!$C$4*N2O!AL37+char!$C$5*SF6_NF3!AL37+char!$C$6*'CH4'!AL37+char!$C$7*HFC!AL37+char!$C$8*PFC!AL37</f>
        <v>1817.8161171488</v>
      </c>
      <c r="AM37" s="379">
        <f>+'CO2'!AM37+char!$C$4*N2O!AM37+char!$C$5*SF6_NF3!AM37+char!$C$6*'CH4'!AM37+char!$C$7*HFC!AM37+char!$C$8*PFC!AM37</f>
        <v>0</v>
      </c>
      <c r="AN37" s="164">
        <f>+'CO2'!AN37+char!$C$4*N2O!AN37+char!$C$5*SF6_NF3!AN37+char!$C$6*'CH4'!AN37+char!$C$7*HFC!AN37+char!$C$8*PFC!AN37</f>
        <v>1804.3264711266002</v>
      </c>
      <c r="AO37" s="379">
        <f>+'CO2'!AO37+char!$C$4*N2O!AO37+char!$C$5*SF6_NF3!AO37+char!$C$6*'CH4'!AO37+char!$C$7*HFC!AO37+char!$C$8*PFC!AO37</f>
        <v>0</v>
      </c>
      <c r="AP37" s="164">
        <f>+'CO2'!AP37+char!$C$4*N2O!AP37+char!$C$5*SF6_NF3!AP37+char!$C$6*'CH4'!AP37+char!$C$7*HFC!AP37+char!$C$8*PFC!AP37</f>
        <v>1839.7709125298002</v>
      </c>
      <c r="AQ37" s="379">
        <f>+'CO2'!AQ37+char!$C$4*N2O!AQ37+char!$C$5*SF6_NF3!AQ37+char!$C$6*'CH4'!AQ37+char!$C$7*HFC!AQ37+char!$C$8*PFC!AQ37</f>
        <v>0</v>
      </c>
      <c r="AR37" s="164">
        <f>+'CO2'!AR37+char!$C$4*N2O!AR37+char!$C$5*SF6_NF3!AR37+char!$C$6*'CH4'!AR37+char!$C$7*HFC!AR37+char!$C$8*PFC!AR37</f>
        <v>1784.0420786551999</v>
      </c>
      <c r="AS37" s="379">
        <f>+'CO2'!AS37+char!$C$4*N2O!AS37+char!$C$5*SF6_NF3!AS37+char!$C$6*'CH4'!AS37+char!$C$7*HFC!AS37+char!$C$8*PFC!AS37</f>
        <v>0</v>
      </c>
      <c r="AT37" s="164">
        <f>+'CO2'!AT37+char!$C$4*N2O!AT37+char!$C$5*SF6_NF3!AT37+char!$C$6*'CH4'!AT37+char!$C$7*HFC!AT37+char!$C$8*PFC!AT37</f>
        <v>1648.3903784772001</v>
      </c>
      <c r="AU37" s="379">
        <f>+'CO2'!AU37+char!$C$4*N2O!AU37+char!$C$5*SF6_NF3!AU37+char!$C$6*'CH4'!AU37+char!$C$7*HFC!AU37+char!$C$8*PFC!AU37</f>
        <v>0</v>
      </c>
      <c r="AV37" s="164">
        <f>+'CO2'!AV37+char!$C$4*N2O!AV37+char!$C$5*SF6_NF3!AV37+char!$C$6*'CH4'!AV37+char!$C$7*HFC!AV37+char!$C$8*PFC!AV37</f>
        <v>1664.2907858905</v>
      </c>
      <c r="AW37" s="379">
        <f>+'CO2'!AW37+char!$C$4*N2O!AW37+char!$C$5*SF6_NF3!AW37+char!$C$6*'CH4'!AW37+char!$C$7*HFC!AW37+char!$C$8*PFC!AW37</f>
        <v>0</v>
      </c>
      <c r="AX37" s="164">
        <f>+'CO2'!AX37+char!$C$4*N2O!AX37+char!$C$5*SF6_NF3!AX37+char!$C$6*'CH4'!AX37+char!$C$7*HFC!AX37+char!$C$8*PFC!AX37</f>
        <v>1662.4634513067999</v>
      </c>
      <c r="AY37" s="379">
        <f>+'CO2'!AY37+char!$C$4*N2O!AY37+char!$C$5*SF6_NF3!AY37+char!$C$6*'CH4'!AY37+char!$C$7*HFC!AY37+char!$C$8*PFC!AY37</f>
        <v>0</v>
      </c>
      <c r="AZ37" s="164">
        <f>+'CO2'!AZ37+char!$C$4*N2O!AZ37+char!$C$5*SF6_NF3!AZ37+char!$C$6*'CH4'!AZ37+char!$C$7*HFC!AZ37+char!$C$8*PFC!AZ37</f>
        <v>1653.8522840127</v>
      </c>
      <c r="BA37" s="379">
        <f>+'CO2'!BA37+char!$C$4*N2O!BA37+char!$C$5*SF6_NF3!BA37+char!$C$6*'CH4'!BA37+char!$C$7*HFC!BA37+char!$C$8*PFC!BA37</f>
        <v>0</v>
      </c>
      <c r="BB37" s="164">
        <f>+'CO2'!BB37+char!$C$4*N2O!BB37+char!$C$5*SF6_NF3!BB37+char!$C$6*'CH4'!BB37+char!$C$7*HFC!BB37+char!$C$8*PFC!BB37</f>
        <v>1562.8750221376999</v>
      </c>
      <c r="BC37" s="379">
        <f>+'CO2'!BC37+char!$C$4*N2O!BC37+char!$C$5*SF6_NF3!BC37+char!$C$6*'CH4'!BC37+char!$C$7*HFC!BC37+char!$C$8*PFC!BC37</f>
        <v>0</v>
      </c>
      <c r="BD37" s="164">
        <f>+'CO2'!BD37+char!$C$4*N2O!BD37+char!$C$5*SF6_NF3!BD37+char!$C$6*'CH4'!BD37+char!$C$7*HFC!BD37+char!$C$8*PFC!BD37</f>
        <v>1427.5664906838001</v>
      </c>
      <c r="BE37" s="379">
        <f>+'CO2'!BE37+char!$C$4*N2O!BE37+char!$C$5*SF6_NF3!BE37+char!$C$6*'CH4'!BE37+char!$C$7*HFC!BE37+char!$C$8*PFC!BE37</f>
        <v>0</v>
      </c>
      <c r="BF37" s="164">
        <f>+'CO2'!BF37+char!$C$4*N2O!BF37+char!$C$5*SF6_NF3!BF37+char!$C$6*'CH4'!BF37+char!$C$7*HFC!BF37+char!$C$8*PFC!BF37</f>
        <v>1360.4036272956</v>
      </c>
      <c r="BG37" s="379"/>
      <c r="BH37" s="223"/>
      <c r="BI37" s="184"/>
      <c r="CJ37" s="150"/>
      <c r="CK37" s="150"/>
      <c r="CL37" s="150"/>
      <c r="CM37" s="151" t="s">
        <v>269</v>
      </c>
      <c r="CN37" s="150" t="s">
        <v>1130</v>
      </c>
      <c r="CO37" s="150"/>
      <c r="CP37" s="150"/>
      <c r="CQ37" s="150"/>
      <c r="CR37" s="150"/>
      <c r="CS37" s="150"/>
      <c r="CT37" s="150"/>
    </row>
    <row r="38" spans="1:98" s="11" customFormat="1" ht="12.75" customHeight="1">
      <c r="A38" s="310"/>
      <c r="B38" s="308" t="str">
        <f>Parameters!Q37</f>
        <v>E36</v>
      </c>
      <c r="C38" s="309"/>
      <c r="D38" s="495" t="str">
        <f>Parameters!S37</f>
        <v>Water collection, treatment and supply</v>
      </c>
      <c r="E38" s="510"/>
      <c r="F38" s="224"/>
      <c r="G38" s="379"/>
      <c r="H38" s="225"/>
      <c r="I38" s="379"/>
      <c r="J38" s="225"/>
      <c r="K38" s="379"/>
      <c r="L38" s="225"/>
      <c r="M38" s="379"/>
      <c r="N38" s="225"/>
      <c r="O38" s="379"/>
      <c r="P38" s="225"/>
      <c r="Q38" s="379"/>
      <c r="R38" s="225"/>
      <c r="S38" s="379"/>
      <c r="T38" s="225"/>
      <c r="U38" s="379"/>
      <c r="V38" s="225"/>
      <c r="W38" s="379"/>
      <c r="X38" s="225"/>
      <c r="Y38" s="379"/>
      <c r="Z38" s="225"/>
      <c r="AA38" s="379"/>
      <c r="AB38" s="225"/>
      <c r="AC38" s="379"/>
      <c r="AD38" s="225"/>
      <c r="AE38" s="379"/>
      <c r="AF38" s="165">
        <f>+'CO2'!AF38+char!$C$4*N2O!AF38+char!$C$5*SF6_NF3!AF38+char!$C$6*'CH4'!AF38+char!$C$7*HFC!AF38+char!$C$8*PFC!AF38</f>
        <v>1.5599968242</v>
      </c>
      <c r="AG38" s="379">
        <f>+'CO2'!AG38+char!$C$4*N2O!AG38+char!$C$5*SF6_NF3!AG38+char!$C$6*'CH4'!AG38+char!$C$7*HFC!AG38+char!$C$8*PFC!AG38</f>
        <v>0</v>
      </c>
      <c r="AH38" s="165">
        <f>+'CO2'!AH38+char!$C$4*N2O!AH38+char!$C$5*SF6_NF3!AH38+char!$C$6*'CH4'!AH38+char!$C$7*HFC!AH38+char!$C$8*PFC!AH38</f>
        <v>1.6301162921999999</v>
      </c>
      <c r="AI38" s="379">
        <f>+'CO2'!AI38+char!$C$4*N2O!AI38+char!$C$5*SF6_NF3!AI38+char!$C$6*'CH4'!AI38+char!$C$7*HFC!AI38+char!$C$8*PFC!AI38</f>
        <v>0</v>
      </c>
      <c r="AJ38" s="165">
        <f>+'CO2'!AJ38+char!$C$4*N2O!AJ38+char!$C$5*SF6_NF3!AJ38+char!$C$6*'CH4'!AJ38+char!$C$7*HFC!AJ38+char!$C$8*PFC!AJ38</f>
        <v>3.4571112335</v>
      </c>
      <c r="AK38" s="379">
        <f>+'CO2'!AK38+char!$C$4*N2O!AK38+char!$C$5*SF6_NF3!AK38+char!$C$6*'CH4'!AK38+char!$C$7*HFC!AK38+char!$C$8*PFC!AK38</f>
        <v>0</v>
      </c>
      <c r="AL38" s="165">
        <f>+'CO2'!AL38+char!$C$4*N2O!AL38+char!$C$5*SF6_NF3!AL38+char!$C$6*'CH4'!AL38+char!$C$7*HFC!AL38+char!$C$8*PFC!AL38</f>
        <v>2.5094211268</v>
      </c>
      <c r="AM38" s="379">
        <f>+'CO2'!AM38+char!$C$4*N2O!AM38+char!$C$5*SF6_NF3!AM38+char!$C$6*'CH4'!AM38+char!$C$7*HFC!AM38+char!$C$8*PFC!AM38</f>
        <v>0</v>
      </c>
      <c r="AN38" s="165">
        <f>+'CO2'!AN38+char!$C$4*N2O!AN38+char!$C$5*SF6_NF3!AN38+char!$C$6*'CH4'!AN38+char!$C$7*HFC!AN38+char!$C$8*PFC!AN38</f>
        <v>2.1060059729000002</v>
      </c>
      <c r="AO38" s="379">
        <f>+'CO2'!AO38+char!$C$4*N2O!AO38+char!$C$5*SF6_NF3!AO38+char!$C$6*'CH4'!AO38+char!$C$7*HFC!AO38+char!$C$8*PFC!AO38</f>
        <v>0</v>
      </c>
      <c r="AP38" s="165">
        <f>+'CO2'!AP38+char!$C$4*N2O!AP38+char!$C$5*SF6_NF3!AP38+char!$C$6*'CH4'!AP38+char!$C$7*HFC!AP38+char!$C$8*PFC!AP38</f>
        <v>2.4681535362000004</v>
      </c>
      <c r="AQ38" s="379">
        <f>+'CO2'!AQ38+char!$C$4*N2O!AQ38+char!$C$5*SF6_NF3!AQ38+char!$C$6*'CH4'!AQ38+char!$C$7*HFC!AQ38+char!$C$8*PFC!AQ38</f>
        <v>0</v>
      </c>
      <c r="AR38" s="165">
        <f>+'CO2'!AR38+char!$C$4*N2O!AR38+char!$C$5*SF6_NF3!AR38+char!$C$6*'CH4'!AR38+char!$C$7*HFC!AR38+char!$C$8*PFC!AR38</f>
        <v>2.7768154517000005</v>
      </c>
      <c r="AS38" s="379">
        <f>+'CO2'!AS38+char!$C$4*N2O!AS38+char!$C$5*SF6_NF3!AS38+char!$C$6*'CH4'!AS38+char!$C$7*HFC!AS38+char!$C$8*PFC!AS38</f>
        <v>0</v>
      </c>
      <c r="AT38" s="165">
        <f>+'CO2'!AT38+char!$C$4*N2O!AT38+char!$C$5*SF6_NF3!AT38+char!$C$6*'CH4'!AT38+char!$C$7*HFC!AT38+char!$C$8*PFC!AT38</f>
        <v>3.7122065853999997</v>
      </c>
      <c r="AU38" s="379">
        <f>+'CO2'!AU38+char!$C$4*N2O!AU38+char!$C$5*SF6_NF3!AU38+char!$C$6*'CH4'!AU38+char!$C$7*HFC!AU38+char!$C$8*PFC!AU38</f>
        <v>0</v>
      </c>
      <c r="AV38" s="165">
        <f>+'CO2'!AV38+char!$C$4*N2O!AV38+char!$C$5*SF6_NF3!AV38+char!$C$6*'CH4'!AV38+char!$C$7*HFC!AV38+char!$C$8*PFC!AV38</f>
        <v>3.7495881104</v>
      </c>
      <c r="AW38" s="379">
        <f>+'CO2'!AW38+char!$C$4*N2O!AW38+char!$C$5*SF6_NF3!AW38+char!$C$6*'CH4'!AW38+char!$C$7*HFC!AW38+char!$C$8*PFC!AW38</f>
        <v>0</v>
      </c>
      <c r="AX38" s="165">
        <f>+'CO2'!AX38+char!$C$4*N2O!AX38+char!$C$5*SF6_NF3!AX38+char!$C$6*'CH4'!AX38+char!$C$7*HFC!AX38+char!$C$8*PFC!AX38</f>
        <v>1.8456692308000002</v>
      </c>
      <c r="AY38" s="379">
        <f>+'CO2'!AY38+char!$C$4*N2O!AY38+char!$C$5*SF6_NF3!AY38+char!$C$6*'CH4'!AY38+char!$C$7*HFC!AY38+char!$C$8*PFC!AY38</f>
        <v>0</v>
      </c>
      <c r="AZ38" s="165">
        <f>+'CO2'!AZ38+char!$C$4*N2O!AZ38+char!$C$5*SF6_NF3!AZ38+char!$C$6*'CH4'!AZ38+char!$C$7*HFC!AZ38+char!$C$8*PFC!AZ38</f>
        <v>1.8295041593000001</v>
      </c>
      <c r="BA38" s="379">
        <f>+'CO2'!BA38+char!$C$4*N2O!BA38+char!$C$5*SF6_NF3!BA38+char!$C$6*'CH4'!BA38+char!$C$7*HFC!BA38+char!$C$8*PFC!BA38</f>
        <v>0</v>
      </c>
      <c r="BB38" s="165">
        <f>+'CO2'!BB38+char!$C$4*N2O!BB38+char!$C$5*SF6_NF3!BB38+char!$C$6*'CH4'!BB38+char!$C$7*HFC!BB38+char!$C$8*PFC!BB38</f>
        <v>1.3907592437999998</v>
      </c>
      <c r="BC38" s="379">
        <f>+'CO2'!BC38+char!$C$4*N2O!BC38+char!$C$5*SF6_NF3!BC38+char!$C$6*'CH4'!BC38+char!$C$7*HFC!BC38+char!$C$8*PFC!BC38</f>
        <v>0</v>
      </c>
      <c r="BD38" s="165">
        <f>+'CO2'!BD38+char!$C$4*N2O!BD38+char!$C$5*SF6_NF3!BD38+char!$C$6*'CH4'!BD38+char!$C$7*HFC!BD38+char!$C$8*PFC!BD38</f>
        <v>1.9736426817000001</v>
      </c>
      <c r="BE38" s="379">
        <f>+'CO2'!BE38+char!$C$4*N2O!BE38+char!$C$5*SF6_NF3!BE38+char!$C$6*'CH4'!BE38+char!$C$7*HFC!BE38+char!$C$8*PFC!BE38</f>
        <v>0</v>
      </c>
      <c r="BF38" s="165">
        <f>+'CO2'!BF38+char!$C$4*N2O!BF38+char!$C$5*SF6_NF3!BF38+char!$C$6*'CH4'!BF38+char!$C$7*HFC!BF38+char!$C$8*PFC!BF38</f>
        <v>2.3357468968999999</v>
      </c>
      <c r="BG38" s="379"/>
      <c r="BH38" s="225"/>
      <c r="BI38" s="184"/>
      <c r="CJ38" s="150"/>
      <c r="CK38" s="150"/>
      <c r="CL38" s="150"/>
      <c r="CM38" s="151" t="s">
        <v>824</v>
      </c>
      <c r="CN38" s="150" t="s">
        <v>1130</v>
      </c>
      <c r="CO38" s="150"/>
      <c r="CP38" s="150"/>
      <c r="CQ38" s="150"/>
      <c r="CR38" s="150"/>
      <c r="CS38" s="150"/>
      <c r="CT38" s="150"/>
    </row>
    <row r="39" spans="1:98" s="11" customFormat="1" ht="12.75" customHeight="1">
      <c r="A39" s="310"/>
      <c r="B39" s="308" t="str">
        <f>Parameters!Q38</f>
        <v>E37-E39</v>
      </c>
      <c r="C39" s="309"/>
      <c r="D39" s="495" t="str">
        <f>Parameters!S38</f>
        <v>Sewerage, waste management, remediation activities</v>
      </c>
      <c r="E39" s="510"/>
      <c r="F39" s="224"/>
      <c r="G39" s="379"/>
      <c r="H39" s="225"/>
      <c r="I39" s="379"/>
      <c r="J39" s="225"/>
      <c r="K39" s="379"/>
      <c r="L39" s="225"/>
      <c r="M39" s="379"/>
      <c r="N39" s="225"/>
      <c r="O39" s="379"/>
      <c r="P39" s="225"/>
      <c r="Q39" s="379"/>
      <c r="R39" s="225"/>
      <c r="S39" s="379"/>
      <c r="T39" s="225"/>
      <c r="U39" s="379"/>
      <c r="V39" s="225"/>
      <c r="W39" s="379"/>
      <c r="X39" s="225"/>
      <c r="Y39" s="379"/>
      <c r="Z39" s="225"/>
      <c r="AA39" s="379"/>
      <c r="AB39" s="225"/>
      <c r="AC39" s="379"/>
      <c r="AD39" s="225"/>
      <c r="AE39" s="379"/>
      <c r="AF39" s="165">
        <f>+'CO2'!AF39+char!$C$4*N2O!AF39+char!$C$5*SF6_NF3!AF39+char!$C$6*'CH4'!AF39+char!$C$7*HFC!AF39+char!$C$8*PFC!AF39</f>
        <v>1695.6600123802</v>
      </c>
      <c r="AG39" s="379">
        <f>+'CO2'!AG39+char!$C$4*N2O!AG39+char!$C$5*SF6_NF3!AG39+char!$C$6*'CH4'!AG39+char!$C$7*HFC!AG39+char!$C$8*PFC!AG39</f>
        <v>0</v>
      </c>
      <c r="AH39" s="165">
        <f>+'CO2'!AH39+char!$C$4*N2O!AH39+char!$C$5*SF6_NF3!AH39+char!$C$6*'CH4'!AH39+char!$C$7*HFC!AH39+char!$C$8*PFC!AH39</f>
        <v>1760.1093386257</v>
      </c>
      <c r="AI39" s="379">
        <f>+'CO2'!AI39+char!$C$4*N2O!AI39+char!$C$5*SF6_NF3!AI39+char!$C$6*'CH4'!AI39+char!$C$7*HFC!AI39+char!$C$8*PFC!AI39</f>
        <v>0</v>
      </c>
      <c r="AJ39" s="165">
        <f>+'CO2'!AJ39+char!$C$4*N2O!AJ39+char!$C$5*SF6_NF3!AJ39+char!$C$6*'CH4'!AJ39+char!$C$7*HFC!AJ39+char!$C$8*PFC!AJ39</f>
        <v>1758.7932547590001</v>
      </c>
      <c r="AK39" s="379">
        <f>+'CO2'!AK39+char!$C$4*N2O!AK39+char!$C$5*SF6_NF3!AK39+char!$C$6*'CH4'!AK39+char!$C$7*HFC!AK39+char!$C$8*PFC!AK39</f>
        <v>0</v>
      </c>
      <c r="AL39" s="165">
        <f>+'CO2'!AL39+char!$C$4*N2O!AL39+char!$C$5*SF6_NF3!AL39+char!$C$6*'CH4'!AL39+char!$C$7*HFC!AL39+char!$C$8*PFC!AL39</f>
        <v>1815.3066960220999</v>
      </c>
      <c r="AM39" s="379">
        <f>+'CO2'!AM39+char!$C$4*N2O!AM39+char!$C$5*SF6_NF3!AM39+char!$C$6*'CH4'!AM39+char!$C$7*HFC!AM39+char!$C$8*PFC!AM39</f>
        <v>0</v>
      </c>
      <c r="AN39" s="165">
        <f>+'CO2'!AN39+char!$C$4*N2O!AN39+char!$C$5*SF6_NF3!AN39+char!$C$6*'CH4'!AN39+char!$C$7*HFC!AN39+char!$C$8*PFC!AN39</f>
        <v>1802.2204650537001</v>
      </c>
      <c r="AO39" s="379">
        <f>+'CO2'!AO39+char!$C$4*N2O!AO39+char!$C$5*SF6_NF3!AO39+char!$C$6*'CH4'!AO39+char!$C$7*HFC!AO39+char!$C$8*PFC!AO39</f>
        <v>0</v>
      </c>
      <c r="AP39" s="165">
        <f>+'CO2'!AP39+char!$C$4*N2O!AP39+char!$C$5*SF6_NF3!AP39+char!$C$6*'CH4'!AP39+char!$C$7*HFC!AP39+char!$C$8*PFC!AP39</f>
        <v>1837.3027589671001</v>
      </c>
      <c r="AQ39" s="379">
        <f>+'CO2'!AQ39+char!$C$4*N2O!AQ39+char!$C$5*SF6_NF3!AQ39+char!$C$6*'CH4'!AQ39+char!$C$7*HFC!AQ39+char!$C$8*PFC!AQ39</f>
        <v>0</v>
      </c>
      <c r="AR39" s="165">
        <f>+'CO2'!AR39+char!$C$4*N2O!AR39+char!$C$5*SF6_NF3!AR39+char!$C$6*'CH4'!AR39+char!$C$7*HFC!AR39+char!$C$8*PFC!AR39</f>
        <v>1781.265263177</v>
      </c>
      <c r="AS39" s="379">
        <f>+'CO2'!AS39+char!$C$4*N2O!AS39+char!$C$5*SF6_NF3!AS39+char!$C$6*'CH4'!AS39+char!$C$7*HFC!AS39+char!$C$8*PFC!AS39</f>
        <v>0</v>
      </c>
      <c r="AT39" s="165">
        <f>+'CO2'!AT39+char!$C$4*N2O!AT39+char!$C$5*SF6_NF3!AT39+char!$C$6*'CH4'!AT39+char!$C$7*HFC!AT39+char!$C$8*PFC!AT39</f>
        <v>1644.6781718946002</v>
      </c>
      <c r="AU39" s="379">
        <f>+'CO2'!AU39+char!$C$4*N2O!AU39+char!$C$5*SF6_NF3!AU39+char!$C$6*'CH4'!AU39+char!$C$7*HFC!AU39+char!$C$8*PFC!AU39</f>
        <v>0</v>
      </c>
      <c r="AV39" s="165">
        <f>+'CO2'!AV39+char!$C$4*N2O!AV39+char!$C$5*SF6_NF3!AV39+char!$C$6*'CH4'!AV39+char!$C$7*HFC!AV39+char!$C$8*PFC!AV39</f>
        <v>1660.5411977536</v>
      </c>
      <c r="AW39" s="379">
        <f>+'CO2'!AW39+char!$C$4*N2O!AW39+char!$C$5*SF6_NF3!AW39+char!$C$6*'CH4'!AW39+char!$C$7*HFC!AW39+char!$C$8*PFC!AW39</f>
        <v>0</v>
      </c>
      <c r="AX39" s="165">
        <f>+'CO2'!AX39+char!$C$4*N2O!AX39+char!$C$5*SF6_NF3!AX39+char!$C$6*'CH4'!AX39+char!$C$7*HFC!AX39+char!$C$8*PFC!AX39</f>
        <v>1660.6177820760001</v>
      </c>
      <c r="AY39" s="379">
        <f>+'CO2'!AY39+char!$C$4*N2O!AY39+char!$C$5*SF6_NF3!AY39+char!$C$6*'CH4'!AY39+char!$C$7*HFC!AY39+char!$C$8*PFC!AY39</f>
        <v>0</v>
      </c>
      <c r="AZ39" s="165">
        <f>+'CO2'!AZ39+char!$C$4*N2O!AZ39+char!$C$5*SF6_NF3!AZ39+char!$C$6*'CH4'!AZ39+char!$C$7*HFC!AZ39+char!$C$8*PFC!AZ39</f>
        <v>1652.0227797799</v>
      </c>
      <c r="BA39" s="379">
        <f>+'CO2'!BA39+char!$C$4*N2O!BA39+char!$C$5*SF6_NF3!BA39+char!$C$6*'CH4'!BA39+char!$C$7*HFC!BA39+char!$C$8*PFC!BA39</f>
        <v>0</v>
      </c>
      <c r="BB39" s="165">
        <f>+'CO2'!BB39+char!$C$4*N2O!BB39+char!$C$5*SF6_NF3!BB39+char!$C$6*'CH4'!BB39+char!$C$7*HFC!BB39+char!$C$8*PFC!BB39</f>
        <v>1561.4842628938</v>
      </c>
      <c r="BC39" s="379">
        <f>+'CO2'!BC39+char!$C$4*N2O!BC39+char!$C$5*SF6_NF3!BC39+char!$C$6*'CH4'!BC39+char!$C$7*HFC!BC39+char!$C$8*PFC!BC39</f>
        <v>0</v>
      </c>
      <c r="BD39" s="165">
        <f>+'CO2'!BD39+char!$C$4*N2O!BD39+char!$C$5*SF6_NF3!BD39+char!$C$6*'CH4'!BD39+char!$C$7*HFC!BD39+char!$C$8*PFC!BD39</f>
        <v>1425.5928480021</v>
      </c>
      <c r="BE39" s="379">
        <f>+'CO2'!BE39+char!$C$4*N2O!BE39+char!$C$5*SF6_NF3!BE39+char!$C$6*'CH4'!BE39+char!$C$7*HFC!BE39+char!$C$8*PFC!BE39</f>
        <v>0</v>
      </c>
      <c r="BF39" s="165">
        <f>+'CO2'!BF39+char!$C$4*N2O!BF39+char!$C$5*SF6_NF3!BF39+char!$C$6*'CH4'!BF39+char!$C$7*HFC!BF39+char!$C$8*PFC!BF39</f>
        <v>1358.0678803958999</v>
      </c>
      <c r="BG39" s="379"/>
      <c r="BH39" s="225"/>
      <c r="BI39" s="184"/>
      <c r="CJ39" s="150"/>
      <c r="CK39" s="150"/>
      <c r="CL39" s="150"/>
      <c r="CM39" s="151" t="s">
        <v>1138</v>
      </c>
      <c r="CN39" s="150" t="s">
        <v>1130</v>
      </c>
      <c r="CO39" s="150"/>
      <c r="CP39" s="150"/>
      <c r="CQ39" s="150"/>
      <c r="CR39" s="150"/>
      <c r="CS39" s="150"/>
      <c r="CT39" s="150"/>
    </row>
    <row r="40" spans="1:98" s="10" customFormat="1" ht="12.75" customHeight="1">
      <c r="A40" s="27"/>
      <c r="B40" s="87" t="str">
        <f>Parameters!Q39</f>
        <v>F</v>
      </c>
      <c r="C40" s="88"/>
      <c r="D40" s="498" t="str">
        <f>Parameters!S39</f>
        <v>Construction</v>
      </c>
      <c r="E40" s="496"/>
      <c r="F40" s="222"/>
      <c r="G40" s="379"/>
      <c r="H40" s="223"/>
      <c r="I40" s="379"/>
      <c r="J40" s="223"/>
      <c r="K40" s="379"/>
      <c r="L40" s="223"/>
      <c r="M40" s="379"/>
      <c r="N40" s="223"/>
      <c r="O40" s="379"/>
      <c r="P40" s="223"/>
      <c r="Q40" s="379"/>
      <c r="R40" s="223"/>
      <c r="S40" s="379"/>
      <c r="T40" s="223"/>
      <c r="U40" s="379"/>
      <c r="V40" s="223"/>
      <c r="W40" s="379"/>
      <c r="X40" s="223"/>
      <c r="Y40" s="379"/>
      <c r="Z40" s="223"/>
      <c r="AA40" s="379"/>
      <c r="AB40" s="223"/>
      <c r="AC40" s="379"/>
      <c r="AD40" s="223"/>
      <c r="AE40" s="379"/>
      <c r="AF40" s="164">
        <f>+'CO2'!AF40+char!$C$4*N2O!AF40+char!$C$5*SF6_NF3!AF40+char!$C$6*'CH4'!AF40+char!$C$7*HFC!AF40+char!$C$8*PFC!AF40</f>
        <v>1858.2865372417998</v>
      </c>
      <c r="AG40" s="379">
        <f>+'CO2'!AG40+char!$C$4*N2O!AG40+char!$C$5*SF6_NF3!AG40+char!$C$6*'CH4'!AG40+char!$C$7*HFC!AG40+char!$C$8*PFC!AG40</f>
        <v>0</v>
      </c>
      <c r="AH40" s="164">
        <f>+'CO2'!AH40+char!$C$4*N2O!AH40+char!$C$5*SF6_NF3!AH40+char!$C$6*'CH4'!AH40+char!$C$7*HFC!AH40+char!$C$8*PFC!AH40</f>
        <v>1738.6115022571</v>
      </c>
      <c r="AI40" s="379">
        <f>+'CO2'!AI40+char!$C$4*N2O!AI40+char!$C$5*SF6_NF3!AI40+char!$C$6*'CH4'!AI40+char!$C$7*HFC!AI40+char!$C$8*PFC!AI40</f>
        <v>0</v>
      </c>
      <c r="AJ40" s="164">
        <f>+'CO2'!AJ40+char!$C$4*N2O!AJ40+char!$C$5*SF6_NF3!AJ40+char!$C$6*'CH4'!AJ40+char!$C$7*HFC!AJ40+char!$C$8*PFC!AJ40</f>
        <v>1702.3514446939</v>
      </c>
      <c r="AK40" s="379">
        <f>+'CO2'!AK40+char!$C$4*N2O!AK40+char!$C$5*SF6_NF3!AK40+char!$C$6*'CH4'!AK40+char!$C$7*HFC!AK40+char!$C$8*PFC!AK40</f>
        <v>0</v>
      </c>
      <c r="AL40" s="164">
        <f>+'CO2'!AL40+char!$C$4*N2O!AL40+char!$C$5*SF6_NF3!AL40+char!$C$6*'CH4'!AL40+char!$C$7*HFC!AL40+char!$C$8*PFC!AL40</f>
        <v>1776.7825318658001</v>
      </c>
      <c r="AM40" s="379">
        <f>+'CO2'!AM40+char!$C$4*N2O!AM40+char!$C$5*SF6_NF3!AM40+char!$C$6*'CH4'!AM40+char!$C$7*HFC!AM40+char!$C$8*PFC!AM40</f>
        <v>0</v>
      </c>
      <c r="AN40" s="164">
        <f>+'CO2'!AN40+char!$C$4*N2O!AN40+char!$C$5*SF6_NF3!AN40+char!$C$6*'CH4'!AN40+char!$C$7*HFC!AN40+char!$C$8*PFC!AN40</f>
        <v>2016.8280352567997</v>
      </c>
      <c r="AO40" s="379">
        <f>+'CO2'!AO40+char!$C$4*N2O!AO40+char!$C$5*SF6_NF3!AO40+char!$C$6*'CH4'!AO40+char!$C$7*HFC!AO40+char!$C$8*PFC!AO40</f>
        <v>0</v>
      </c>
      <c r="AP40" s="164">
        <f>+'CO2'!AP40+char!$C$4*N2O!AP40+char!$C$5*SF6_NF3!AP40+char!$C$6*'CH4'!AP40+char!$C$7*HFC!AP40+char!$C$8*PFC!AP40</f>
        <v>2187.0695697606998</v>
      </c>
      <c r="AQ40" s="379">
        <f>+'CO2'!AQ40+char!$C$4*N2O!AQ40+char!$C$5*SF6_NF3!AQ40+char!$C$6*'CH4'!AQ40+char!$C$7*HFC!AQ40+char!$C$8*PFC!AQ40</f>
        <v>0</v>
      </c>
      <c r="AR40" s="164">
        <f>+'CO2'!AR40+char!$C$4*N2O!AR40+char!$C$5*SF6_NF3!AR40+char!$C$6*'CH4'!AR40+char!$C$7*HFC!AR40+char!$C$8*PFC!AR40</f>
        <v>2147.6241378582999</v>
      </c>
      <c r="AS40" s="379">
        <f>+'CO2'!AS40+char!$C$4*N2O!AS40+char!$C$5*SF6_NF3!AS40+char!$C$6*'CH4'!AS40+char!$C$7*HFC!AS40+char!$C$8*PFC!AS40</f>
        <v>0</v>
      </c>
      <c r="AT40" s="164">
        <f>+'CO2'!AT40+char!$C$4*N2O!AT40+char!$C$5*SF6_NF3!AT40+char!$C$6*'CH4'!AT40+char!$C$7*HFC!AT40+char!$C$8*PFC!AT40</f>
        <v>2214.6759157796996</v>
      </c>
      <c r="AU40" s="379">
        <f>+'CO2'!AU40+char!$C$4*N2O!AU40+char!$C$5*SF6_NF3!AU40+char!$C$6*'CH4'!AU40+char!$C$7*HFC!AU40+char!$C$8*PFC!AU40</f>
        <v>0</v>
      </c>
      <c r="AV40" s="164">
        <f>+'CO2'!AV40+char!$C$4*N2O!AV40+char!$C$5*SF6_NF3!AV40+char!$C$6*'CH4'!AV40+char!$C$7*HFC!AV40+char!$C$8*PFC!AV40</f>
        <v>2176.7599343764996</v>
      </c>
      <c r="AW40" s="379">
        <f>+'CO2'!AW40+char!$C$4*N2O!AW40+char!$C$5*SF6_NF3!AW40+char!$C$6*'CH4'!AW40+char!$C$7*HFC!AW40+char!$C$8*PFC!AW40</f>
        <v>0</v>
      </c>
      <c r="AX40" s="164">
        <f>+'CO2'!AX40+char!$C$4*N2O!AX40+char!$C$5*SF6_NF3!AX40+char!$C$6*'CH4'!AX40+char!$C$7*HFC!AX40+char!$C$8*PFC!AX40</f>
        <v>2257.5332566679999</v>
      </c>
      <c r="AY40" s="379">
        <f>+'CO2'!AY40+char!$C$4*N2O!AY40+char!$C$5*SF6_NF3!AY40+char!$C$6*'CH4'!AY40+char!$C$7*HFC!AY40+char!$C$8*PFC!AY40</f>
        <v>0</v>
      </c>
      <c r="AZ40" s="164">
        <f>+'CO2'!AZ40+char!$C$4*N2O!AZ40+char!$C$5*SF6_NF3!AZ40+char!$C$6*'CH4'!AZ40+char!$C$7*HFC!AZ40+char!$C$8*PFC!AZ40</f>
        <v>2343.8239176984994</v>
      </c>
      <c r="BA40" s="379">
        <f>+'CO2'!BA40+char!$C$4*N2O!BA40+char!$C$5*SF6_NF3!BA40+char!$C$6*'CH4'!BA40+char!$C$7*HFC!BA40+char!$C$8*PFC!BA40</f>
        <v>0</v>
      </c>
      <c r="BB40" s="164">
        <f>+'CO2'!BB40+char!$C$4*N2O!BB40+char!$C$5*SF6_NF3!BB40+char!$C$6*'CH4'!BB40+char!$C$7*HFC!BB40+char!$C$8*PFC!BB40</f>
        <v>2175.3091568192999</v>
      </c>
      <c r="BC40" s="379">
        <f>+'CO2'!BC40+char!$C$4*N2O!BC40+char!$C$5*SF6_NF3!BC40+char!$C$6*'CH4'!BC40+char!$C$7*HFC!BC40+char!$C$8*PFC!BC40</f>
        <v>0</v>
      </c>
      <c r="BD40" s="164">
        <f>+'CO2'!BD40+char!$C$4*N2O!BD40+char!$C$5*SF6_NF3!BD40+char!$C$6*'CH4'!BD40+char!$C$7*HFC!BD40+char!$C$8*PFC!BD40</f>
        <v>2004.5029257867</v>
      </c>
      <c r="BE40" s="379">
        <f>+'CO2'!BE40+char!$C$4*N2O!BE40+char!$C$5*SF6_NF3!BE40+char!$C$6*'CH4'!BE40+char!$C$7*HFC!BE40+char!$C$8*PFC!BE40</f>
        <v>0</v>
      </c>
      <c r="BF40" s="164">
        <f>+'CO2'!BF40+char!$C$4*N2O!BF40+char!$C$5*SF6_NF3!BF40+char!$C$6*'CH4'!BF40+char!$C$7*HFC!BF40+char!$C$8*PFC!BF40</f>
        <v>2166.8146087748</v>
      </c>
      <c r="BG40" s="379"/>
      <c r="BH40" s="223"/>
      <c r="BI40" s="184"/>
      <c r="CJ40" s="150"/>
      <c r="CK40" s="150"/>
      <c r="CL40" s="150"/>
      <c r="CM40" s="151" t="s">
        <v>834</v>
      </c>
      <c r="CN40" s="150" t="s">
        <v>1130</v>
      </c>
      <c r="CO40" s="150"/>
      <c r="CP40" s="150"/>
      <c r="CQ40" s="150"/>
      <c r="CR40" s="150"/>
      <c r="CS40" s="150"/>
      <c r="CT40" s="150"/>
    </row>
    <row r="41" spans="1:98" s="10" customFormat="1">
      <c r="A41" s="25"/>
      <c r="B41" s="87" t="str">
        <f>Parameters!Q40</f>
        <v>G</v>
      </c>
      <c r="C41" s="88"/>
      <c r="D41" s="498" t="str">
        <f>Parameters!S40</f>
        <v>Wholesale and retail trade; repair of motor vehicles and motorcycles</v>
      </c>
      <c r="E41" s="499"/>
      <c r="F41" s="222"/>
      <c r="G41" s="379"/>
      <c r="H41" s="223"/>
      <c r="I41" s="379"/>
      <c r="J41" s="223"/>
      <c r="K41" s="379"/>
      <c r="L41" s="223"/>
      <c r="M41" s="379"/>
      <c r="N41" s="223"/>
      <c r="O41" s="379"/>
      <c r="P41" s="223"/>
      <c r="Q41" s="379"/>
      <c r="R41" s="223"/>
      <c r="S41" s="379"/>
      <c r="T41" s="223"/>
      <c r="U41" s="379"/>
      <c r="V41" s="223"/>
      <c r="W41" s="379"/>
      <c r="X41" s="223"/>
      <c r="Y41" s="379"/>
      <c r="Z41" s="223"/>
      <c r="AA41" s="379"/>
      <c r="AB41" s="223"/>
      <c r="AC41" s="379"/>
      <c r="AD41" s="223"/>
      <c r="AE41" s="379"/>
      <c r="AF41" s="164">
        <f>+'CO2'!AF41+char!$C$4*N2O!AF41+char!$C$5*SF6_NF3!AF41+char!$C$6*'CH4'!AF41+char!$C$7*HFC!AF41+char!$C$8*PFC!AF41</f>
        <v>1164.8686982880999</v>
      </c>
      <c r="AG41" s="379">
        <f>+'CO2'!AG41+char!$C$4*N2O!AG41+char!$C$5*SF6_NF3!AG41+char!$C$6*'CH4'!AG41+char!$C$7*HFC!AG41+char!$C$8*PFC!AG41</f>
        <v>0</v>
      </c>
      <c r="AH41" s="164">
        <f>+'CO2'!AH41+char!$C$4*N2O!AH41+char!$C$5*SF6_NF3!AH41+char!$C$6*'CH4'!AH41+char!$C$7*HFC!AH41+char!$C$8*PFC!AH41</f>
        <v>1137.0842617491001</v>
      </c>
      <c r="AI41" s="379">
        <f>+'CO2'!AI41+char!$C$4*N2O!AI41+char!$C$5*SF6_NF3!AI41+char!$C$6*'CH4'!AI41+char!$C$7*HFC!AI41+char!$C$8*PFC!AI41</f>
        <v>0</v>
      </c>
      <c r="AJ41" s="164">
        <f>+'CO2'!AJ41+char!$C$4*N2O!AJ41+char!$C$5*SF6_NF3!AJ41+char!$C$6*'CH4'!AJ41+char!$C$7*HFC!AJ41+char!$C$8*PFC!AJ41</f>
        <v>1227.4778214204</v>
      </c>
      <c r="AK41" s="379">
        <f>+'CO2'!AK41+char!$C$4*N2O!AK41+char!$C$5*SF6_NF3!AK41+char!$C$6*'CH4'!AK41+char!$C$7*HFC!AK41+char!$C$8*PFC!AK41</f>
        <v>0</v>
      </c>
      <c r="AL41" s="164">
        <f>+'CO2'!AL41+char!$C$4*N2O!AL41+char!$C$5*SF6_NF3!AL41+char!$C$6*'CH4'!AL41+char!$C$7*HFC!AL41+char!$C$8*PFC!AL41</f>
        <v>1212.2938587355002</v>
      </c>
      <c r="AM41" s="379">
        <f>+'CO2'!AM41+char!$C$4*N2O!AM41+char!$C$5*SF6_NF3!AM41+char!$C$6*'CH4'!AM41+char!$C$7*HFC!AM41+char!$C$8*PFC!AM41</f>
        <v>0</v>
      </c>
      <c r="AN41" s="164">
        <f>+'CO2'!AN41+char!$C$4*N2O!AN41+char!$C$5*SF6_NF3!AN41+char!$C$6*'CH4'!AN41+char!$C$7*HFC!AN41+char!$C$8*PFC!AN41</f>
        <v>1189.0689567370998</v>
      </c>
      <c r="AO41" s="379">
        <f>+'CO2'!AO41+char!$C$4*N2O!AO41+char!$C$5*SF6_NF3!AO41+char!$C$6*'CH4'!AO41+char!$C$7*HFC!AO41+char!$C$8*PFC!AO41</f>
        <v>0</v>
      </c>
      <c r="AP41" s="164">
        <f>+'CO2'!AP41+char!$C$4*N2O!AP41+char!$C$5*SF6_NF3!AP41+char!$C$6*'CH4'!AP41+char!$C$7*HFC!AP41+char!$C$8*PFC!AP41</f>
        <v>1275.0861353855003</v>
      </c>
      <c r="AQ41" s="379">
        <f>+'CO2'!AQ41+char!$C$4*N2O!AQ41+char!$C$5*SF6_NF3!AQ41+char!$C$6*'CH4'!AQ41+char!$C$7*HFC!AQ41+char!$C$8*PFC!AQ41</f>
        <v>0</v>
      </c>
      <c r="AR41" s="164">
        <f>+'CO2'!AR41+char!$C$4*N2O!AR41+char!$C$5*SF6_NF3!AR41+char!$C$6*'CH4'!AR41+char!$C$7*HFC!AR41+char!$C$8*PFC!AR41</f>
        <v>1117.4708270348999</v>
      </c>
      <c r="AS41" s="379">
        <f>+'CO2'!AS41+char!$C$4*N2O!AS41+char!$C$5*SF6_NF3!AS41+char!$C$6*'CH4'!AS41+char!$C$7*HFC!AS41+char!$C$8*PFC!AS41</f>
        <v>0</v>
      </c>
      <c r="AT41" s="164">
        <f>+'CO2'!AT41+char!$C$4*N2O!AT41+char!$C$5*SF6_NF3!AT41+char!$C$6*'CH4'!AT41+char!$C$7*HFC!AT41+char!$C$8*PFC!AT41</f>
        <v>1116.8079324424998</v>
      </c>
      <c r="AU41" s="379">
        <f>+'CO2'!AU41+char!$C$4*N2O!AU41+char!$C$5*SF6_NF3!AU41+char!$C$6*'CH4'!AU41+char!$C$7*HFC!AU41+char!$C$8*PFC!AU41</f>
        <v>0</v>
      </c>
      <c r="AV41" s="164">
        <f>+'CO2'!AV41+char!$C$4*N2O!AV41+char!$C$5*SF6_NF3!AV41+char!$C$6*'CH4'!AV41+char!$C$7*HFC!AV41+char!$C$8*PFC!AV41</f>
        <v>1222.7162020583</v>
      </c>
      <c r="AW41" s="379">
        <f>+'CO2'!AW41+char!$C$4*N2O!AW41+char!$C$5*SF6_NF3!AW41+char!$C$6*'CH4'!AW41+char!$C$7*HFC!AW41+char!$C$8*PFC!AW41</f>
        <v>0</v>
      </c>
      <c r="AX41" s="164">
        <f>+'CO2'!AX41+char!$C$4*N2O!AX41+char!$C$5*SF6_NF3!AX41+char!$C$6*'CH4'!AX41+char!$C$7*HFC!AX41+char!$C$8*PFC!AX41</f>
        <v>1101.7273732891001</v>
      </c>
      <c r="AY41" s="379">
        <f>+'CO2'!AY41+char!$C$4*N2O!AY41+char!$C$5*SF6_NF3!AY41+char!$C$6*'CH4'!AY41+char!$C$7*HFC!AY41+char!$C$8*PFC!AY41</f>
        <v>0</v>
      </c>
      <c r="AZ41" s="164">
        <f>+'CO2'!AZ41+char!$C$4*N2O!AZ41+char!$C$5*SF6_NF3!AZ41+char!$C$6*'CH4'!AZ41+char!$C$7*HFC!AZ41+char!$C$8*PFC!AZ41</f>
        <v>1090.6422788472</v>
      </c>
      <c r="BA41" s="379">
        <f>+'CO2'!BA41+char!$C$4*N2O!BA41+char!$C$5*SF6_NF3!BA41+char!$C$6*'CH4'!BA41+char!$C$7*HFC!BA41+char!$C$8*PFC!BA41</f>
        <v>0</v>
      </c>
      <c r="BB41" s="164">
        <f>+'CO2'!BB41+char!$C$4*N2O!BB41+char!$C$5*SF6_NF3!BB41+char!$C$6*'CH4'!BB41+char!$C$7*HFC!BB41+char!$C$8*PFC!BB41</f>
        <v>1201.1989441940998</v>
      </c>
      <c r="BC41" s="379">
        <f>+'CO2'!BC41+char!$C$4*N2O!BC41+char!$C$5*SF6_NF3!BC41+char!$C$6*'CH4'!BC41+char!$C$7*HFC!BC41+char!$C$8*PFC!BC41</f>
        <v>0</v>
      </c>
      <c r="BD41" s="164">
        <f>+'CO2'!BD41+char!$C$4*N2O!BD41+char!$C$5*SF6_NF3!BD41+char!$C$6*'CH4'!BD41+char!$C$7*HFC!BD41+char!$C$8*PFC!BD41</f>
        <v>1060.8710974877999</v>
      </c>
      <c r="BE41" s="379">
        <f>+'CO2'!BE41+char!$C$4*N2O!BE41+char!$C$5*SF6_NF3!BE41+char!$C$6*'CH4'!BE41+char!$C$7*HFC!BE41+char!$C$8*PFC!BE41</f>
        <v>0</v>
      </c>
      <c r="BF41" s="164">
        <f>+'CO2'!BF41+char!$C$4*N2O!BF41+char!$C$5*SF6_NF3!BF41+char!$C$6*'CH4'!BF41+char!$C$7*HFC!BF41+char!$C$8*PFC!BF41</f>
        <v>1093.9992512198</v>
      </c>
      <c r="BG41" s="379"/>
      <c r="BH41" s="223"/>
      <c r="BI41" s="184"/>
      <c r="CJ41" s="150"/>
      <c r="CK41" s="150"/>
      <c r="CL41" s="150"/>
      <c r="CM41" s="151" t="s">
        <v>839</v>
      </c>
      <c r="CN41" s="150" t="s">
        <v>1130</v>
      </c>
      <c r="CO41" s="150"/>
      <c r="CP41" s="150"/>
      <c r="CQ41" s="150"/>
      <c r="CR41" s="150"/>
      <c r="CS41" s="150"/>
      <c r="CT41" s="150"/>
    </row>
    <row r="42" spans="1:98" s="10" customFormat="1" ht="12.75" customHeight="1">
      <c r="A42" s="310"/>
      <c r="B42" s="308" t="str">
        <f>Parameters!Q41</f>
        <v>G45</v>
      </c>
      <c r="C42" s="309"/>
      <c r="D42" s="495" t="str">
        <f>Parameters!S41</f>
        <v>Wholesale and retail trade and repair of motor vehicles and motorcycles</v>
      </c>
      <c r="E42" s="496"/>
      <c r="F42" s="224"/>
      <c r="G42" s="379"/>
      <c r="H42" s="225"/>
      <c r="I42" s="379"/>
      <c r="J42" s="225"/>
      <c r="K42" s="379"/>
      <c r="L42" s="225"/>
      <c r="M42" s="379"/>
      <c r="N42" s="225"/>
      <c r="O42" s="379"/>
      <c r="P42" s="225"/>
      <c r="Q42" s="379"/>
      <c r="R42" s="225"/>
      <c r="S42" s="379"/>
      <c r="T42" s="225"/>
      <c r="U42" s="379"/>
      <c r="V42" s="225"/>
      <c r="W42" s="379"/>
      <c r="X42" s="225"/>
      <c r="Y42" s="379"/>
      <c r="Z42" s="225"/>
      <c r="AA42" s="379"/>
      <c r="AB42" s="225"/>
      <c r="AC42" s="379"/>
      <c r="AD42" s="225"/>
      <c r="AE42" s="379"/>
      <c r="AF42" s="165">
        <f>+'CO2'!AF42+char!$C$4*N2O!AF42+char!$C$5*SF6_NF3!AF42+char!$C$6*'CH4'!AF42+char!$C$7*HFC!AF42+char!$C$8*PFC!AF42</f>
        <v>289.07064903489999</v>
      </c>
      <c r="AG42" s="379">
        <f>+'CO2'!AG42+char!$C$4*N2O!AG42+char!$C$5*SF6_NF3!AG42+char!$C$6*'CH4'!AG42+char!$C$7*HFC!AG42+char!$C$8*PFC!AG42</f>
        <v>0</v>
      </c>
      <c r="AH42" s="165">
        <f>+'CO2'!AH42+char!$C$4*N2O!AH42+char!$C$5*SF6_NF3!AH42+char!$C$6*'CH4'!AH42+char!$C$7*HFC!AH42+char!$C$8*PFC!AH42</f>
        <v>271.80177125269995</v>
      </c>
      <c r="AI42" s="379">
        <f>+'CO2'!AI42+char!$C$4*N2O!AI42+char!$C$5*SF6_NF3!AI42+char!$C$6*'CH4'!AI42+char!$C$7*HFC!AI42+char!$C$8*PFC!AI42</f>
        <v>0</v>
      </c>
      <c r="AJ42" s="165">
        <f>+'CO2'!AJ42+char!$C$4*N2O!AJ42+char!$C$5*SF6_NF3!AJ42+char!$C$6*'CH4'!AJ42+char!$C$7*HFC!AJ42+char!$C$8*PFC!AJ42</f>
        <v>296.20983919749995</v>
      </c>
      <c r="AK42" s="379">
        <f>+'CO2'!AK42+char!$C$4*N2O!AK42+char!$C$5*SF6_NF3!AK42+char!$C$6*'CH4'!AK42+char!$C$7*HFC!AK42+char!$C$8*PFC!AK42</f>
        <v>0</v>
      </c>
      <c r="AL42" s="165">
        <f>+'CO2'!AL42+char!$C$4*N2O!AL42+char!$C$5*SF6_NF3!AL42+char!$C$6*'CH4'!AL42+char!$C$7*HFC!AL42+char!$C$8*PFC!AL42</f>
        <v>291.34434579449999</v>
      </c>
      <c r="AM42" s="379">
        <f>+'CO2'!AM42+char!$C$4*N2O!AM42+char!$C$5*SF6_NF3!AM42+char!$C$6*'CH4'!AM42+char!$C$7*HFC!AM42+char!$C$8*PFC!AM42</f>
        <v>0</v>
      </c>
      <c r="AN42" s="165">
        <f>+'CO2'!AN42+char!$C$4*N2O!AN42+char!$C$5*SF6_NF3!AN42+char!$C$6*'CH4'!AN42+char!$C$7*HFC!AN42+char!$C$8*PFC!AN42</f>
        <v>298.89537681810003</v>
      </c>
      <c r="AO42" s="379">
        <f>+'CO2'!AO42+char!$C$4*N2O!AO42+char!$C$5*SF6_NF3!AO42+char!$C$6*'CH4'!AO42+char!$C$7*HFC!AO42+char!$C$8*PFC!AO42</f>
        <v>0</v>
      </c>
      <c r="AP42" s="165">
        <f>+'CO2'!AP42+char!$C$4*N2O!AP42+char!$C$5*SF6_NF3!AP42+char!$C$6*'CH4'!AP42+char!$C$7*HFC!AP42+char!$C$8*PFC!AP42</f>
        <v>292.6024707588</v>
      </c>
      <c r="AQ42" s="379">
        <f>+'CO2'!AQ42+char!$C$4*N2O!AQ42+char!$C$5*SF6_NF3!AQ42+char!$C$6*'CH4'!AQ42+char!$C$7*HFC!AQ42+char!$C$8*PFC!AQ42</f>
        <v>0</v>
      </c>
      <c r="AR42" s="165">
        <f>+'CO2'!AR42+char!$C$4*N2O!AR42+char!$C$5*SF6_NF3!AR42+char!$C$6*'CH4'!AR42+char!$C$7*HFC!AR42+char!$C$8*PFC!AR42</f>
        <v>266.85724040270009</v>
      </c>
      <c r="AS42" s="379">
        <f>+'CO2'!AS42+char!$C$4*N2O!AS42+char!$C$5*SF6_NF3!AS42+char!$C$6*'CH4'!AS42+char!$C$7*HFC!AS42+char!$C$8*PFC!AS42</f>
        <v>0</v>
      </c>
      <c r="AT42" s="165">
        <f>+'CO2'!AT42+char!$C$4*N2O!AT42+char!$C$5*SF6_NF3!AT42+char!$C$6*'CH4'!AT42+char!$C$7*HFC!AT42+char!$C$8*PFC!AT42</f>
        <v>286.09077529269996</v>
      </c>
      <c r="AU42" s="379">
        <f>+'CO2'!AU42+char!$C$4*N2O!AU42+char!$C$5*SF6_NF3!AU42+char!$C$6*'CH4'!AU42+char!$C$7*HFC!AU42+char!$C$8*PFC!AU42</f>
        <v>0</v>
      </c>
      <c r="AV42" s="165">
        <f>+'CO2'!AV42+char!$C$4*N2O!AV42+char!$C$5*SF6_NF3!AV42+char!$C$6*'CH4'!AV42+char!$C$7*HFC!AV42+char!$C$8*PFC!AV42</f>
        <v>339.91791323730001</v>
      </c>
      <c r="AW42" s="379">
        <f>+'CO2'!AW42+char!$C$4*N2O!AW42+char!$C$5*SF6_NF3!AW42+char!$C$6*'CH4'!AW42+char!$C$7*HFC!AW42+char!$C$8*PFC!AW42</f>
        <v>0</v>
      </c>
      <c r="AX42" s="165">
        <f>+'CO2'!AX42+char!$C$4*N2O!AX42+char!$C$5*SF6_NF3!AX42+char!$C$6*'CH4'!AX42+char!$C$7*HFC!AX42+char!$C$8*PFC!AX42</f>
        <v>325.30543239639997</v>
      </c>
      <c r="AY42" s="379">
        <f>+'CO2'!AY42+char!$C$4*N2O!AY42+char!$C$5*SF6_NF3!AY42+char!$C$6*'CH4'!AY42+char!$C$7*HFC!AY42+char!$C$8*PFC!AY42</f>
        <v>0</v>
      </c>
      <c r="AZ42" s="165">
        <f>+'CO2'!AZ42+char!$C$4*N2O!AZ42+char!$C$5*SF6_NF3!AZ42+char!$C$6*'CH4'!AZ42+char!$C$7*HFC!AZ42+char!$C$8*PFC!AZ42</f>
        <v>244.21731074940001</v>
      </c>
      <c r="BA42" s="379">
        <f>+'CO2'!BA42+char!$C$4*N2O!BA42+char!$C$5*SF6_NF3!BA42+char!$C$6*'CH4'!BA42+char!$C$7*HFC!BA42+char!$C$8*PFC!BA42</f>
        <v>0</v>
      </c>
      <c r="BB42" s="165">
        <f>+'CO2'!BB42+char!$C$4*N2O!BB42+char!$C$5*SF6_NF3!BB42+char!$C$6*'CH4'!BB42+char!$C$7*HFC!BB42+char!$C$8*PFC!BB42</f>
        <v>183.03349031780002</v>
      </c>
      <c r="BC42" s="379">
        <f>+'CO2'!BC42+char!$C$4*N2O!BC42+char!$C$5*SF6_NF3!BC42+char!$C$6*'CH4'!BC42+char!$C$7*HFC!BC42+char!$C$8*PFC!BC42</f>
        <v>0</v>
      </c>
      <c r="BD42" s="165">
        <f>+'CO2'!BD42+char!$C$4*N2O!BD42+char!$C$5*SF6_NF3!BD42+char!$C$6*'CH4'!BD42+char!$C$7*HFC!BD42+char!$C$8*PFC!BD42</f>
        <v>170.95054858490002</v>
      </c>
      <c r="BE42" s="379">
        <f>+'CO2'!BE42+char!$C$4*N2O!BE42+char!$C$5*SF6_NF3!BE42+char!$C$6*'CH4'!BE42+char!$C$7*HFC!BE42+char!$C$8*PFC!BE42</f>
        <v>0</v>
      </c>
      <c r="BF42" s="165">
        <f>+'CO2'!BF42+char!$C$4*N2O!BF42+char!$C$5*SF6_NF3!BF42+char!$C$6*'CH4'!BF42+char!$C$7*HFC!BF42+char!$C$8*PFC!BF42</f>
        <v>179.93966448749998</v>
      </c>
      <c r="BG42" s="379"/>
      <c r="BH42" s="225"/>
      <c r="BI42" s="184"/>
      <c r="CJ42" s="150"/>
      <c r="CK42" s="150"/>
      <c r="CL42" s="150"/>
      <c r="CM42" s="151" t="s">
        <v>844</v>
      </c>
      <c r="CN42" s="150" t="s">
        <v>1130</v>
      </c>
      <c r="CO42" s="150"/>
      <c r="CP42" s="150"/>
      <c r="CQ42" s="150"/>
      <c r="CR42" s="150"/>
      <c r="CS42" s="150"/>
      <c r="CT42" s="150"/>
    </row>
    <row r="43" spans="1:98" s="11" customFormat="1" ht="12.75" customHeight="1">
      <c r="A43" s="310"/>
      <c r="B43" s="308" t="str">
        <f>Parameters!Q42</f>
        <v>G46</v>
      </c>
      <c r="C43" s="309"/>
      <c r="D43" s="495" t="str">
        <f>Parameters!S42</f>
        <v>Wholesale trade, except of motor vehicles and motorcycles</v>
      </c>
      <c r="E43" s="496"/>
      <c r="F43" s="224"/>
      <c r="G43" s="379"/>
      <c r="H43" s="225"/>
      <c r="I43" s="379"/>
      <c r="J43" s="225"/>
      <c r="K43" s="379"/>
      <c r="L43" s="225"/>
      <c r="M43" s="379"/>
      <c r="N43" s="225"/>
      <c r="O43" s="379"/>
      <c r="P43" s="225"/>
      <c r="Q43" s="379"/>
      <c r="R43" s="225"/>
      <c r="S43" s="379"/>
      <c r="T43" s="225"/>
      <c r="U43" s="379"/>
      <c r="V43" s="225"/>
      <c r="W43" s="379"/>
      <c r="X43" s="225"/>
      <c r="Y43" s="379"/>
      <c r="Z43" s="225"/>
      <c r="AA43" s="379"/>
      <c r="AB43" s="225"/>
      <c r="AC43" s="379"/>
      <c r="AD43" s="225"/>
      <c r="AE43" s="379"/>
      <c r="AF43" s="165">
        <f>+'CO2'!AF43+char!$C$4*N2O!AF43+char!$C$5*SF6_NF3!AF43+char!$C$6*'CH4'!AF43+char!$C$7*HFC!AF43+char!$C$8*PFC!AF43</f>
        <v>472.61627095389997</v>
      </c>
      <c r="AG43" s="379">
        <f>+'CO2'!AG43+char!$C$4*N2O!AG43+char!$C$5*SF6_NF3!AG43+char!$C$6*'CH4'!AG43+char!$C$7*HFC!AG43+char!$C$8*PFC!AG43</f>
        <v>0</v>
      </c>
      <c r="AH43" s="165">
        <f>+'CO2'!AH43+char!$C$4*N2O!AH43+char!$C$5*SF6_NF3!AH43+char!$C$6*'CH4'!AH43+char!$C$7*HFC!AH43+char!$C$8*PFC!AH43</f>
        <v>482.18367135160003</v>
      </c>
      <c r="AI43" s="379">
        <f>+'CO2'!AI43+char!$C$4*N2O!AI43+char!$C$5*SF6_NF3!AI43+char!$C$6*'CH4'!AI43+char!$C$7*HFC!AI43+char!$C$8*PFC!AI43</f>
        <v>0</v>
      </c>
      <c r="AJ43" s="165">
        <f>+'CO2'!AJ43+char!$C$4*N2O!AJ43+char!$C$5*SF6_NF3!AJ43+char!$C$6*'CH4'!AJ43+char!$C$7*HFC!AJ43+char!$C$8*PFC!AJ43</f>
        <v>577.98042951460002</v>
      </c>
      <c r="AK43" s="379">
        <f>+'CO2'!AK43+char!$C$4*N2O!AK43+char!$C$5*SF6_NF3!AK43+char!$C$6*'CH4'!AK43+char!$C$7*HFC!AK43+char!$C$8*PFC!AK43</f>
        <v>0</v>
      </c>
      <c r="AL43" s="165">
        <f>+'CO2'!AL43+char!$C$4*N2O!AL43+char!$C$5*SF6_NF3!AL43+char!$C$6*'CH4'!AL43+char!$C$7*HFC!AL43+char!$C$8*PFC!AL43</f>
        <v>551.83053184890002</v>
      </c>
      <c r="AM43" s="379">
        <f>+'CO2'!AM43+char!$C$4*N2O!AM43+char!$C$5*SF6_NF3!AM43+char!$C$6*'CH4'!AM43+char!$C$7*HFC!AM43+char!$C$8*PFC!AM43</f>
        <v>0</v>
      </c>
      <c r="AN43" s="165">
        <f>+'CO2'!AN43+char!$C$4*N2O!AN43+char!$C$5*SF6_NF3!AN43+char!$C$6*'CH4'!AN43+char!$C$7*HFC!AN43+char!$C$8*PFC!AN43</f>
        <v>530.19415511789998</v>
      </c>
      <c r="AO43" s="379">
        <f>+'CO2'!AO43+char!$C$4*N2O!AO43+char!$C$5*SF6_NF3!AO43+char!$C$6*'CH4'!AO43+char!$C$7*HFC!AO43+char!$C$8*PFC!AO43</f>
        <v>0</v>
      </c>
      <c r="AP43" s="165">
        <f>+'CO2'!AP43+char!$C$4*N2O!AP43+char!$C$5*SF6_NF3!AP43+char!$C$6*'CH4'!AP43+char!$C$7*HFC!AP43+char!$C$8*PFC!AP43</f>
        <v>614.3743549692</v>
      </c>
      <c r="AQ43" s="379">
        <f>+'CO2'!AQ43+char!$C$4*N2O!AQ43+char!$C$5*SF6_NF3!AQ43+char!$C$6*'CH4'!AQ43+char!$C$7*HFC!AQ43+char!$C$8*PFC!AQ43</f>
        <v>0</v>
      </c>
      <c r="AR43" s="165">
        <f>+'CO2'!AR43+char!$C$4*N2O!AR43+char!$C$5*SF6_NF3!AR43+char!$C$6*'CH4'!AR43+char!$C$7*HFC!AR43+char!$C$8*PFC!AR43</f>
        <v>542.12143470579997</v>
      </c>
      <c r="AS43" s="379">
        <f>+'CO2'!AS43+char!$C$4*N2O!AS43+char!$C$5*SF6_NF3!AS43+char!$C$6*'CH4'!AS43+char!$C$7*HFC!AS43+char!$C$8*PFC!AS43</f>
        <v>0</v>
      </c>
      <c r="AT43" s="165">
        <f>+'CO2'!AT43+char!$C$4*N2O!AT43+char!$C$5*SF6_NF3!AT43+char!$C$6*'CH4'!AT43+char!$C$7*HFC!AT43+char!$C$8*PFC!AT43</f>
        <v>538.88197310650003</v>
      </c>
      <c r="AU43" s="379">
        <f>+'CO2'!AU43+char!$C$4*N2O!AU43+char!$C$5*SF6_NF3!AU43+char!$C$6*'CH4'!AU43+char!$C$7*HFC!AU43+char!$C$8*PFC!AU43</f>
        <v>0</v>
      </c>
      <c r="AV43" s="165">
        <f>+'CO2'!AV43+char!$C$4*N2O!AV43+char!$C$5*SF6_NF3!AV43+char!$C$6*'CH4'!AV43+char!$C$7*HFC!AV43+char!$C$8*PFC!AV43</f>
        <v>577.46897328340003</v>
      </c>
      <c r="AW43" s="379">
        <f>+'CO2'!AW43+char!$C$4*N2O!AW43+char!$C$5*SF6_NF3!AW43+char!$C$6*'CH4'!AW43+char!$C$7*HFC!AW43+char!$C$8*PFC!AW43</f>
        <v>0</v>
      </c>
      <c r="AX43" s="165">
        <f>+'CO2'!AX43+char!$C$4*N2O!AX43+char!$C$5*SF6_NF3!AX43+char!$C$6*'CH4'!AX43+char!$C$7*HFC!AX43+char!$C$8*PFC!AX43</f>
        <v>514.156140607</v>
      </c>
      <c r="AY43" s="379">
        <f>+'CO2'!AY43+char!$C$4*N2O!AY43+char!$C$5*SF6_NF3!AY43+char!$C$6*'CH4'!AY43+char!$C$7*HFC!AY43+char!$C$8*PFC!AY43</f>
        <v>0</v>
      </c>
      <c r="AZ43" s="165">
        <f>+'CO2'!AZ43+char!$C$4*N2O!AZ43+char!$C$5*SF6_NF3!AZ43+char!$C$6*'CH4'!AZ43+char!$C$7*HFC!AZ43+char!$C$8*PFC!AZ43</f>
        <v>548.74784790290005</v>
      </c>
      <c r="BA43" s="379">
        <f>+'CO2'!BA43+char!$C$4*N2O!BA43+char!$C$5*SF6_NF3!BA43+char!$C$6*'CH4'!BA43+char!$C$7*HFC!BA43+char!$C$8*PFC!BA43</f>
        <v>0</v>
      </c>
      <c r="BB43" s="165">
        <f>+'CO2'!BB43+char!$C$4*N2O!BB43+char!$C$5*SF6_NF3!BB43+char!$C$6*'CH4'!BB43+char!$C$7*HFC!BB43+char!$C$8*PFC!BB43</f>
        <v>607.9238237367</v>
      </c>
      <c r="BC43" s="379">
        <f>+'CO2'!BC43+char!$C$4*N2O!BC43+char!$C$5*SF6_NF3!BC43+char!$C$6*'CH4'!BC43+char!$C$7*HFC!BC43+char!$C$8*PFC!BC43</f>
        <v>0</v>
      </c>
      <c r="BD43" s="165">
        <f>+'CO2'!BD43+char!$C$4*N2O!BD43+char!$C$5*SF6_NF3!BD43+char!$C$6*'CH4'!BD43+char!$C$7*HFC!BD43+char!$C$8*PFC!BD43</f>
        <v>637.33009240199999</v>
      </c>
      <c r="BE43" s="379">
        <f>+'CO2'!BE43+char!$C$4*N2O!BE43+char!$C$5*SF6_NF3!BE43+char!$C$6*'CH4'!BE43+char!$C$7*HFC!BE43+char!$C$8*PFC!BE43</f>
        <v>0</v>
      </c>
      <c r="BF43" s="165">
        <f>+'CO2'!BF43+char!$C$4*N2O!BF43+char!$C$5*SF6_NF3!BF43+char!$C$6*'CH4'!BF43+char!$C$7*HFC!BF43+char!$C$8*PFC!BF43</f>
        <v>748.45458734950012</v>
      </c>
      <c r="BG43" s="379"/>
      <c r="BH43" s="225"/>
      <c r="BI43" s="184"/>
      <c r="CJ43" s="150"/>
      <c r="CK43" s="150"/>
      <c r="CL43" s="150"/>
      <c r="CM43" s="151" t="s">
        <v>848</v>
      </c>
      <c r="CN43" s="150" t="s">
        <v>1130</v>
      </c>
      <c r="CO43" s="150"/>
      <c r="CP43" s="150"/>
      <c r="CQ43" s="150"/>
      <c r="CR43" s="150"/>
      <c r="CS43" s="150"/>
      <c r="CT43" s="150"/>
    </row>
    <row r="44" spans="1:98" s="11" customFormat="1" ht="12.75" customHeight="1">
      <c r="A44" s="310"/>
      <c r="B44" s="308" t="str">
        <f>Parameters!Q43</f>
        <v>G47</v>
      </c>
      <c r="C44" s="309"/>
      <c r="D44" s="495" t="str">
        <f>Parameters!S43</f>
        <v>Retail trade, except of motor vehicles and motorcycles</v>
      </c>
      <c r="E44" s="496"/>
      <c r="F44" s="224"/>
      <c r="G44" s="379"/>
      <c r="H44" s="225"/>
      <c r="I44" s="379"/>
      <c r="J44" s="225"/>
      <c r="K44" s="379"/>
      <c r="L44" s="225"/>
      <c r="M44" s="379"/>
      <c r="N44" s="225"/>
      <c r="O44" s="379"/>
      <c r="P44" s="225"/>
      <c r="Q44" s="379"/>
      <c r="R44" s="225"/>
      <c r="S44" s="379"/>
      <c r="T44" s="225"/>
      <c r="U44" s="379"/>
      <c r="V44" s="225"/>
      <c r="W44" s="379"/>
      <c r="X44" s="225"/>
      <c r="Y44" s="379"/>
      <c r="Z44" s="225"/>
      <c r="AA44" s="379"/>
      <c r="AB44" s="225"/>
      <c r="AC44" s="379"/>
      <c r="AD44" s="225"/>
      <c r="AE44" s="379"/>
      <c r="AF44" s="165">
        <f>+'CO2'!AF44+char!$C$4*N2O!AF44+char!$C$5*SF6_NF3!AF44+char!$C$6*'CH4'!AF44+char!$C$7*HFC!AF44+char!$C$8*PFC!AF44</f>
        <v>403.1817783258</v>
      </c>
      <c r="AG44" s="379">
        <f>+'CO2'!AG44+char!$C$4*N2O!AG44+char!$C$5*SF6_NF3!AG44+char!$C$6*'CH4'!AG44+char!$C$7*HFC!AG44+char!$C$8*PFC!AG44</f>
        <v>0</v>
      </c>
      <c r="AH44" s="165">
        <f>+'CO2'!AH44+char!$C$4*N2O!AH44+char!$C$5*SF6_NF3!AH44+char!$C$6*'CH4'!AH44+char!$C$7*HFC!AH44+char!$C$8*PFC!AH44</f>
        <v>383.0988190448</v>
      </c>
      <c r="AI44" s="379">
        <f>+'CO2'!AI44+char!$C$4*N2O!AI44+char!$C$5*SF6_NF3!AI44+char!$C$6*'CH4'!AI44+char!$C$7*HFC!AI44+char!$C$8*PFC!AI44</f>
        <v>0</v>
      </c>
      <c r="AJ44" s="165">
        <f>+'CO2'!AJ44+char!$C$4*N2O!AJ44+char!$C$5*SF6_NF3!AJ44+char!$C$6*'CH4'!AJ44+char!$C$7*HFC!AJ44+char!$C$8*PFC!AJ44</f>
        <v>353.28755270830004</v>
      </c>
      <c r="AK44" s="379">
        <f>+'CO2'!AK44+char!$C$4*N2O!AK44+char!$C$5*SF6_NF3!AK44+char!$C$6*'CH4'!AK44+char!$C$7*HFC!AK44+char!$C$8*PFC!AK44</f>
        <v>0</v>
      </c>
      <c r="AL44" s="165">
        <f>+'CO2'!AL44+char!$C$4*N2O!AL44+char!$C$5*SF6_NF3!AL44+char!$C$6*'CH4'!AL44+char!$C$7*HFC!AL44+char!$C$8*PFC!AL44</f>
        <v>369.1189810921</v>
      </c>
      <c r="AM44" s="379">
        <f>+'CO2'!AM44+char!$C$4*N2O!AM44+char!$C$5*SF6_NF3!AM44+char!$C$6*'CH4'!AM44+char!$C$7*HFC!AM44+char!$C$8*PFC!AM44</f>
        <v>0</v>
      </c>
      <c r="AN44" s="165">
        <f>+'CO2'!AN44+char!$C$4*N2O!AN44+char!$C$5*SF6_NF3!AN44+char!$C$6*'CH4'!AN44+char!$C$7*HFC!AN44+char!$C$8*PFC!AN44</f>
        <v>359.97942470100003</v>
      </c>
      <c r="AO44" s="379">
        <f>+'CO2'!AO44+char!$C$4*N2O!AO44+char!$C$5*SF6_NF3!AO44+char!$C$6*'CH4'!AO44+char!$C$7*HFC!AO44+char!$C$8*PFC!AO44</f>
        <v>0</v>
      </c>
      <c r="AP44" s="165">
        <f>+'CO2'!AP44+char!$C$4*N2O!AP44+char!$C$5*SF6_NF3!AP44+char!$C$6*'CH4'!AP44+char!$C$7*HFC!AP44+char!$C$8*PFC!AP44</f>
        <v>368.1093096546</v>
      </c>
      <c r="AQ44" s="379">
        <f>+'CO2'!AQ44+char!$C$4*N2O!AQ44+char!$C$5*SF6_NF3!AQ44+char!$C$6*'CH4'!AQ44+char!$C$7*HFC!AQ44+char!$C$8*PFC!AQ44</f>
        <v>0</v>
      </c>
      <c r="AR44" s="165">
        <f>+'CO2'!AR44+char!$C$4*N2O!AR44+char!$C$5*SF6_NF3!AR44+char!$C$6*'CH4'!AR44+char!$C$7*HFC!AR44+char!$C$8*PFC!AR44</f>
        <v>308.49215182350002</v>
      </c>
      <c r="AS44" s="379">
        <f>+'CO2'!AS44+char!$C$4*N2O!AS44+char!$C$5*SF6_NF3!AS44+char!$C$6*'CH4'!AS44+char!$C$7*HFC!AS44+char!$C$8*PFC!AS44</f>
        <v>0</v>
      </c>
      <c r="AT44" s="165">
        <f>+'CO2'!AT44+char!$C$4*N2O!AT44+char!$C$5*SF6_NF3!AT44+char!$C$6*'CH4'!AT44+char!$C$7*HFC!AT44+char!$C$8*PFC!AT44</f>
        <v>291.83518401399999</v>
      </c>
      <c r="AU44" s="379">
        <f>+'CO2'!AU44+char!$C$4*N2O!AU44+char!$C$5*SF6_NF3!AU44+char!$C$6*'CH4'!AU44+char!$C$7*HFC!AU44+char!$C$8*PFC!AU44</f>
        <v>0</v>
      </c>
      <c r="AV44" s="165">
        <f>+'CO2'!AV44+char!$C$4*N2O!AV44+char!$C$5*SF6_NF3!AV44+char!$C$6*'CH4'!AV44+char!$C$7*HFC!AV44+char!$C$8*PFC!AV44</f>
        <v>305.32931554030006</v>
      </c>
      <c r="AW44" s="379">
        <f>+'CO2'!AW44+char!$C$4*N2O!AW44+char!$C$5*SF6_NF3!AW44+char!$C$6*'CH4'!AW44+char!$C$7*HFC!AW44+char!$C$8*PFC!AW44</f>
        <v>0</v>
      </c>
      <c r="AX44" s="165">
        <f>+'CO2'!AX44+char!$C$4*N2O!AX44+char!$C$5*SF6_NF3!AX44+char!$C$6*'CH4'!AX44+char!$C$7*HFC!AX44+char!$C$8*PFC!AX44</f>
        <v>262.26580028569998</v>
      </c>
      <c r="AY44" s="379">
        <f>+'CO2'!AY44+char!$C$4*N2O!AY44+char!$C$5*SF6_NF3!AY44+char!$C$6*'CH4'!AY44+char!$C$7*HFC!AY44+char!$C$8*PFC!AY44</f>
        <v>0</v>
      </c>
      <c r="AZ44" s="165">
        <f>+'CO2'!AZ44+char!$C$4*N2O!AZ44+char!$C$5*SF6_NF3!AZ44+char!$C$6*'CH4'!AZ44+char!$C$7*HFC!AZ44+char!$C$8*PFC!AZ44</f>
        <v>297.6771201949</v>
      </c>
      <c r="BA44" s="379">
        <f>+'CO2'!BA44+char!$C$4*N2O!BA44+char!$C$5*SF6_NF3!BA44+char!$C$6*'CH4'!BA44+char!$C$7*HFC!BA44+char!$C$8*PFC!BA44</f>
        <v>0</v>
      </c>
      <c r="BB44" s="165">
        <f>+'CO2'!BB44+char!$C$4*N2O!BB44+char!$C$5*SF6_NF3!BB44+char!$C$6*'CH4'!BB44+char!$C$7*HFC!BB44+char!$C$8*PFC!BB44</f>
        <v>410.24163006609996</v>
      </c>
      <c r="BC44" s="379">
        <f>+'CO2'!BC44+char!$C$4*N2O!BC44+char!$C$5*SF6_NF3!BC44+char!$C$6*'CH4'!BC44+char!$C$7*HFC!BC44+char!$C$8*PFC!BC44</f>
        <v>0</v>
      </c>
      <c r="BD44" s="165">
        <f>+'CO2'!BD44+char!$C$4*N2O!BD44+char!$C$5*SF6_NF3!BD44+char!$C$6*'CH4'!BD44+char!$C$7*HFC!BD44+char!$C$8*PFC!BD44</f>
        <v>252.59045650090002</v>
      </c>
      <c r="BE44" s="379">
        <f>+'CO2'!BE44+char!$C$4*N2O!BE44+char!$C$5*SF6_NF3!BE44+char!$C$6*'CH4'!BE44+char!$C$7*HFC!BE44+char!$C$8*PFC!BE44</f>
        <v>0</v>
      </c>
      <c r="BF44" s="165">
        <f>+'CO2'!BF44+char!$C$4*N2O!BF44+char!$C$5*SF6_NF3!BF44+char!$C$6*'CH4'!BF44+char!$C$7*HFC!BF44+char!$C$8*PFC!BF44</f>
        <v>165.60499937989999</v>
      </c>
      <c r="BG44" s="379"/>
      <c r="BH44" s="225"/>
      <c r="BI44" s="184"/>
      <c r="CJ44" s="150"/>
      <c r="CK44" s="150"/>
      <c r="CL44" s="150"/>
      <c r="CM44" s="151" t="s">
        <v>854</v>
      </c>
      <c r="CN44" s="150" t="s">
        <v>1130</v>
      </c>
      <c r="CO44" s="150"/>
      <c r="CP44" s="150"/>
      <c r="CQ44" s="150"/>
      <c r="CR44" s="150"/>
      <c r="CS44" s="150"/>
      <c r="CT44" s="150"/>
    </row>
    <row r="45" spans="1:98" s="11" customFormat="1" ht="12.75" customHeight="1">
      <c r="A45" s="25"/>
      <c r="B45" s="87" t="str">
        <f>Parameters!Q44</f>
        <v>H</v>
      </c>
      <c r="C45" s="88"/>
      <c r="D45" s="498" t="str">
        <f>Parameters!S44</f>
        <v>Transportation and storage</v>
      </c>
      <c r="E45" s="499"/>
      <c r="F45" s="222"/>
      <c r="G45" s="379"/>
      <c r="H45" s="223"/>
      <c r="I45" s="379"/>
      <c r="J45" s="223"/>
      <c r="K45" s="379"/>
      <c r="L45" s="223"/>
      <c r="M45" s="379"/>
      <c r="N45" s="223"/>
      <c r="O45" s="379"/>
      <c r="P45" s="223"/>
      <c r="Q45" s="379"/>
      <c r="R45" s="223"/>
      <c r="S45" s="379"/>
      <c r="T45" s="223"/>
      <c r="U45" s="379"/>
      <c r="V45" s="223"/>
      <c r="W45" s="379"/>
      <c r="X45" s="223"/>
      <c r="Y45" s="379"/>
      <c r="Z45" s="223"/>
      <c r="AA45" s="379"/>
      <c r="AB45" s="223"/>
      <c r="AC45" s="379"/>
      <c r="AD45" s="223"/>
      <c r="AE45" s="379"/>
      <c r="AF45" s="164">
        <f>+'CO2'!AF45+char!$C$4*N2O!AF45+char!$C$5*SF6_NF3!AF45+char!$C$6*'CH4'!AF45+char!$C$7*HFC!AF45+char!$C$8*PFC!AF45</f>
        <v>15539.891900349799</v>
      </c>
      <c r="AG45" s="379">
        <f>+'CO2'!AG45+char!$C$4*N2O!AG45+char!$C$5*SF6_NF3!AG45+char!$C$6*'CH4'!AG45+char!$C$7*HFC!AG45+char!$C$8*PFC!AG45</f>
        <v>0</v>
      </c>
      <c r="AH45" s="164">
        <f>+'CO2'!AH45+char!$C$4*N2O!AH45+char!$C$5*SF6_NF3!AH45+char!$C$6*'CH4'!AH45+char!$C$7*HFC!AH45+char!$C$8*PFC!AH45</f>
        <v>14022.354861463999</v>
      </c>
      <c r="AI45" s="379">
        <f>+'CO2'!AI45+char!$C$4*N2O!AI45+char!$C$5*SF6_NF3!AI45+char!$C$6*'CH4'!AI45+char!$C$7*HFC!AI45+char!$C$8*PFC!AI45</f>
        <v>0</v>
      </c>
      <c r="AJ45" s="164">
        <f>+'CO2'!AJ45+char!$C$4*N2O!AJ45+char!$C$5*SF6_NF3!AJ45+char!$C$6*'CH4'!AJ45+char!$C$7*HFC!AJ45+char!$C$8*PFC!AJ45</f>
        <v>14767.5025885757</v>
      </c>
      <c r="AK45" s="379">
        <f>+'CO2'!AK45+char!$C$4*N2O!AK45+char!$C$5*SF6_NF3!AK45+char!$C$6*'CH4'!AK45+char!$C$7*HFC!AK45+char!$C$8*PFC!AK45</f>
        <v>0</v>
      </c>
      <c r="AL45" s="247">
        <f>+'CO2'!AL45+char!$C$4*N2O!AL45+char!$C$5*SF6_NF3!AL45+char!$C$6*'CH4'!AL45+char!$C$7*HFC!AL45+char!$C$8*PFC!AL45</f>
        <v>20362.372133270605</v>
      </c>
      <c r="AM45" s="379" t="e">
        <f>+'CO2'!AM45+char!$C$4*N2O!AM45+char!$C$5*SF6_NF3!AM45+char!$C$6*'CH4'!AM45+char!$C$7*HFC!AM45+char!$C$8*PFC!AM45</f>
        <v>#VALUE!</v>
      </c>
      <c r="AN45" s="164">
        <f>+'CO2'!AN45+char!$C$4*N2O!AN45+char!$C$5*SF6_NF3!AN45+char!$C$6*'CH4'!AN45+char!$C$7*HFC!AN45+char!$C$8*PFC!AN45</f>
        <v>20565.931159739597</v>
      </c>
      <c r="AO45" s="379">
        <f>+'CO2'!AO45+char!$C$4*N2O!AO45+char!$C$5*SF6_NF3!AO45+char!$C$6*'CH4'!AO45+char!$C$7*HFC!AO45+char!$C$8*PFC!AO45</f>
        <v>0</v>
      </c>
      <c r="AP45" s="164">
        <f>+'CO2'!AP45+char!$C$4*N2O!AP45+char!$C$5*SF6_NF3!AP45+char!$C$6*'CH4'!AP45+char!$C$7*HFC!AP45+char!$C$8*PFC!AP45</f>
        <v>20534.0634987882</v>
      </c>
      <c r="AQ45" s="379">
        <f>+'CO2'!AQ45+char!$C$4*N2O!AQ45+char!$C$5*SF6_NF3!AQ45+char!$C$6*'CH4'!AQ45+char!$C$7*HFC!AQ45+char!$C$8*PFC!AQ45</f>
        <v>0</v>
      </c>
      <c r="AR45" s="164">
        <f>+'CO2'!AR45+char!$C$4*N2O!AR45+char!$C$5*SF6_NF3!AR45+char!$C$6*'CH4'!AR45+char!$C$7*HFC!AR45+char!$C$8*PFC!AR45</f>
        <v>19944.5334046229</v>
      </c>
      <c r="AS45" s="379">
        <f>+'CO2'!AS45+char!$C$4*N2O!AS45+char!$C$5*SF6_NF3!AS45+char!$C$6*'CH4'!AS45+char!$C$7*HFC!AS45+char!$C$8*PFC!AS45</f>
        <v>0</v>
      </c>
      <c r="AT45" s="247">
        <f>+'CO2'!AT45+char!$C$4*N2O!AT45+char!$C$5*SF6_NF3!AT45+char!$C$6*'CH4'!AT45+char!$C$7*HFC!AT45+char!$C$8*PFC!AT45</f>
        <v>26311.635459633901</v>
      </c>
      <c r="AU45" s="379" t="e">
        <f>+'CO2'!AU45+char!$C$4*N2O!AU45+char!$C$5*SF6_NF3!AU45+char!$C$6*'CH4'!AU45+char!$C$7*HFC!AU45+char!$C$8*PFC!AU45</f>
        <v>#VALUE!</v>
      </c>
      <c r="AV45" s="247">
        <f>+'CO2'!AV45+char!$C$4*N2O!AV45+char!$C$5*SF6_NF3!AV45+char!$C$6*'CH4'!AV45+char!$C$7*HFC!AV45+char!$C$8*PFC!AV45</f>
        <v>18089.8181941726</v>
      </c>
      <c r="AW45" s="379" t="e">
        <f>+'CO2'!AW45+char!$C$4*N2O!AW45+char!$C$5*SF6_NF3!AW45+char!$C$6*'CH4'!AW45+char!$C$7*HFC!AW45+char!$C$8*PFC!AW45</f>
        <v>#VALUE!</v>
      </c>
      <c r="AX45" s="164">
        <f>+'CO2'!AX45+char!$C$4*N2O!AX45+char!$C$5*SF6_NF3!AX45+char!$C$6*'CH4'!AX45+char!$C$7*HFC!AX45+char!$C$8*PFC!AX45</f>
        <v>20412.584452769301</v>
      </c>
      <c r="AY45" s="379">
        <f>+'CO2'!AY45+char!$C$4*N2O!AY45+char!$C$5*SF6_NF3!AY45+char!$C$6*'CH4'!AY45+char!$C$7*HFC!AY45+char!$C$8*PFC!AY45</f>
        <v>0</v>
      </c>
      <c r="AZ45" s="164">
        <f>+'CO2'!AZ45+char!$C$4*N2O!AZ45+char!$C$5*SF6_NF3!AZ45+char!$C$6*'CH4'!AZ45+char!$C$7*HFC!AZ45+char!$C$8*PFC!AZ45</f>
        <v>23588.558446515799</v>
      </c>
      <c r="BA45" s="379">
        <f>+'CO2'!BA45+char!$C$4*N2O!BA45+char!$C$5*SF6_NF3!BA45+char!$C$6*'CH4'!BA45+char!$C$7*HFC!BA45+char!$C$8*PFC!BA45</f>
        <v>0</v>
      </c>
      <c r="BB45" s="164">
        <f>+'CO2'!BB45+char!$C$4*N2O!BB45+char!$C$5*SF6_NF3!BB45+char!$C$6*'CH4'!BB45+char!$C$7*HFC!BB45+char!$C$8*PFC!BB45</f>
        <v>24905.713276571198</v>
      </c>
      <c r="BC45" s="379">
        <f>+'CO2'!BC45+char!$C$4*N2O!BC45+char!$C$5*SF6_NF3!BC45+char!$C$6*'CH4'!BC45+char!$C$7*HFC!BC45+char!$C$8*PFC!BC45</f>
        <v>0</v>
      </c>
      <c r="BD45" s="164">
        <f>+'CO2'!BD45+char!$C$4*N2O!BD45+char!$C$5*SF6_NF3!BD45+char!$C$6*'CH4'!BD45+char!$C$7*HFC!BD45+char!$C$8*PFC!BD45</f>
        <v>20307.313860990402</v>
      </c>
      <c r="BE45" s="379">
        <f>+'CO2'!BE45+char!$C$4*N2O!BE45+char!$C$5*SF6_NF3!BE45+char!$C$6*'CH4'!BE45+char!$C$7*HFC!BE45+char!$C$8*PFC!BE45</f>
        <v>0</v>
      </c>
      <c r="BF45" s="164">
        <f>+'CO2'!BF45+char!$C$4*N2O!BF45+char!$C$5*SF6_NF3!BF45+char!$C$6*'CH4'!BF45+char!$C$7*HFC!BF45+char!$C$8*PFC!BF45</f>
        <v>20302.9920298494</v>
      </c>
      <c r="BG45" s="379"/>
      <c r="BH45" s="223"/>
      <c r="BI45" s="184"/>
      <c r="CJ45" s="150"/>
      <c r="CK45" s="150"/>
      <c r="CL45" s="150"/>
      <c r="CM45" s="151" t="s">
        <v>862</v>
      </c>
      <c r="CN45" s="150" t="s">
        <v>1130</v>
      </c>
      <c r="CO45" s="150"/>
      <c r="CP45" s="150"/>
      <c r="CQ45" s="150"/>
      <c r="CR45" s="150"/>
      <c r="CS45" s="150"/>
      <c r="CT45" s="150"/>
    </row>
    <row r="46" spans="1:98" s="10" customFormat="1" ht="12.75" customHeight="1">
      <c r="A46" s="310"/>
      <c r="B46" s="308" t="str">
        <f>Parameters!Q45</f>
        <v>H49</v>
      </c>
      <c r="C46" s="309"/>
      <c r="D46" s="495" t="str">
        <f>Parameters!S45</f>
        <v>Land transport and transport via pipelines</v>
      </c>
      <c r="E46" s="496"/>
      <c r="F46" s="224"/>
      <c r="G46" s="379"/>
      <c r="H46" s="225"/>
      <c r="I46" s="379"/>
      <c r="J46" s="225"/>
      <c r="K46" s="379"/>
      <c r="L46" s="225"/>
      <c r="M46" s="379"/>
      <c r="N46" s="225"/>
      <c r="O46" s="379"/>
      <c r="P46" s="225"/>
      <c r="Q46" s="379"/>
      <c r="R46" s="225"/>
      <c r="S46" s="379"/>
      <c r="T46" s="225"/>
      <c r="U46" s="379"/>
      <c r="V46" s="225"/>
      <c r="W46" s="379"/>
      <c r="X46" s="225"/>
      <c r="Y46" s="379"/>
      <c r="Z46" s="225"/>
      <c r="AA46" s="379"/>
      <c r="AB46" s="225"/>
      <c r="AC46" s="379"/>
      <c r="AD46" s="225"/>
      <c r="AE46" s="379"/>
      <c r="AF46" s="165">
        <f>+'CO2'!AF46+char!$C$4*N2O!AF46+char!$C$5*SF6_NF3!AF46+char!$C$6*'CH4'!AF46+char!$C$7*HFC!AF46+char!$C$8*PFC!AF46</f>
        <v>2390.5696410223004</v>
      </c>
      <c r="AG46" s="379">
        <f>+'CO2'!AG46+char!$C$4*N2O!AG46+char!$C$5*SF6_NF3!AG46+char!$C$6*'CH4'!AG46+char!$C$7*HFC!AG46+char!$C$8*PFC!AG46</f>
        <v>0</v>
      </c>
      <c r="AH46" s="165">
        <f>+'CO2'!AH46+char!$C$4*N2O!AH46+char!$C$5*SF6_NF3!AH46+char!$C$6*'CH4'!AH46+char!$C$7*HFC!AH46+char!$C$8*PFC!AH46</f>
        <v>2335.2084498957001</v>
      </c>
      <c r="AI46" s="379">
        <f>+'CO2'!AI46+char!$C$4*N2O!AI46+char!$C$5*SF6_NF3!AI46+char!$C$6*'CH4'!AI46+char!$C$7*HFC!AI46+char!$C$8*PFC!AI46</f>
        <v>0</v>
      </c>
      <c r="AJ46" s="165">
        <f>+'CO2'!AJ46+char!$C$4*N2O!AJ46+char!$C$5*SF6_NF3!AJ46+char!$C$6*'CH4'!AJ46+char!$C$7*HFC!AJ46+char!$C$8*PFC!AJ46</f>
        <v>2406.3500509379001</v>
      </c>
      <c r="AK46" s="379">
        <f>+'CO2'!AK46+char!$C$4*N2O!AK46+char!$C$5*SF6_NF3!AK46+char!$C$6*'CH4'!AK46+char!$C$7*HFC!AK46+char!$C$8*PFC!AK46</f>
        <v>0</v>
      </c>
      <c r="AL46" s="165">
        <f>+'CO2'!AL46+char!$C$4*N2O!AL46+char!$C$5*SF6_NF3!AL46+char!$C$6*'CH4'!AL46+char!$C$7*HFC!AL46+char!$C$8*PFC!AL46</f>
        <v>2466.4323066744996</v>
      </c>
      <c r="AM46" s="379">
        <f>+'CO2'!AM46+char!$C$4*N2O!AM46+char!$C$5*SF6_NF3!AM46+char!$C$6*'CH4'!AM46+char!$C$7*HFC!AM46+char!$C$8*PFC!AM46</f>
        <v>0</v>
      </c>
      <c r="AN46" s="165">
        <f>+'CO2'!AN46+char!$C$4*N2O!AN46+char!$C$5*SF6_NF3!AN46+char!$C$6*'CH4'!AN46+char!$C$7*HFC!AN46+char!$C$8*PFC!AN46</f>
        <v>2468.1432808819</v>
      </c>
      <c r="AO46" s="379">
        <f>+'CO2'!AO46+char!$C$4*N2O!AO46+char!$C$5*SF6_NF3!AO46+char!$C$6*'CH4'!AO46+char!$C$7*HFC!AO46+char!$C$8*PFC!AO46</f>
        <v>0</v>
      </c>
      <c r="AP46" s="165">
        <f>+'CO2'!AP46+char!$C$4*N2O!AP46+char!$C$5*SF6_NF3!AP46+char!$C$6*'CH4'!AP46+char!$C$7*HFC!AP46+char!$C$8*PFC!AP46</f>
        <v>2450.3518934873996</v>
      </c>
      <c r="AQ46" s="379">
        <f>+'CO2'!AQ46+char!$C$4*N2O!AQ46+char!$C$5*SF6_NF3!AQ46+char!$C$6*'CH4'!AQ46+char!$C$7*HFC!AQ46+char!$C$8*PFC!AQ46</f>
        <v>0</v>
      </c>
      <c r="AR46" s="165">
        <f>+'CO2'!AR46+char!$C$4*N2O!AR46+char!$C$5*SF6_NF3!AR46+char!$C$6*'CH4'!AR46+char!$C$7*HFC!AR46+char!$C$8*PFC!AR46</f>
        <v>2774.4013026548996</v>
      </c>
      <c r="AS46" s="379">
        <f>+'CO2'!AS46+char!$C$4*N2O!AS46+char!$C$5*SF6_NF3!AS46+char!$C$6*'CH4'!AS46+char!$C$7*HFC!AS46+char!$C$8*PFC!AS46</f>
        <v>0</v>
      </c>
      <c r="AT46" s="165">
        <f>+'CO2'!AT46+char!$C$4*N2O!AT46+char!$C$5*SF6_NF3!AT46+char!$C$6*'CH4'!AT46+char!$C$7*HFC!AT46+char!$C$8*PFC!AT46</f>
        <v>2760.4783889873997</v>
      </c>
      <c r="AU46" s="379">
        <f>+'CO2'!AU46+char!$C$4*N2O!AU46+char!$C$5*SF6_NF3!AU46+char!$C$6*'CH4'!AU46+char!$C$7*HFC!AU46+char!$C$8*PFC!AU46</f>
        <v>0</v>
      </c>
      <c r="AV46" s="165">
        <f>+'CO2'!AV46+char!$C$4*N2O!AV46+char!$C$5*SF6_NF3!AV46+char!$C$6*'CH4'!AV46+char!$C$7*HFC!AV46+char!$C$8*PFC!AV46</f>
        <v>2516.3076183046996</v>
      </c>
      <c r="AW46" s="379">
        <f>+'CO2'!AW46+char!$C$4*N2O!AW46+char!$C$5*SF6_NF3!AW46+char!$C$6*'CH4'!AW46+char!$C$7*HFC!AW46+char!$C$8*PFC!AW46</f>
        <v>0</v>
      </c>
      <c r="AX46" s="165">
        <f>+'CO2'!AX46+char!$C$4*N2O!AX46+char!$C$5*SF6_NF3!AX46+char!$C$6*'CH4'!AX46+char!$C$7*HFC!AX46+char!$C$8*PFC!AX46</f>
        <v>2091.5213362301001</v>
      </c>
      <c r="AY46" s="379">
        <f>+'CO2'!AY46+char!$C$4*N2O!AY46+char!$C$5*SF6_NF3!AY46+char!$C$6*'CH4'!AY46+char!$C$7*HFC!AY46+char!$C$8*PFC!AY46</f>
        <v>0</v>
      </c>
      <c r="AZ46" s="165">
        <f>+'CO2'!AZ46+char!$C$4*N2O!AZ46+char!$C$5*SF6_NF3!AZ46+char!$C$6*'CH4'!AZ46+char!$C$7*HFC!AZ46+char!$C$8*PFC!AZ46</f>
        <v>2292.6944586798004</v>
      </c>
      <c r="BA46" s="379">
        <f>+'CO2'!BA46+char!$C$4*N2O!BA46+char!$C$5*SF6_NF3!BA46+char!$C$6*'CH4'!BA46+char!$C$7*HFC!BA46+char!$C$8*PFC!BA46</f>
        <v>0</v>
      </c>
      <c r="BB46" s="165">
        <f>+'CO2'!BB46+char!$C$4*N2O!BB46+char!$C$5*SF6_NF3!BB46+char!$C$6*'CH4'!BB46+char!$C$7*HFC!BB46+char!$C$8*PFC!BB46</f>
        <v>2178.0190373383002</v>
      </c>
      <c r="BC46" s="379">
        <f>+'CO2'!BC46+char!$C$4*N2O!BC46+char!$C$5*SF6_NF3!BC46+char!$C$6*'CH4'!BC46+char!$C$7*HFC!BC46+char!$C$8*PFC!BC46</f>
        <v>0</v>
      </c>
      <c r="BD46" s="165">
        <f>+'CO2'!BD46+char!$C$4*N2O!BD46+char!$C$5*SF6_NF3!BD46+char!$C$6*'CH4'!BD46+char!$C$7*HFC!BD46+char!$C$8*PFC!BD46</f>
        <v>1947.5098087345</v>
      </c>
      <c r="BE46" s="379">
        <f>+'CO2'!BE46+char!$C$4*N2O!BE46+char!$C$5*SF6_NF3!BE46+char!$C$6*'CH4'!BE46+char!$C$7*HFC!BE46+char!$C$8*PFC!BE46</f>
        <v>0</v>
      </c>
      <c r="BF46" s="165">
        <f>+'CO2'!BF46+char!$C$4*N2O!BF46+char!$C$5*SF6_NF3!BF46+char!$C$6*'CH4'!BF46+char!$C$7*HFC!BF46+char!$C$8*PFC!BF46</f>
        <v>2034.7127912492001</v>
      </c>
      <c r="BG46" s="379"/>
      <c r="BH46" s="225"/>
      <c r="BI46" s="184"/>
      <c r="CJ46" s="150"/>
      <c r="CK46" s="150"/>
      <c r="CL46" s="150"/>
      <c r="CM46" s="151" t="s">
        <v>869</v>
      </c>
      <c r="CN46" s="150" t="s">
        <v>1130</v>
      </c>
      <c r="CO46" s="150"/>
      <c r="CP46" s="150"/>
      <c r="CQ46" s="150"/>
      <c r="CR46" s="150"/>
      <c r="CS46" s="150"/>
      <c r="CT46" s="150"/>
    </row>
    <row r="47" spans="1:98" s="10" customFormat="1" ht="12.75" customHeight="1">
      <c r="A47" s="310"/>
      <c r="B47" s="308" t="str">
        <f>Parameters!Q46</f>
        <v>H50</v>
      </c>
      <c r="C47" s="309"/>
      <c r="D47" s="495" t="str">
        <f>Parameters!S46</f>
        <v>Water transport</v>
      </c>
      <c r="E47" s="497"/>
      <c r="F47" s="224"/>
      <c r="G47" s="379"/>
      <c r="H47" s="225"/>
      <c r="I47" s="379"/>
      <c r="J47" s="225"/>
      <c r="K47" s="379"/>
      <c r="L47" s="225"/>
      <c r="M47" s="379"/>
      <c r="N47" s="225"/>
      <c r="O47" s="379"/>
      <c r="P47" s="225"/>
      <c r="Q47" s="379"/>
      <c r="R47" s="225"/>
      <c r="S47" s="379"/>
      <c r="T47" s="225"/>
      <c r="U47" s="379"/>
      <c r="V47" s="225"/>
      <c r="W47" s="379"/>
      <c r="X47" s="225"/>
      <c r="Y47" s="379"/>
      <c r="Z47" s="225"/>
      <c r="AA47" s="379"/>
      <c r="AB47" s="225"/>
      <c r="AC47" s="379"/>
      <c r="AD47" s="225"/>
      <c r="AE47" s="379"/>
      <c r="AF47" s="165">
        <f>+'CO2'!AF47+char!$C$4*N2O!AF47+char!$C$5*SF6_NF3!AF47+char!$C$6*'CH4'!AF47+char!$C$7*HFC!AF47+char!$C$8*PFC!AF47</f>
        <v>10652.234374802299</v>
      </c>
      <c r="AG47" s="379">
        <f>+'CO2'!AG47+char!$C$4*N2O!AG47+char!$C$5*SF6_NF3!AG47+char!$C$6*'CH4'!AG47+char!$C$7*HFC!AG47+char!$C$8*PFC!AG47</f>
        <v>0</v>
      </c>
      <c r="AH47" s="165">
        <f>+'CO2'!AH47+char!$C$4*N2O!AH47+char!$C$5*SF6_NF3!AH47+char!$C$6*'CH4'!AH47+char!$C$7*HFC!AH47+char!$C$8*PFC!AH47</f>
        <v>9085.6850757508982</v>
      </c>
      <c r="AI47" s="379">
        <f>+'CO2'!AI47+char!$C$4*N2O!AI47+char!$C$5*SF6_NF3!AI47+char!$C$6*'CH4'!AI47+char!$C$7*HFC!AI47+char!$C$8*PFC!AI47</f>
        <v>0</v>
      </c>
      <c r="AJ47" s="165">
        <f>+'CO2'!AJ47+char!$C$4*N2O!AJ47+char!$C$5*SF6_NF3!AJ47+char!$C$6*'CH4'!AJ47+char!$C$7*HFC!AJ47+char!$C$8*PFC!AJ47</f>
        <v>9560.7878146651001</v>
      </c>
      <c r="AK47" s="379">
        <f>+'CO2'!AK47+char!$C$4*N2O!AK47+char!$C$5*SF6_NF3!AK47+char!$C$6*'CH4'!AK47+char!$C$7*HFC!AK47+char!$C$8*PFC!AK47</f>
        <v>0</v>
      </c>
      <c r="AL47" s="165">
        <f>+'CO2'!AL47+char!$C$4*N2O!AL47+char!$C$5*SF6_NF3!AL47+char!$C$6*'CH4'!AL47+char!$C$7*HFC!AL47+char!$C$8*PFC!AL47</f>
        <v>14791.1686812811</v>
      </c>
      <c r="AM47" s="379">
        <f>+'CO2'!AM47+char!$C$4*N2O!AM47+char!$C$5*SF6_NF3!AM47+char!$C$6*'CH4'!AM47+char!$C$7*HFC!AM47+char!$C$8*PFC!AM47</f>
        <v>0</v>
      </c>
      <c r="AN47" s="165">
        <f>+'CO2'!AN47+char!$C$4*N2O!AN47+char!$C$5*SF6_NF3!AN47+char!$C$6*'CH4'!AN47+char!$C$7*HFC!AN47+char!$C$8*PFC!AN47</f>
        <v>14654.094659848601</v>
      </c>
      <c r="AO47" s="379">
        <f>+'CO2'!AO47+char!$C$4*N2O!AO47+char!$C$5*SF6_NF3!AO47+char!$C$6*'CH4'!AO47+char!$C$7*HFC!AO47+char!$C$8*PFC!AO47</f>
        <v>0</v>
      </c>
      <c r="AP47" s="165">
        <f>+'CO2'!AP47+char!$C$4*N2O!AP47+char!$C$5*SF6_NF3!AP47+char!$C$6*'CH4'!AP47+char!$C$7*HFC!AP47+char!$C$8*PFC!AP47</f>
        <v>14127.8249832825</v>
      </c>
      <c r="AQ47" s="379">
        <f>+'CO2'!AQ47+char!$C$4*N2O!AQ47+char!$C$5*SF6_NF3!AQ47+char!$C$6*'CH4'!AQ47+char!$C$7*HFC!AQ47+char!$C$8*PFC!AQ47</f>
        <v>0</v>
      </c>
      <c r="AR47" s="165">
        <f>+'CO2'!AR47+char!$C$4*N2O!AR47+char!$C$5*SF6_NF3!AR47+char!$C$6*'CH4'!AR47+char!$C$7*HFC!AR47+char!$C$8*PFC!AR47</f>
        <v>12982.845589060798</v>
      </c>
      <c r="AS47" s="379">
        <f>+'CO2'!AS47+char!$C$4*N2O!AS47+char!$C$5*SF6_NF3!AS47+char!$C$6*'CH4'!AS47+char!$C$7*HFC!AS47+char!$C$8*PFC!AS47</f>
        <v>0</v>
      </c>
      <c r="AT47" s="165">
        <f>+'CO2'!AT47+char!$C$4*N2O!AT47+char!$C$5*SF6_NF3!AT47+char!$C$6*'CH4'!AT47+char!$C$7*HFC!AT47+char!$C$8*PFC!AT47</f>
        <v>19140.664507592799</v>
      </c>
      <c r="AU47" s="379">
        <f>+'CO2'!AU47+char!$C$4*N2O!AU47+char!$C$5*SF6_NF3!AU47+char!$C$6*'CH4'!AU47+char!$C$7*HFC!AU47+char!$C$8*PFC!AU47</f>
        <v>0</v>
      </c>
      <c r="AV47" s="165">
        <f>+'CO2'!AV47+char!$C$4*N2O!AV47+char!$C$5*SF6_NF3!AV47+char!$C$6*'CH4'!AV47+char!$C$7*HFC!AV47+char!$C$8*PFC!AV47</f>
        <v>11817.815956340901</v>
      </c>
      <c r="AW47" s="379">
        <f>+'CO2'!AW47+char!$C$4*N2O!AW47+char!$C$5*SF6_NF3!AW47+char!$C$6*'CH4'!AW47+char!$C$7*HFC!AW47+char!$C$8*PFC!AW47</f>
        <v>0</v>
      </c>
      <c r="AX47" s="165">
        <f>+'CO2'!AX47+char!$C$4*N2O!AX47+char!$C$5*SF6_NF3!AX47+char!$C$6*'CH4'!AX47+char!$C$7*HFC!AX47+char!$C$8*PFC!AX47</f>
        <v>14313.9248317813</v>
      </c>
      <c r="AY47" s="379">
        <f>+'CO2'!AY47+char!$C$4*N2O!AY47+char!$C$5*SF6_NF3!AY47+char!$C$6*'CH4'!AY47+char!$C$7*HFC!AY47+char!$C$8*PFC!AY47</f>
        <v>0</v>
      </c>
      <c r="AZ47" s="165">
        <f>+'CO2'!AZ47+char!$C$4*N2O!AZ47+char!$C$5*SF6_NF3!AZ47+char!$C$6*'CH4'!AZ47+char!$C$7*HFC!AZ47+char!$C$8*PFC!AZ47</f>
        <v>16955.7304965941</v>
      </c>
      <c r="BA47" s="379">
        <f>+'CO2'!BA47+char!$C$4*N2O!BA47+char!$C$5*SF6_NF3!BA47+char!$C$6*'CH4'!BA47+char!$C$7*HFC!BA47+char!$C$8*PFC!BA47</f>
        <v>0</v>
      </c>
      <c r="BB47" s="165">
        <f>+'CO2'!BB47+char!$C$4*N2O!BB47+char!$C$5*SF6_NF3!BB47+char!$C$6*'CH4'!BB47+char!$C$7*HFC!BB47+char!$C$8*PFC!BB47</f>
        <v>17630.769124839902</v>
      </c>
      <c r="BC47" s="379">
        <f>+'CO2'!BC47+char!$C$4*N2O!BC47+char!$C$5*SF6_NF3!BC47+char!$C$6*'CH4'!BC47+char!$C$7*HFC!BC47+char!$C$8*PFC!BC47</f>
        <v>0</v>
      </c>
      <c r="BD47" s="165">
        <f>+'CO2'!BD47+char!$C$4*N2O!BD47+char!$C$5*SF6_NF3!BD47+char!$C$6*'CH4'!BD47+char!$C$7*HFC!BD47+char!$C$8*PFC!BD47</f>
        <v>16482.6474177196</v>
      </c>
      <c r="BE47" s="379">
        <f>+'CO2'!BE47+char!$C$4*N2O!BE47+char!$C$5*SF6_NF3!BE47+char!$C$6*'CH4'!BE47+char!$C$7*HFC!BE47+char!$C$8*PFC!BE47</f>
        <v>0</v>
      </c>
      <c r="BF47" s="165">
        <f>+'CO2'!BF47+char!$C$4*N2O!BF47+char!$C$5*SF6_NF3!BF47+char!$C$6*'CH4'!BF47+char!$C$7*HFC!BF47+char!$C$8*PFC!BF47</f>
        <v>16562.194027148198</v>
      </c>
      <c r="BG47" s="379"/>
      <c r="BH47" s="225"/>
      <c r="BI47" s="184"/>
      <c r="CJ47" s="150"/>
      <c r="CK47" s="150"/>
      <c r="CL47" s="150"/>
      <c r="CM47" s="151" t="s">
        <v>877</v>
      </c>
      <c r="CN47" s="150" t="s">
        <v>1130</v>
      </c>
      <c r="CO47" s="150"/>
      <c r="CP47" s="150"/>
      <c r="CQ47" s="150"/>
      <c r="CR47" s="150"/>
      <c r="CS47" s="150"/>
      <c r="CT47" s="150"/>
    </row>
    <row r="48" spans="1:98" s="11" customFormat="1" ht="12.75" customHeight="1">
      <c r="A48" s="310"/>
      <c r="B48" s="308" t="str">
        <f>Parameters!Q47</f>
        <v>H51</v>
      </c>
      <c r="C48" s="309"/>
      <c r="D48" s="495" t="str">
        <f>Parameters!S47</f>
        <v>Air transport</v>
      </c>
      <c r="E48" s="510"/>
      <c r="F48" s="224"/>
      <c r="G48" s="379"/>
      <c r="H48" s="225"/>
      <c r="I48" s="379"/>
      <c r="J48" s="225"/>
      <c r="K48" s="379"/>
      <c r="L48" s="225"/>
      <c r="M48" s="379"/>
      <c r="N48" s="225"/>
      <c r="O48" s="379"/>
      <c r="P48" s="225"/>
      <c r="Q48" s="379"/>
      <c r="R48" s="225"/>
      <c r="S48" s="379"/>
      <c r="T48" s="225"/>
      <c r="U48" s="379"/>
      <c r="V48" s="225"/>
      <c r="W48" s="379"/>
      <c r="X48" s="225"/>
      <c r="Y48" s="379"/>
      <c r="Z48" s="225"/>
      <c r="AA48" s="379"/>
      <c r="AB48" s="225"/>
      <c r="AC48" s="379"/>
      <c r="AD48" s="225"/>
      <c r="AE48" s="379"/>
      <c r="AF48" s="165">
        <f>+'CO2'!AF48+char!$C$4*N2O!AF48+char!$C$5*SF6_NF3!AF48+char!$C$6*'CH4'!AF48+char!$C$7*HFC!AF48+char!$C$8*PFC!AF48</f>
        <v>2203.421122445</v>
      </c>
      <c r="AG48" s="379">
        <f>+'CO2'!AG48+char!$C$4*N2O!AG48+char!$C$5*SF6_NF3!AG48+char!$C$6*'CH4'!AG48+char!$C$7*HFC!AG48+char!$C$8*PFC!AG48</f>
        <v>0</v>
      </c>
      <c r="AH48" s="165">
        <f>+'CO2'!AH48+char!$C$4*N2O!AH48+char!$C$5*SF6_NF3!AH48+char!$C$6*'CH4'!AH48+char!$C$7*HFC!AH48+char!$C$8*PFC!AH48</f>
        <v>2300.9496704588005</v>
      </c>
      <c r="AI48" s="379">
        <f>+'CO2'!AI48+char!$C$4*N2O!AI48+char!$C$5*SF6_NF3!AI48+char!$C$6*'CH4'!AI48+char!$C$7*HFC!AI48+char!$C$8*PFC!AI48</f>
        <v>0</v>
      </c>
      <c r="AJ48" s="165">
        <f>+'CO2'!AJ48+char!$C$4*N2O!AJ48+char!$C$5*SF6_NF3!AJ48+char!$C$6*'CH4'!AJ48+char!$C$7*HFC!AJ48+char!$C$8*PFC!AJ48</f>
        <v>2476.5772152929999</v>
      </c>
      <c r="AK48" s="379">
        <f>+'CO2'!AK48+char!$C$4*N2O!AK48+char!$C$5*SF6_NF3!AK48+char!$C$6*'CH4'!AK48+char!$C$7*HFC!AK48+char!$C$8*PFC!AK48</f>
        <v>0</v>
      </c>
      <c r="AL48" s="165">
        <f>+'CO2'!AL48+char!$C$4*N2O!AL48+char!$C$5*SF6_NF3!AL48+char!$C$6*'CH4'!AL48+char!$C$7*HFC!AL48+char!$C$8*PFC!AL48</f>
        <v>2779.7287495584997</v>
      </c>
      <c r="AM48" s="379">
        <f>+'CO2'!AM48+char!$C$4*N2O!AM48+char!$C$5*SF6_NF3!AM48+char!$C$6*'CH4'!AM48+char!$C$7*HFC!AM48+char!$C$8*PFC!AM48</f>
        <v>0</v>
      </c>
      <c r="AN48" s="165">
        <f>+'CO2'!AN48+char!$C$4*N2O!AN48+char!$C$5*SF6_NF3!AN48+char!$C$6*'CH4'!AN48+char!$C$7*HFC!AN48+char!$C$8*PFC!AN48</f>
        <v>3160.8741346567003</v>
      </c>
      <c r="AO48" s="379">
        <f>+'CO2'!AO48+char!$C$4*N2O!AO48+char!$C$5*SF6_NF3!AO48+char!$C$6*'CH4'!AO48+char!$C$7*HFC!AO48+char!$C$8*PFC!AO48</f>
        <v>0</v>
      </c>
      <c r="AP48" s="165">
        <f>+'CO2'!AP48+char!$C$4*N2O!AP48+char!$C$5*SF6_NF3!AP48+char!$C$6*'CH4'!AP48+char!$C$7*HFC!AP48+char!$C$8*PFC!AP48</f>
        <v>3537.3322914724004</v>
      </c>
      <c r="AQ48" s="379">
        <f>+'CO2'!AQ48+char!$C$4*N2O!AQ48+char!$C$5*SF6_NF3!AQ48+char!$C$6*'CH4'!AQ48+char!$C$7*HFC!AQ48+char!$C$8*PFC!AQ48</f>
        <v>0</v>
      </c>
      <c r="AR48" s="165">
        <f>+'CO2'!AR48+char!$C$4*N2O!AR48+char!$C$5*SF6_NF3!AR48+char!$C$6*'CH4'!AR48+char!$C$7*HFC!AR48+char!$C$8*PFC!AR48</f>
        <v>3893.8943420488995</v>
      </c>
      <c r="AS48" s="379">
        <f>+'CO2'!AS48+char!$C$4*N2O!AS48+char!$C$5*SF6_NF3!AS48+char!$C$6*'CH4'!AS48+char!$C$7*HFC!AS48+char!$C$8*PFC!AS48</f>
        <v>0</v>
      </c>
      <c r="AT48" s="165">
        <f>+'CO2'!AT48+char!$C$4*N2O!AT48+char!$C$5*SF6_NF3!AT48+char!$C$6*'CH4'!AT48+char!$C$7*HFC!AT48+char!$C$8*PFC!AT48</f>
        <v>4110.7800564801</v>
      </c>
      <c r="AU48" s="379">
        <f>+'CO2'!AU48+char!$C$4*N2O!AU48+char!$C$5*SF6_NF3!AU48+char!$C$6*'CH4'!AU48+char!$C$7*HFC!AU48+char!$C$8*PFC!AU48</f>
        <v>0</v>
      </c>
      <c r="AV48" s="165">
        <f>+'CO2'!AV48+char!$C$4*N2O!AV48+char!$C$5*SF6_NF3!AV48+char!$C$6*'CH4'!AV48+char!$C$7*HFC!AV48+char!$C$8*PFC!AV48</f>
        <v>3385.0785058678998</v>
      </c>
      <c r="AW48" s="379">
        <f>+'CO2'!AW48+char!$C$4*N2O!AW48+char!$C$5*SF6_NF3!AW48+char!$C$6*'CH4'!AW48+char!$C$7*HFC!AW48+char!$C$8*PFC!AW48</f>
        <v>0</v>
      </c>
      <c r="AX48" s="165">
        <f>+'CO2'!AX48+char!$C$4*N2O!AX48+char!$C$5*SF6_NF3!AX48+char!$C$6*'CH4'!AX48+char!$C$7*HFC!AX48+char!$C$8*PFC!AX48</f>
        <v>3565.5268149424996</v>
      </c>
      <c r="AY48" s="379">
        <f>+'CO2'!AY48+char!$C$4*N2O!AY48+char!$C$5*SF6_NF3!AY48+char!$C$6*'CH4'!AY48+char!$C$7*HFC!AY48+char!$C$8*PFC!AY48</f>
        <v>0</v>
      </c>
      <c r="AZ48" s="165">
        <f>+'CO2'!AZ48+char!$C$4*N2O!AZ48+char!$C$5*SF6_NF3!AZ48+char!$C$6*'CH4'!AZ48+char!$C$7*HFC!AZ48+char!$C$8*PFC!AZ48</f>
        <v>3882.6467106589998</v>
      </c>
      <c r="BA48" s="379">
        <f>+'CO2'!BA48+char!$C$4*N2O!BA48+char!$C$5*SF6_NF3!BA48+char!$C$6*'CH4'!BA48+char!$C$7*HFC!BA48+char!$C$8*PFC!BA48</f>
        <v>0</v>
      </c>
      <c r="BB48" s="165">
        <f>+'CO2'!BB48+char!$C$4*N2O!BB48+char!$C$5*SF6_NF3!BB48+char!$C$6*'CH4'!BB48+char!$C$7*HFC!BB48+char!$C$8*PFC!BB48</f>
        <v>4657.9048917720993</v>
      </c>
      <c r="BC48" s="379">
        <f>+'CO2'!BC48+char!$C$4*N2O!BC48+char!$C$5*SF6_NF3!BC48+char!$C$6*'CH4'!BC48+char!$C$7*HFC!BC48+char!$C$8*PFC!BC48</f>
        <v>0</v>
      </c>
      <c r="BD48" s="165">
        <f>+'CO2'!BD48+char!$C$4*N2O!BD48+char!$C$5*SF6_NF3!BD48+char!$C$6*'CH4'!BD48+char!$C$7*HFC!BD48+char!$C$8*PFC!BD48</f>
        <v>1416.0779552631</v>
      </c>
      <c r="BE48" s="379">
        <f>+'CO2'!BE48+char!$C$4*N2O!BE48+char!$C$5*SF6_NF3!BE48+char!$C$6*'CH4'!BE48+char!$C$7*HFC!BE48+char!$C$8*PFC!BE48</f>
        <v>0</v>
      </c>
      <c r="BF48" s="165">
        <f>+'CO2'!BF48+char!$C$4*N2O!BF48+char!$C$5*SF6_NF3!BF48+char!$C$6*'CH4'!BF48+char!$C$7*HFC!BF48+char!$C$8*PFC!BF48</f>
        <v>1258.5071403976999</v>
      </c>
      <c r="BG48" s="379"/>
      <c r="BH48" s="225"/>
      <c r="BI48" s="184"/>
      <c r="CJ48" s="150"/>
      <c r="CK48" s="150"/>
      <c r="CL48" s="150"/>
      <c r="CM48" s="151" t="s">
        <v>884</v>
      </c>
      <c r="CN48" s="150" t="s">
        <v>1130</v>
      </c>
      <c r="CO48" s="150"/>
      <c r="CP48" s="150"/>
      <c r="CQ48" s="150"/>
      <c r="CR48" s="150"/>
      <c r="CS48" s="150"/>
      <c r="CT48" s="150"/>
    </row>
    <row r="49" spans="1:98" s="11" customFormat="1" ht="12.75" customHeight="1">
      <c r="A49" s="310"/>
      <c r="B49" s="308" t="str">
        <f>Parameters!Q48</f>
        <v>H52</v>
      </c>
      <c r="C49" s="309"/>
      <c r="D49" s="495" t="str">
        <f>Parameters!S48</f>
        <v>Warehousing and support activities for transportation</v>
      </c>
      <c r="E49" s="510"/>
      <c r="F49" s="224"/>
      <c r="G49" s="379"/>
      <c r="H49" s="225"/>
      <c r="I49" s="379"/>
      <c r="J49" s="225"/>
      <c r="K49" s="379"/>
      <c r="L49" s="225"/>
      <c r="M49" s="379"/>
      <c r="N49" s="225"/>
      <c r="O49" s="379"/>
      <c r="P49" s="225"/>
      <c r="Q49" s="379"/>
      <c r="R49" s="225"/>
      <c r="S49" s="379"/>
      <c r="T49" s="225"/>
      <c r="U49" s="379"/>
      <c r="V49" s="225"/>
      <c r="W49" s="379"/>
      <c r="X49" s="225"/>
      <c r="Y49" s="379"/>
      <c r="Z49" s="225"/>
      <c r="AA49" s="379"/>
      <c r="AB49" s="225"/>
      <c r="AC49" s="379"/>
      <c r="AD49" s="225"/>
      <c r="AE49" s="379"/>
      <c r="AF49" s="165">
        <f>+'CO2'!AF49+char!$C$4*N2O!AF49+char!$C$5*SF6_NF3!AF49+char!$C$6*'CH4'!AF49+char!$C$7*HFC!AF49+char!$C$8*PFC!AF49</f>
        <v>258.12488393679996</v>
      </c>
      <c r="AG49" s="379">
        <f>+'CO2'!AG49+char!$C$4*N2O!AG49+char!$C$5*SF6_NF3!AG49+char!$C$6*'CH4'!AG49+char!$C$7*HFC!AG49+char!$C$8*PFC!AG49</f>
        <v>0</v>
      </c>
      <c r="AH49" s="165">
        <f>+'CO2'!AH49+char!$C$4*N2O!AH49+char!$C$5*SF6_NF3!AH49+char!$C$6*'CH4'!AH49+char!$C$7*HFC!AH49+char!$C$8*PFC!AH49</f>
        <v>266.33058511600001</v>
      </c>
      <c r="AI49" s="379">
        <f>+'CO2'!AI49+char!$C$4*N2O!AI49+char!$C$5*SF6_NF3!AI49+char!$C$6*'CH4'!AI49+char!$C$7*HFC!AI49+char!$C$8*PFC!AI49</f>
        <v>0</v>
      </c>
      <c r="AJ49" s="165">
        <f>+'CO2'!AJ49+char!$C$4*N2O!AJ49+char!$C$5*SF6_NF3!AJ49+char!$C$6*'CH4'!AJ49+char!$C$7*HFC!AJ49+char!$C$8*PFC!AJ49</f>
        <v>280.11585126060004</v>
      </c>
      <c r="AK49" s="379">
        <f>+'CO2'!AK49+char!$C$4*N2O!AK49+char!$C$5*SF6_NF3!AK49+char!$C$6*'CH4'!AK49+char!$C$7*HFC!AK49+char!$C$8*PFC!AK49</f>
        <v>0</v>
      </c>
      <c r="AL49" s="165">
        <f>+'CO2'!AL49+char!$C$4*N2O!AL49+char!$C$5*SF6_NF3!AL49+char!$C$6*'CH4'!AL49+char!$C$7*HFC!AL49+char!$C$8*PFC!AL49</f>
        <v>287.44549262790002</v>
      </c>
      <c r="AM49" s="379">
        <f>+'CO2'!AM49+char!$C$4*N2O!AM49+char!$C$5*SF6_NF3!AM49+char!$C$6*'CH4'!AM49+char!$C$7*HFC!AM49+char!$C$8*PFC!AM49</f>
        <v>0</v>
      </c>
      <c r="AN49" s="165">
        <f>+'CO2'!AN49+char!$C$4*N2O!AN49+char!$C$5*SF6_NF3!AN49+char!$C$6*'CH4'!AN49+char!$C$7*HFC!AN49+char!$C$8*PFC!AN49</f>
        <v>241.11608090799999</v>
      </c>
      <c r="AO49" s="379">
        <f>+'CO2'!AO49+char!$C$4*N2O!AO49+char!$C$5*SF6_NF3!AO49+char!$C$6*'CH4'!AO49+char!$C$7*HFC!AO49+char!$C$8*PFC!AO49</f>
        <v>0</v>
      </c>
      <c r="AP49" s="165">
        <f>+'CO2'!AP49+char!$C$4*N2O!AP49+char!$C$5*SF6_NF3!AP49+char!$C$6*'CH4'!AP49+char!$C$7*HFC!AP49+char!$C$8*PFC!AP49</f>
        <v>373.16001437099993</v>
      </c>
      <c r="AQ49" s="379">
        <f>+'CO2'!AQ49+char!$C$4*N2O!AQ49+char!$C$5*SF6_NF3!AQ49+char!$C$6*'CH4'!AQ49+char!$C$7*HFC!AQ49+char!$C$8*PFC!AQ49</f>
        <v>0</v>
      </c>
      <c r="AR49" s="165">
        <f>+'CO2'!AR49+char!$C$4*N2O!AR49+char!$C$5*SF6_NF3!AR49+char!$C$6*'CH4'!AR49+char!$C$7*HFC!AR49+char!$C$8*PFC!AR49</f>
        <v>246.87041820829998</v>
      </c>
      <c r="AS49" s="379">
        <f>+'CO2'!AS49+char!$C$4*N2O!AS49+char!$C$5*SF6_NF3!AS49+char!$C$6*'CH4'!AS49+char!$C$7*HFC!AS49+char!$C$8*PFC!AS49</f>
        <v>0</v>
      </c>
      <c r="AT49" s="165">
        <f>+'CO2'!AT49+char!$C$4*N2O!AT49+char!$C$5*SF6_NF3!AT49+char!$C$6*'CH4'!AT49+char!$C$7*HFC!AT49+char!$C$8*PFC!AT49</f>
        <v>256.26659042640006</v>
      </c>
      <c r="AU49" s="379">
        <f>+'CO2'!AU49+char!$C$4*N2O!AU49+char!$C$5*SF6_NF3!AU49+char!$C$6*'CH4'!AU49+char!$C$7*HFC!AU49+char!$C$8*PFC!AU49</f>
        <v>0</v>
      </c>
      <c r="AV49" s="165">
        <f>+'CO2'!AV49+char!$C$4*N2O!AV49+char!$C$5*SF6_NF3!AV49+char!$C$6*'CH4'!AV49+char!$C$7*HFC!AV49+char!$C$8*PFC!AV49</f>
        <v>322.65196409429996</v>
      </c>
      <c r="AW49" s="379">
        <f>+'CO2'!AW49+char!$C$4*N2O!AW49+char!$C$5*SF6_NF3!AW49+char!$C$6*'CH4'!AW49+char!$C$7*HFC!AW49+char!$C$8*PFC!AW49</f>
        <v>0</v>
      </c>
      <c r="AX49" s="165">
        <f>+'CO2'!AX49+char!$C$4*N2O!AX49+char!$C$5*SF6_NF3!AX49+char!$C$6*'CH4'!AX49+char!$C$7*HFC!AX49+char!$C$8*PFC!AX49</f>
        <v>394.72993155059999</v>
      </c>
      <c r="AY49" s="379">
        <f>+'CO2'!AY49+char!$C$4*N2O!AY49+char!$C$5*SF6_NF3!AY49+char!$C$6*'CH4'!AY49+char!$C$7*HFC!AY49+char!$C$8*PFC!AY49</f>
        <v>0</v>
      </c>
      <c r="AZ49" s="165">
        <f>+'CO2'!AZ49+char!$C$4*N2O!AZ49+char!$C$5*SF6_NF3!AZ49+char!$C$6*'CH4'!AZ49+char!$C$7*HFC!AZ49+char!$C$8*PFC!AZ49</f>
        <v>409.61556740700001</v>
      </c>
      <c r="BA49" s="379">
        <f>+'CO2'!BA49+char!$C$4*N2O!BA49+char!$C$5*SF6_NF3!BA49+char!$C$6*'CH4'!BA49+char!$C$7*HFC!BA49+char!$C$8*PFC!BA49</f>
        <v>0</v>
      </c>
      <c r="BB49" s="165">
        <f>+'CO2'!BB49+char!$C$4*N2O!BB49+char!$C$5*SF6_NF3!BB49+char!$C$6*'CH4'!BB49+char!$C$7*HFC!BB49+char!$C$8*PFC!BB49</f>
        <v>388.78132564389995</v>
      </c>
      <c r="BC49" s="379">
        <f>+'CO2'!BC49+char!$C$4*N2O!BC49+char!$C$5*SF6_NF3!BC49+char!$C$6*'CH4'!BC49+char!$C$7*HFC!BC49+char!$C$8*PFC!BC49</f>
        <v>0</v>
      </c>
      <c r="BD49" s="165">
        <f>+'CO2'!BD49+char!$C$4*N2O!BD49+char!$C$5*SF6_NF3!BD49+char!$C$6*'CH4'!BD49+char!$C$7*HFC!BD49+char!$C$8*PFC!BD49</f>
        <v>420.13711539709999</v>
      </c>
      <c r="BE49" s="379">
        <f>+'CO2'!BE49+char!$C$4*N2O!BE49+char!$C$5*SF6_NF3!BE49+char!$C$6*'CH4'!BE49+char!$C$7*HFC!BE49+char!$C$8*PFC!BE49</f>
        <v>0</v>
      </c>
      <c r="BF49" s="165">
        <f>+'CO2'!BF49+char!$C$4*N2O!BF49+char!$C$5*SF6_NF3!BF49+char!$C$6*'CH4'!BF49+char!$C$7*HFC!BF49+char!$C$8*PFC!BF49</f>
        <v>397.09684930380007</v>
      </c>
      <c r="BG49" s="379"/>
      <c r="BH49" s="225"/>
      <c r="BI49" s="184"/>
      <c r="CJ49" s="150"/>
      <c r="CK49" s="150"/>
      <c r="CL49" s="150"/>
      <c r="CM49" s="151" t="s">
        <v>891</v>
      </c>
      <c r="CN49" s="150" t="s">
        <v>1130</v>
      </c>
      <c r="CO49" s="150"/>
      <c r="CP49" s="150"/>
      <c r="CQ49" s="150"/>
      <c r="CR49" s="150"/>
      <c r="CS49" s="150"/>
      <c r="CT49" s="150"/>
    </row>
    <row r="50" spans="1:98" s="11" customFormat="1" ht="12.75" customHeight="1">
      <c r="A50" s="310"/>
      <c r="B50" s="308" t="str">
        <f>Parameters!Q49</f>
        <v>H53</v>
      </c>
      <c r="C50" s="309"/>
      <c r="D50" s="495" t="str">
        <f>Parameters!S49</f>
        <v>Postal and courier activities</v>
      </c>
      <c r="E50" s="510"/>
      <c r="F50" s="224"/>
      <c r="G50" s="379"/>
      <c r="H50" s="225"/>
      <c r="I50" s="379"/>
      <c r="J50" s="225"/>
      <c r="K50" s="379"/>
      <c r="L50" s="225"/>
      <c r="M50" s="379"/>
      <c r="N50" s="225"/>
      <c r="O50" s="379"/>
      <c r="P50" s="225"/>
      <c r="Q50" s="379"/>
      <c r="R50" s="225"/>
      <c r="S50" s="379"/>
      <c r="T50" s="225"/>
      <c r="U50" s="379"/>
      <c r="V50" s="225"/>
      <c r="W50" s="379"/>
      <c r="X50" s="225"/>
      <c r="Y50" s="379"/>
      <c r="Z50" s="225"/>
      <c r="AA50" s="379"/>
      <c r="AB50" s="225"/>
      <c r="AC50" s="379"/>
      <c r="AD50" s="225"/>
      <c r="AE50" s="379"/>
      <c r="AF50" s="165">
        <f>+'CO2'!AF50+char!$C$4*N2O!AF50+char!$C$5*SF6_NF3!AF50+char!$C$6*'CH4'!AF50+char!$C$7*HFC!AF50+char!$C$8*PFC!AF50</f>
        <v>35.541878040599997</v>
      </c>
      <c r="AG50" s="379" t="e">
        <f>+'CO2'!AG50+char!$C$4*N2O!AG50+char!$C$5*SF6_NF3!AG50+char!$C$6*'CH4'!AG50+char!$C$7*HFC!AG50+char!$C$8*PFC!AG50</f>
        <v>#VALUE!</v>
      </c>
      <c r="AH50" s="165">
        <f>+'CO2'!AH50+char!$C$4*N2O!AH50+char!$C$5*SF6_NF3!AH50+char!$C$6*'CH4'!AH50+char!$C$7*HFC!AH50+char!$C$8*PFC!AH50</f>
        <v>34.181080342600005</v>
      </c>
      <c r="AI50" s="379" t="e">
        <f>+'CO2'!AI50+char!$C$4*N2O!AI50+char!$C$5*SF6_NF3!AI50+char!$C$6*'CH4'!AI50+char!$C$7*HFC!AI50+char!$C$8*PFC!AI50</f>
        <v>#VALUE!</v>
      </c>
      <c r="AJ50" s="165">
        <f>+'CO2'!AJ50+char!$C$4*N2O!AJ50+char!$C$5*SF6_NF3!AJ50+char!$C$6*'CH4'!AJ50+char!$C$7*HFC!AJ50+char!$C$8*PFC!AJ50</f>
        <v>43.671656521900005</v>
      </c>
      <c r="AK50" s="379" t="e">
        <f>+'CO2'!AK50+char!$C$4*N2O!AK50+char!$C$5*SF6_NF3!AK50+char!$C$6*'CH4'!AK50+char!$C$7*HFC!AK50+char!$C$8*PFC!AK50</f>
        <v>#VALUE!</v>
      </c>
      <c r="AL50" s="165">
        <f>+'CO2'!AL50+char!$C$4*N2O!AL50+char!$C$5*SF6_NF3!AL50+char!$C$6*'CH4'!AL50+char!$C$7*HFC!AL50+char!$C$8*PFC!AL50</f>
        <v>37.596903126000001</v>
      </c>
      <c r="AM50" s="379" t="e">
        <f>+'CO2'!AM50+char!$C$4*N2O!AM50+char!$C$5*SF6_NF3!AM50+char!$C$6*'CH4'!AM50+char!$C$7*HFC!AM50+char!$C$8*PFC!AM50</f>
        <v>#VALUE!</v>
      </c>
      <c r="AN50" s="165">
        <f>+'CO2'!AN50+char!$C$4*N2O!AN50+char!$C$5*SF6_NF3!AN50+char!$C$6*'CH4'!AN50+char!$C$7*HFC!AN50+char!$C$8*PFC!AN50</f>
        <v>41.7030034179</v>
      </c>
      <c r="AO50" s="379" t="e">
        <f>+'CO2'!AO50+char!$C$4*N2O!AO50+char!$C$5*SF6_NF3!AO50+char!$C$6*'CH4'!AO50+char!$C$7*HFC!AO50+char!$C$8*PFC!AO50</f>
        <v>#VALUE!</v>
      </c>
      <c r="AP50" s="165">
        <f>+'CO2'!AP50+char!$C$4*N2O!AP50+char!$C$5*SF6_NF3!AP50+char!$C$6*'CH4'!AP50+char!$C$7*HFC!AP50+char!$C$8*PFC!AP50</f>
        <v>45.3943161778</v>
      </c>
      <c r="AQ50" s="379" t="e">
        <f>+'CO2'!AQ50+char!$C$4*N2O!AQ50+char!$C$5*SF6_NF3!AQ50+char!$C$6*'CH4'!AQ50+char!$C$7*HFC!AQ50+char!$C$8*PFC!AQ50</f>
        <v>#VALUE!</v>
      </c>
      <c r="AR50" s="165">
        <f>+'CO2'!AR50+char!$C$4*N2O!AR50+char!$C$5*SF6_NF3!AR50+char!$C$6*'CH4'!AR50+char!$C$7*HFC!AR50+char!$C$8*PFC!AR50</f>
        <v>46.521752650099991</v>
      </c>
      <c r="AS50" s="379" t="e">
        <f>+'CO2'!AS50+char!$C$4*N2O!AS50+char!$C$5*SF6_NF3!AS50+char!$C$6*'CH4'!AS50+char!$C$7*HFC!AS50+char!$C$8*PFC!AS50</f>
        <v>#VALUE!</v>
      </c>
      <c r="AT50" s="165">
        <f>+'CO2'!AT50+char!$C$4*N2O!AT50+char!$C$5*SF6_NF3!AT50+char!$C$6*'CH4'!AT50+char!$C$7*HFC!AT50+char!$C$8*PFC!AT50</f>
        <v>43.445916073699998</v>
      </c>
      <c r="AU50" s="379" t="e">
        <f>+'CO2'!AU50+char!$C$4*N2O!AU50+char!$C$5*SF6_NF3!AU50+char!$C$6*'CH4'!AU50+char!$C$7*HFC!AU50+char!$C$8*PFC!AU50</f>
        <v>#VALUE!</v>
      </c>
      <c r="AV50" s="165">
        <f>+'CO2'!AV50+char!$C$4*N2O!AV50+char!$C$5*SF6_NF3!AV50+char!$C$6*'CH4'!AV50+char!$C$7*HFC!AV50+char!$C$8*PFC!AV50</f>
        <v>47.9641495941</v>
      </c>
      <c r="AW50" s="379" t="e">
        <f>+'CO2'!AW50+char!$C$4*N2O!AW50+char!$C$5*SF6_NF3!AW50+char!$C$6*'CH4'!AW50+char!$C$7*HFC!AW50+char!$C$8*PFC!AW50</f>
        <v>#VALUE!</v>
      </c>
      <c r="AX50" s="165">
        <f>+'CO2'!AX50+char!$C$4*N2O!AX50+char!$C$5*SF6_NF3!AX50+char!$C$6*'CH4'!AX50+char!$C$7*HFC!AX50+char!$C$8*PFC!AX50</f>
        <v>46.881538214999999</v>
      </c>
      <c r="AY50" s="379" t="e">
        <f>+'CO2'!AY50+char!$C$4*N2O!AY50+char!$C$5*SF6_NF3!AY50+char!$C$6*'CH4'!AY50+char!$C$7*HFC!AY50+char!$C$8*PFC!AY50</f>
        <v>#VALUE!</v>
      </c>
      <c r="AZ50" s="165">
        <f>+'CO2'!AZ50+char!$C$4*N2O!AZ50+char!$C$5*SF6_NF3!AZ50+char!$C$6*'CH4'!AZ50+char!$C$7*HFC!AZ50+char!$C$8*PFC!AZ50</f>
        <v>47.871213275900004</v>
      </c>
      <c r="BA50" s="379" t="e">
        <f>+'CO2'!BA50+char!$C$4*N2O!BA50+char!$C$5*SF6_NF3!BA50+char!$C$6*'CH4'!BA50+char!$C$7*HFC!BA50+char!$C$8*PFC!BA50</f>
        <v>#VALUE!</v>
      </c>
      <c r="BB50" s="165">
        <f>+'CO2'!BB50+char!$C$4*N2O!BB50+char!$C$5*SF6_NF3!BB50+char!$C$6*'CH4'!BB50+char!$C$7*HFC!BB50+char!$C$8*PFC!BB50</f>
        <v>50.238897003600002</v>
      </c>
      <c r="BC50" s="379" t="e">
        <f>+'CO2'!BC50+char!$C$4*N2O!BC50+char!$C$5*SF6_NF3!BC50+char!$C$6*'CH4'!BC50+char!$C$7*HFC!BC50+char!$C$8*PFC!BC50</f>
        <v>#VALUE!</v>
      </c>
      <c r="BD50" s="165">
        <f>+'CO2'!BD50+char!$C$4*N2O!BD50+char!$C$5*SF6_NF3!BD50+char!$C$6*'CH4'!BD50+char!$C$7*HFC!BD50+char!$C$8*PFC!BD50</f>
        <v>40.941563846699999</v>
      </c>
      <c r="BE50" s="379" t="e">
        <f>+'CO2'!BE50+char!$C$4*N2O!BE50+char!$C$5*SF6_NF3!BE50+char!$C$6*'CH4'!BE50+char!$C$7*HFC!BE50+char!$C$8*PFC!BE50</f>
        <v>#VALUE!</v>
      </c>
      <c r="BF50" s="165">
        <f>+'CO2'!BF50+char!$C$4*N2O!BF50+char!$C$5*SF6_NF3!BF50+char!$C$6*'CH4'!BF50+char!$C$7*HFC!BF50+char!$C$8*PFC!BF50</f>
        <v>50.481221750500005</v>
      </c>
      <c r="BG50" s="379" t="s">
        <v>420</v>
      </c>
      <c r="BH50" s="225"/>
      <c r="BI50" s="184"/>
      <c r="CJ50" s="150"/>
      <c r="CK50" s="150"/>
      <c r="CL50" s="150"/>
      <c r="CM50" s="151" t="s">
        <v>897</v>
      </c>
      <c r="CN50" s="150" t="s">
        <v>1130</v>
      </c>
      <c r="CO50" s="150"/>
      <c r="CP50" s="150"/>
      <c r="CQ50" s="150"/>
      <c r="CR50" s="150"/>
      <c r="CS50" s="150"/>
      <c r="CT50" s="150"/>
    </row>
    <row r="51" spans="1:98" s="10" customFormat="1" ht="12.75" customHeight="1">
      <c r="A51" s="25"/>
      <c r="B51" s="87" t="str">
        <f>Parameters!Q50</f>
        <v>I</v>
      </c>
      <c r="C51" s="88"/>
      <c r="D51" s="498" t="str">
        <f>Parameters!S50</f>
        <v>Accommodation and food service activities</v>
      </c>
      <c r="E51" s="496"/>
      <c r="F51" s="222"/>
      <c r="G51" s="379"/>
      <c r="H51" s="223"/>
      <c r="I51" s="379"/>
      <c r="J51" s="223"/>
      <c r="K51" s="379"/>
      <c r="L51" s="223"/>
      <c r="M51" s="379"/>
      <c r="N51" s="223"/>
      <c r="O51" s="379"/>
      <c r="P51" s="223"/>
      <c r="Q51" s="379"/>
      <c r="R51" s="223"/>
      <c r="S51" s="379"/>
      <c r="T51" s="223"/>
      <c r="U51" s="379"/>
      <c r="V51" s="223"/>
      <c r="W51" s="379"/>
      <c r="X51" s="223"/>
      <c r="Y51" s="379"/>
      <c r="Z51" s="223"/>
      <c r="AA51" s="379"/>
      <c r="AB51" s="223"/>
      <c r="AC51" s="379"/>
      <c r="AD51" s="223"/>
      <c r="AE51" s="379"/>
      <c r="AF51" s="164">
        <f>+'CO2'!AF51+char!$C$4*N2O!AF51+char!$C$5*SF6_NF3!AF51+char!$C$6*'CH4'!AF51+char!$C$7*HFC!AF51+char!$C$8*PFC!AF51</f>
        <v>104.7825154407</v>
      </c>
      <c r="AG51" s="379">
        <f>+'CO2'!AG51+char!$C$4*N2O!AG51+char!$C$5*SF6_NF3!AG51+char!$C$6*'CH4'!AG51+char!$C$7*HFC!AG51+char!$C$8*PFC!AG51</f>
        <v>0</v>
      </c>
      <c r="AH51" s="164">
        <f>+'CO2'!AH51+char!$C$4*N2O!AH51+char!$C$5*SF6_NF3!AH51+char!$C$6*'CH4'!AH51+char!$C$7*HFC!AH51+char!$C$8*PFC!AH51</f>
        <v>107.29879864040001</v>
      </c>
      <c r="AI51" s="379">
        <f>+'CO2'!AI51+char!$C$4*N2O!AI51+char!$C$5*SF6_NF3!AI51+char!$C$6*'CH4'!AI51+char!$C$7*HFC!AI51+char!$C$8*PFC!AI51</f>
        <v>0</v>
      </c>
      <c r="AJ51" s="164">
        <f>+'CO2'!AJ51+char!$C$4*N2O!AJ51+char!$C$5*SF6_NF3!AJ51+char!$C$6*'CH4'!AJ51+char!$C$7*HFC!AJ51+char!$C$8*PFC!AJ51</f>
        <v>126.6540115049</v>
      </c>
      <c r="AK51" s="379">
        <f>+'CO2'!AK51+char!$C$4*N2O!AK51+char!$C$5*SF6_NF3!AK51+char!$C$6*'CH4'!AK51+char!$C$7*HFC!AK51+char!$C$8*PFC!AK51</f>
        <v>0</v>
      </c>
      <c r="AL51" s="164">
        <f>+'CO2'!AL51+char!$C$4*N2O!AL51+char!$C$5*SF6_NF3!AL51+char!$C$6*'CH4'!AL51+char!$C$7*HFC!AL51+char!$C$8*PFC!AL51</f>
        <v>124.68089394410001</v>
      </c>
      <c r="AM51" s="379">
        <f>+'CO2'!AM51+char!$C$4*N2O!AM51+char!$C$5*SF6_NF3!AM51+char!$C$6*'CH4'!AM51+char!$C$7*HFC!AM51+char!$C$8*PFC!AM51</f>
        <v>0</v>
      </c>
      <c r="AN51" s="164">
        <f>+'CO2'!AN51+char!$C$4*N2O!AN51+char!$C$5*SF6_NF3!AN51+char!$C$6*'CH4'!AN51+char!$C$7*HFC!AN51+char!$C$8*PFC!AN51</f>
        <v>125.754758381</v>
      </c>
      <c r="AO51" s="379">
        <f>+'CO2'!AO51+char!$C$4*N2O!AO51+char!$C$5*SF6_NF3!AO51+char!$C$6*'CH4'!AO51+char!$C$7*HFC!AO51+char!$C$8*PFC!AO51</f>
        <v>0</v>
      </c>
      <c r="AP51" s="164">
        <f>+'CO2'!AP51+char!$C$4*N2O!AP51+char!$C$5*SF6_NF3!AP51+char!$C$6*'CH4'!AP51+char!$C$7*HFC!AP51+char!$C$8*PFC!AP51</f>
        <v>127.0431248548</v>
      </c>
      <c r="AQ51" s="379">
        <f>+'CO2'!AQ51+char!$C$4*N2O!AQ51+char!$C$5*SF6_NF3!AQ51+char!$C$6*'CH4'!AQ51+char!$C$7*HFC!AQ51+char!$C$8*PFC!AQ51</f>
        <v>0</v>
      </c>
      <c r="AR51" s="164">
        <f>+'CO2'!AR51+char!$C$4*N2O!AR51+char!$C$5*SF6_NF3!AR51+char!$C$6*'CH4'!AR51+char!$C$7*HFC!AR51+char!$C$8*PFC!AR51</f>
        <v>128.56675184570003</v>
      </c>
      <c r="AS51" s="379">
        <f>+'CO2'!AS51+char!$C$4*N2O!AS51+char!$C$5*SF6_NF3!AS51+char!$C$6*'CH4'!AS51+char!$C$7*HFC!AS51+char!$C$8*PFC!AS51</f>
        <v>0</v>
      </c>
      <c r="AT51" s="164">
        <f>+'CO2'!AT51+char!$C$4*N2O!AT51+char!$C$5*SF6_NF3!AT51+char!$C$6*'CH4'!AT51+char!$C$7*HFC!AT51+char!$C$8*PFC!AT51</f>
        <v>133.50127494340001</v>
      </c>
      <c r="AU51" s="379">
        <f>+'CO2'!AU51+char!$C$4*N2O!AU51+char!$C$5*SF6_NF3!AU51+char!$C$6*'CH4'!AU51+char!$C$7*HFC!AU51+char!$C$8*PFC!AU51</f>
        <v>0</v>
      </c>
      <c r="AV51" s="164">
        <f>+'CO2'!AV51+char!$C$4*N2O!AV51+char!$C$5*SF6_NF3!AV51+char!$C$6*'CH4'!AV51+char!$C$7*HFC!AV51+char!$C$8*PFC!AV51</f>
        <v>139.22798830459999</v>
      </c>
      <c r="AW51" s="379">
        <f>+'CO2'!AW51+char!$C$4*N2O!AW51+char!$C$5*SF6_NF3!AW51+char!$C$6*'CH4'!AW51+char!$C$7*HFC!AW51+char!$C$8*PFC!AW51</f>
        <v>0</v>
      </c>
      <c r="AX51" s="164">
        <f>+'CO2'!AX51+char!$C$4*N2O!AX51+char!$C$5*SF6_NF3!AX51+char!$C$6*'CH4'!AX51+char!$C$7*HFC!AX51+char!$C$8*PFC!AX51</f>
        <v>128.22348216249998</v>
      </c>
      <c r="AY51" s="379">
        <f>+'CO2'!AY51+char!$C$4*N2O!AY51+char!$C$5*SF6_NF3!AY51+char!$C$6*'CH4'!AY51+char!$C$7*HFC!AY51+char!$C$8*PFC!AY51</f>
        <v>0</v>
      </c>
      <c r="AZ51" s="164">
        <f>+'CO2'!AZ51+char!$C$4*N2O!AZ51+char!$C$5*SF6_NF3!AZ51+char!$C$6*'CH4'!AZ51+char!$C$7*HFC!AZ51+char!$C$8*PFC!AZ51</f>
        <v>135.81193643590001</v>
      </c>
      <c r="BA51" s="379">
        <f>+'CO2'!BA51+char!$C$4*N2O!BA51+char!$C$5*SF6_NF3!BA51+char!$C$6*'CH4'!BA51+char!$C$7*HFC!BA51+char!$C$8*PFC!BA51</f>
        <v>0</v>
      </c>
      <c r="BB51" s="164">
        <f>+'CO2'!BB51+char!$C$4*N2O!BB51+char!$C$5*SF6_NF3!BB51+char!$C$6*'CH4'!BB51+char!$C$7*HFC!BB51+char!$C$8*PFC!BB51</f>
        <v>123.76700263750001</v>
      </c>
      <c r="BC51" s="379">
        <f>+'CO2'!BC51+char!$C$4*N2O!BC51+char!$C$5*SF6_NF3!BC51+char!$C$6*'CH4'!BC51+char!$C$7*HFC!BC51+char!$C$8*PFC!BC51</f>
        <v>0</v>
      </c>
      <c r="BD51" s="164">
        <f>+'CO2'!BD51+char!$C$4*N2O!BD51+char!$C$5*SF6_NF3!BD51+char!$C$6*'CH4'!BD51+char!$C$7*HFC!BD51+char!$C$8*PFC!BD51</f>
        <v>111.36651233930002</v>
      </c>
      <c r="BE51" s="379">
        <f>+'CO2'!BE51+char!$C$4*N2O!BE51+char!$C$5*SF6_NF3!BE51+char!$C$6*'CH4'!BE51+char!$C$7*HFC!BE51+char!$C$8*PFC!BE51</f>
        <v>0</v>
      </c>
      <c r="BF51" s="164">
        <f>+'CO2'!BF51+char!$C$4*N2O!BF51+char!$C$5*SF6_NF3!BF51+char!$C$6*'CH4'!BF51+char!$C$7*HFC!BF51+char!$C$8*PFC!BF51</f>
        <v>98.642720280300011</v>
      </c>
      <c r="BG51" s="379"/>
      <c r="BH51" s="223"/>
      <c r="BI51" s="184"/>
      <c r="CJ51" s="150"/>
      <c r="CK51" s="150"/>
      <c r="CL51" s="150"/>
      <c r="CM51" s="151" t="s">
        <v>904</v>
      </c>
      <c r="CN51" s="150" t="s">
        <v>1130</v>
      </c>
      <c r="CO51" s="150"/>
      <c r="CP51" s="150"/>
      <c r="CQ51" s="150"/>
      <c r="CR51" s="150"/>
      <c r="CS51" s="150"/>
      <c r="CT51" s="150"/>
    </row>
    <row r="52" spans="1:98" s="10" customFormat="1" ht="12.75" customHeight="1">
      <c r="A52" s="25"/>
      <c r="B52" s="87" t="str">
        <f>Parameters!Q51</f>
        <v>J</v>
      </c>
      <c r="C52" s="88"/>
      <c r="D52" s="498" t="str">
        <f>Parameters!S51</f>
        <v>Information and communication</v>
      </c>
      <c r="E52" s="499"/>
      <c r="F52" s="222"/>
      <c r="G52" s="379"/>
      <c r="H52" s="223"/>
      <c r="I52" s="379"/>
      <c r="J52" s="223"/>
      <c r="K52" s="379"/>
      <c r="L52" s="223"/>
      <c r="M52" s="379"/>
      <c r="N52" s="223"/>
      <c r="O52" s="379"/>
      <c r="P52" s="223"/>
      <c r="Q52" s="379"/>
      <c r="R52" s="223"/>
      <c r="S52" s="379"/>
      <c r="T52" s="223"/>
      <c r="U52" s="379"/>
      <c r="V52" s="223"/>
      <c r="W52" s="379"/>
      <c r="X52" s="223"/>
      <c r="Y52" s="379"/>
      <c r="Z52" s="223"/>
      <c r="AA52" s="379"/>
      <c r="AB52" s="223"/>
      <c r="AC52" s="379"/>
      <c r="AD52" s="223"/>
      <c r="AE52" s="379"/>
      <c r="AF52" s="164">
        <f>+'CO2'!AF52+char!$C$4*N2O!AF52+char!$C$5*SF6_NF3!AF52+char!$C$6*'CH4'!AF52+char!$C$7*HFC!AF52+char!$C$8*PFC!AF52</f>
        <v>28.485389746899997</v>
      </c>
      <c r="AG52" s="379">
        <f>+'CO2'!AG52+char!$C$4*N2O!AG52+char!$C$5*SF6_NF3!AG52+char!$C$6*'CH4'!AG52+char!$C$7*HFC!AG52+char!$C$8*PFC!AG52</f>
        <v>0</v>
      </c>
      <c r="AH52" s="164">
        <f>+'CO2'!AH52+char!$C$4*N2O!AH52+char!$C$5*SF6_NF3!AH52+char!$C$6*'CH4'!AH52+char!$C$7*HFC!AH52+char!$C$8*PFC!AH52</f>
        <v>27.830969599399999</v>
      </c>
      <c r="AI52" s="379">
        <f>+'CO2'!AI52+char!$C$4*N2O!AI52+char!$C$5*SF6_NF3!AI52+char!$C$6*'CH4'!AI52+char!$C$7*HFC!AI52+char!$C$8*PFC!AI52</f>
        <v>0</v>
      </c>
      <c r="AJ52" s="164">
        <f>+'CO2'!AJ52+char!$C$4*N2O!AJ52+char!$C$5*SF6_NF3!AJ52+char!$C$6*'CH4'!AJ52+char!$C$7*HFC!AJ52+char!$C$8*PFC!AJ52</f>
        <v>37.732101844299997</v>
      </c>
      <c r="AK52" s="379">
        <f>+'CO2'!AK52+char!$C$4*N2O!AK52+char!$C$5*SF6_NF3!AK52+char!$C$6*'CH4'!AK52+char!$C$7*HFC!AK52+char!$C$8*PFC!AK52</f>
        <v>0</v>
      </c>
      <c r="AL52" s="164">
        <f>+'CO2'!AL52+char!$C$4*N2O!AL52+char!$C$5*SF6_NF3!AL52+char!$C$6*'CH4'!AL52+char!$C$7*HFC!AL52+char!$C$8*PFC!AL52</f>
        <v>31.9799964937</v>
      </c>
      <c r="AM52" s="379">
        <f>+'CO2'!AM52+char!$C$4*N2O!AM52+char!$C$5*SF6_NF3!AM52+char!$C$6*'CH4'!AM52+char!$C$7*HFC!AM52+char!$C$8*PFC!AM52</f>
        <v>0</v>
      </c>
      <c r="AN52" s="164">
        <f>+'CO2'!AN52+char!$C$4*N2O!AN52+char!$C$5*SF6_NF3!AN52+char!$C$6*'CH4'!AN52+char!$C$7*HFC!AN52+char!$C$8*PFC!AN52</f>
        <v>32.086543276</v>
      </c>
      <c r="AO52" s="379">
        <f>+'CO2'!AO52+char!$C$4*N2O!AO52+char!$C$5*SF6_NF3!AO52+char!$C$6*'CH4'!AO52+char!$C$7*HFC!AO52+char!$C$8*PFC!AO52</f>
        <v>0</v>
      </c>
      <c r="AP52" s="164">
        <f>+'CO2'!AP52+char!$C$4*N2O!AP52+char!$C$5*SF6_NF3!AP52+char!$C$6*'CH4'!AP52+char!$C$7*HFC!AP52+char!$C$8*PFC!AP52</f>
        <v>32.485026975399997</v>
      </c>
      <c r="AQ52" s="379">
        <f>+'CO2'!AQ52+char!$C$4*N2O!AQ52+char!$C$5*SF6_NF3!AQ52+char!$C$6*'CH4'!AQ52+char!$C$7*HFC!AQ52+char!$C$8*PFC!AQ52</f>
        <v>0</v>
      </c>
      <c r="AR52" s="164">
        <f>+'CO2'!AR52+char!$C$4*N2O!AR52+char!$C$5*SF6_NF3!AR52+char!$C$6*'CH4'!AR52+char!$C$7*HFC!AR52+char!$C$8*PFC!AR52</f>
        <v>30.010595548599998</v>
      </c>
      <c r="AS52" s="379">
        <f>+'CO2'!AS52+char!$C$4*N2O!AS52+char!$C$5*SF6_NF3!AS52+char!$C$6*'CH4'!AS52+char!$C$7*HFC!AS52+char!$C$8*PFC!AS52</f>
        <v>0</v>
      </c>
      <c r="AT52" s="164">
        <f>+'CO2'!AT52+char!$C$4*N2O!AT52+char!$C$5*SF6_NF3!AT52+char!$C$6*'CH4'!AT52+char!$C$7*HFC!AT52+char!$C$8*PFC!AT52</f>
        <v>28.040860933699999</v>
      </c>
      <c r="AU52" s="379">
        <f>+'CO2'!AU52+char!$C$4*N2O!AU52+char!$C$5*SF6_NF3!AU52+char!$C$6*'CH4'!AU52+char!$C$7*HFC!AU52+char!$C$8*PFC!AU52</f>
        <v>0</v>
      </c>
      <c r="AV52" s="164">
        <f>+'CO2'!AV52+char!$C$4*N2O!AV52+char!$C$5*SF6_NF3!AV52+char!$C$6*'CH4'!AV52+char!$C$7*HFC!AV52+char!$C$8*PFC!AV52</f>
        <v>25.617422903000001</v>
      </c>
      <c r="AW52" s="379">
        <f>+'CO2'!AW52+char!$C$4*N2O!AW52+char!$C$5*SF6_NF3!AW52+char!$C$6*'CH4'!AW52+char!$C$7*HFC!AW52+char!$C$8*PFC!AW52</f>
        <v>0</v>
      </c>
      <c r="AX52" s="164">
        <f>+'CO2'!AX52+char!$C$4*N2O!AX52+char!$C$5*SF6_NF3!AX52+char!$C$6*'CH4'!AX52+char!$C$7*HFC!AX52+char!$C$8*PFC!AX52</f>
        <v>19.682008115900004</v>
      </c>
      <c r="AY52" s="379">
        <f>+'CO2'!AY52+char!$C$4*N2O!AY52+char!$C$5*SF6_NF3!AY52+char!$C$6*'CH4'!AY52+char!$C$7*HFC!AY52+char!$C$8*PFC!AY52</f>
        <v>0</v>
      </c>
      <c r="AZ52" s="164">
        <f>+'CO2'!AZ52+char!$C$4*N2O!AZ52+char!$C$5*SF6_NF3!AZ52+char!$C$6*'CH4'!AZ52+char!$C$7*HFC!AZ52+char!$C$8*PFC!AZ52</f>
        <v>20.038650945200001</v>
      </c>
      <c r="BA52" s="379">
        <f>+'CO2'!BA52+char!$C$4*N2O!BA52+char!$C$5*SF6_NF3!BA52+char!$C$6*'CH4'!BA52+char!$C$7*HFC!BA52+char!$C$8*PFC!BA52</f>
        <v>0</v>
      </c>
      <c r="BB52" s="164">
        <f>+'CO2'!BB52+char!$C$4*N2O!BB52+char!$C$5*SF6_NF3!BB52+char!$C$6*'CH4'!BB52+char!$C$7*HFC!BB52+char!$C$8*PFC!BB52</f>
        <v>19.0074276412</v>
      </c>
      <c r="BC52" s="379">
        <f>+'CO2'!BC52+char!$C$4*N2O!BC52+char!$C$5*SF6_NF3!BC52+char!$C$6*'CH4'!BC52+char!$C$7*HFC!BC52+char!$C$8*PFC!BC52</f>
        <v>0</v>
      </c>
      <c r="BD52" s="164">
        <f>+'CO2'!BD52+char!$C$4*N2O!BD52+char!$C$5*SF6_NF3!BD52+char!$C$6*'CH4'!BD52+char!$C$7*HFC!BD52+char!$C$8*PFC!BD52</f>
        <v>15.9929150211</v>
      </c>
      <c r="BE52" s="379">
        <f>+'CO2'!BE52+char!$C$4*N2O!BE52+char!$C$5*SF6_NF3!BE52+char!$C$6*'CH4'!BE52+char!$C$7*HFC!BE52+char!$C$8*PFC!BE52</f>
        <v>0</v>
      </c>
      <c r="BF52" s="164">
        <f>+'CO2'!BF52+char!$C$4*N2O!BF52+char!$C$5*SF6_NF3!BF52+char!$C$6*'CH4'!BF52+char!$C$7*HFC!BF52+char!$C$8*PFC!BF52</f>
        <v>16.275691893800001</v>
      </c>
      <c r="BG52" s="379"/>
      <c r="BH52" s="223"/>
      <c r="BI52" s="184"/>
      <c r="CJ52" s="150"/>
      <c r="CK52" s="150"/>
      <c r="CL52" s="150"/>
      <c r="CM52" s="153" t="s">
        <v>910</v>
      </c>
      <c r="CN52" s="150" t="s">
        <v>1130</v>
      </c>
      <c r="CO52" s="150"/>
      <c r="CP52" s="150"/>
      <c r="CQ52" s="150"/>
      <c r="CR52" s="150"/>
      <c r="CS52" s="150"/>
      <c r="CT52" s="150"/>
    </row>
    <row r="53" spans="1:98" s="10" customFormat="1" ht="27" customHeight="1">
      <c r="A53" s="26"/>
      <c r="B53" s="89" t="str">
        <f>Parameters!Q52</f>
        <v>J58-J60</v>
      </c>
      <c r="C53" s="90"/>
      <c r="D53" s="504" t="str">
        <f>Parameters!S52</f>
        <v>Publishing, motion picture, video, television programme production; sound recording, programming and broadcasting activities</v>
      </c>
      <c r="E53" s="506"/>
      <c r="F53" s="252"/>
      <c r="G53" s="380"/>
      <c r="H53" s="253"/>
      <c r="I53" s="380"/>
      <c r="J53" s="253"/>
      <c r="K53" s="380"/>
      <c r="L53" s="253"/>
      <c r="M53" s="380"/>
      <c r="N53" s="253"/>
      <c r="O53" s="380"/>
      <c r="P53" s="253"/>
      <c r="Q53" s="380"/>
      <c r="R53" s="253"/>
      <c r="S53" s="380"/>
      <c r="T53" s="253"/>
      <c r="U53" s="380"/>
      <c r="V53" s="253"/>
      <c r="W53" s="380"/>
      <c r="X53" s="253"/>
      <c r="Y53" s="380"/>
      <c r="Z53" s="253"/>
      <c r="AA53" s="380"/>
      <c r="AB53" s="253"/>
      <c r="AC53" s="380"/>
      <c r="AD53" s="253"/>
      <c r="AE53" s="380"/>
      <c r="AF53" s="253">
        <f>+'CO2'!AF53+char!$C$4*N2O!AF53+char!$C$5*SF6_NF3!AF53+char!$C$6*'CH4'!AF53+char!$C$7*HFC!AF53+char!$C$8*PFC!AF53</f>
        <v>11.882144972699999</v>
      </c>
      <c r="AG53" s="380">
        <f>+'CO2'!AG53+char!$C$4*N2O!AG53+char!$C$5*SF6_NF3!AG53+char!$C$6*'CH4'!AG53+char!$C$7*HFC!AG53+char!$C$8*PFC!AG53</f>
        <v>0</v>
      </c>
      <c r="AH53" s="253">
        <f>+'CO2'!AH53+char!$C$4*N2O!AH53+char!$C$5*SF6_NF3!AH53+char!$C$6*'CH4'!AH53+char!$C$7*HFC!AH53+char!$C$8*PFC!AH53</f>
        <v>11.869869685899999</v>
      </c>
      <c r="AI53" s="380">
        <f>+'CO2'!AI53+char!$C$4*N2O!AI53+char!$C$5*SF6_NF3!AI53+char!$C$6*'CH4'!AI53+char!$C$7*HFC!AI53+char!$C$8*PFC!AI53</f>
        <v>0</v>
      </c>
      <c r="AJ53" s="253">
        <f>+'CO2'!AJ53+char!$C$4*N2O!AJ53+char!$C$5*SF6_NF3!AJ53+char!$C$6*'CH4'!AJ53+char!$C$7*HFC!AJ53+char!$C$8*PFC!AJ53</f>
        <v>17.6456753394</v>
      </c>
      <c r="AK53" s="380">
        <f>+'CO2'!AK53+char!$C$4*N2O!AK53+char!$C$5*SF6_NF3!AK53+char!$C$6*'CH4'!AK53+char!$C$7*HFC!AK53+char!$C$8*PFC!AK53</f>
        <v>0</v>
      </c>
      <c r="AL53" s="253">
        <f>+'CO2'!AL53+char!$C$4*N2O!AL53+char!$C$5*SF6_NF3!AL53+char!$C$6*'CH4'!AL53+char!$C$7*HFC!AL53+char!$C$8*PFC!AL53</f>
        <v>13.055057764399999</v>
      </c>
      <c r="AM53" s="380">
        <f>+'CO2'!AM53+char!$C$4*N2O!AM53+char!$C$5*SF6_NF3!AM53+char!$C$6*'CH4'!AM53+char!$C$7*HFC!AM53+char!$C$8*PFC!AM53</f>
        <v>0</v>
      </c>
      <c r="AN53" s="253">
        <f>+'CO2'!AN53+char!$C$4*N2O!AN53+char!$C$5*SF6_NF3!AN53+char!$C$6*'CH4'!AN53+char!$C$7*HFC!AN53+char!$C$8*PFC!AN53</f>
        <v>13.0612504417</v>
      </c>
      <c r="AO53" s="380">
        <f>+'CO2'!AO53+char!$C$4*N2O!AO53+char!$C$5*SF6_NF3!AO53+char!$C$6*'CH4'!AO53+char!$C$7*HFC!AO53+char!$C$8*PFC!AO53</f>
        <v>0</v>
      </c>
      <c r="AP53" s="253">
        <f>+'CO2'!AP53+char!$C$4*N2O!AP53+char!$C$5*SF6_NF3!AP53+char!$C$6*'CH4'!AP53+char!$C$7*HFC!AP53+char!$C$8*PFC!AP53</f>
        <v>12.017101826399999</v>
      </c>
      <c r="AQ53" s="380">
        <f>+'CO2'!AQ53+char!$C$4*N2O!AQ53+char!$C$5*SF6_NF3!AQ53+char!$C$6*'CH4'!AQ53+char!$C$7*HFC!AQ53+char!$C$8*PFC!AQ53</f>
        <v>0</v>
      </c>
      <c r="AR53" s="253">
        <f>+'CO2'!AR53+char!$C$4*N2O!AR53+char!$C$5*SF6_NF3!AR53+char!$C$6*'CH4'!AR53+char!$C$7*HFC!AR53+char!$C$8*PFC!AR53</f>
        <v>11.9454130602</v>
      </c>
      <c r="AS53" s="380">
        <f>+'CO2'!AS53+char!$C$4*N2O!AS53+char!$C$5*SF6_NF3!AS53+char!$C$6*'CH4'!AS53+char!$C$7*HFC!AS53+char!$C$8*PFC!AS53</f>
        <v>0</v>
      </c>
      <c r="AT53" s="253">
        <f>+'CO2'!AT53+char!$C$4*N2O!AT53+char!$C$5*SF6_NF3!AT53+char!$C$6*'CH4'!AT53+char!$C$7*HFC!AT53+char!$C$8*PFC!AT53</f>
        <v>10.5336231053</v>
      </c>
      <c r="AU53" s="380">
        <f>+'CO2'!AU53+char!$C$4*N2O!AU53+char!$C$5*SF6_NF3!AU53+char!$C$6*'CH4'!AU53+char!$C$7*HFC!AU53+char!$C$8*PFC!AU53</f>
        <v>0</v>
      </c>
      <c r="AV53" s="253">
        <f>+'CO2'!AV53+char!$C$4*N2O!AV53+char!$C$5*SF6_NF3!AV53+char!$C$6*'CH4'!AV53+char!$C$7*HFC!AV53+char!$C$8*PFC!AV53</f>
        <v>10.015873362000001</v>
      </c>
      <c r="AW53" s="380">
        <f>+'CO2'!AW53+char!$C$4*N2O!AW53+char!$C$5*SF6_NF3!AW53+char!$C$6*'CH4'!AW53+char!$C$7*HFC!AW53+char!$C$8*PFC!AW53</f>
        <v>0</v>
      </c>
      <c r="AX53" s="253">
        <f>+'CO2'!AX53+char!$C$4*N2O!AX53+char!$C$5*SF6_NF3!AX53+char!$C$6*'CH4'!AX53+char!$C$7*HFC!AX53+char!$C$8*PFC!AX53</f>
        <v>8.3099392451999989</v>
      </c>
      <c r="AY53" s="380">
        <f>+'CO2'!AY53+char!$C$4*N2O!AY53+char!$C$5*SF6_NF3!AY53+char!$C$6*'CH4'!AY53+char!$C$7*HFC!AY53+char!$C$8*PFC!AY53</f>
        <v>0</v>
      </c>
      <c r="AZ53" s="253">
        <f>+'CO2'!AZ53+char!$C$4*N2O!AZ53+char!$C$5*SF6_NF3!AZ53+char!$C$6*'CH4'!AZ53+char!$C$7*HFC!AZ53+char!$C$8*PFC!AZ53</f>
        <v>8.4576128652999998</v>
      </c>
      <c r="BA53" s="380">
        <f>+'CO2'!BA53+char!$C$4*N2O!BA53+char!$C$5*SF6_NF3!BA53+char!$C$6*'CH4'!BA53+char!$C$7*HFC!BA53+char!$C$8*PFC!BA53</f>
        <v>0</v>
      </c>
      <c r="BB53" s="253">
        <f>+'CO2'!BB53+char!$C$4*N2O!BB53+char!$C$5*SF6_NF3!BB53+char!$C$6*'CH4'!BB53+char!$C$7*HFC!BB53+char!$C$8*PFC!BB53</f>
        <v>7.2658699687000006</v>
      </c>
      <c r="BC53" s="380">
        <f>+'CO2'!BC53+char!$C$4*N2O!BC53+char!$C$5*SF6_NF3!BC53+char!$C$6*'CH4'!BC53+char!$C$7*HFC!BC53+char!$C$8*PFC!BC53</f>
        <v>0</v>
      </c>
      <c r="BD53" s="253">
        <f>+'CO2'!BD53+char!$C$4*N2O!BD53+char!$C$5*SF6_NF3!BD53+char!$C$6*'CH4'!BD53+char!$C$7*HFC!BD53+char!$C$8*PFC!BD53</f>
        <v>6.0876251963000003</v>
      </c>
      <c r="BE53" s="380">
        <f>+'CO2'!BE53+char!$C$4*N2O!BE53+char!$C$5*SF6_NF3!BE53+char!$C$6*'CH4'!BE53+char!$C$7*HFC!BE53+char!$C$8*PFC!BE53</f>
        <v>0</v>
      </c>
      <c r="BF53" s="253">
        <f>+'CO2'!BF53+char!$C$4*N2O!BF53+char!$C$5*SF6_NF3!BF53+char!$C$6*'CH4'!BF53+char!$C$7*HFC!BF53+char!$C$8*PFC!BF53</f>
        <v>5.9413496614000003</v>
      </c>
      <c r="BG53" s="380"/>
      <c r="BH53" s="253"/>
      <c r="BI53" s="254"/>
      <c r="CJ53" s="150"/>
      <c r="CK53" s="150"/>
      <c r="CL53" s="150"/>
      <c r="CM53" s="151"/>
      <c r="CN53" s="150"/>
      <c r="CO53" s="150"/>
      <c r="CP53" s="150"/>
      <c r="CQ53" s="150"/>
      <c r="CR53" s="150"/>
      <c r="CS53" s="150"/>
      <c r="CT53" s="150"/>
    </row>
    <row r="54" spans="1:98" s="11" customFormat="1" ht="12.75" customHeight="1">
      <c r="A54" s="310"/>
      <c r="B54" s="308" t="str">
        <f>Parameters!Q53</f>
        <v>J58</v>
      </c>
      <c r="C54" s="309"/>
      <c r="D54" s="495" t="str">
        <f>Parameters!S53</f>
        <v>Publishing activities</v>
      </c>
      <c r="E54" s="510"/>
      <c r="F54" s="224"/>
      <c r="G54" s="379"/>
      <c r="H54" s="225"/>
      <c r="I54" s="379"/>
      <c r="J54" s="225"/>
      <c r="K54" s="379"/>
      <c r="L54" s="225"/>
      <c r="M54" s="379"/>
      <c r="N54" s="225"/>
      <c r="O54" s="379"/>
      <c r="P54" s="225"/>
      <c r="Q54" s="379"/>
      <c r="R54" s="225"/>
      <c r="S54" s="379"/>
      <c r="T54" s="225"/>
      <c r="U54" s="379"/>
      <c r="V54" s="225"/>
      <c r="W54" s="379"/>
      <c r="X54" s="225"/>
      <c r="Y54" s="379"/>
      <c r="Z54" s="225"/>
      <c r="AA54" s="379"/>
      <c r="AB54" s="225"/>
      <c r="AC54" s="379"/>
      <c r="AD54" s="225"/>
      <c r="AE54" s="379"/>
      <c r="AF54" s="165">
        <f>+'CO2'!AF54+char!$C$4*N2O!AF54+char!$C$5*SF6_NF3!AF54+char!$C$6*'CH4'!AF54+char!$C$7*HFC!AF54+char!$C$8*PFC!AF54</f>
        <v>7.0315011403000005</v>
      </c>
      <c r="AG54" s="379">
        <f>+'CO2'!AG54+char!$C$4*N2O!AG54+char!$C$5*SF6_NF3!AG54+char!$C$6*'CH4'!AG54+char!$C$7*HFC!AG54+char!$C$8*PFC!AG54</f>
        <v>0</v>
      </c>
      <c r="AH54" s="165">
        <f>+'CO2'!AH54+char!$C$4*N2O!AH54+char!$C$5*SF6_NF3!AH54+char!$C$6*'CH4'!AH54+char!$C$7*HFC!AH54+char!$C$8*PFC!AH54</f>
        <v>6.8573466088000004</v>
      </c>
      <c r="AI54" s="379">
        <f>+'CO2'!AI54+char!$C$4*N2O!AI54+char!$C$5*SF6_NF3!AI54+char!$C$6*'CH4'!AI54+char!$C$7*HFC!AI54+char!$C$8*PFC!AI54</f>
        <v>0</v>
      </c>
      <c r="AJ54" s="165">
        <f>+'CO2'!AJ54+char!$C$4*N2O!AJ54+char!$C$5*SF6_NF3!AJ54+char!$C$6*'CH4'!AJ54+char!$C$7*HFC!AJ54+char!$C$8*PFC!AJ54</f>
        <v>9.7071667932000008</v>
      </c>
      <c r="AK54" s="379">
        <f>+'CO2'!AK54+char!$C$4*N2O!AK54+char!$C$5*SF6_NF3!AK54+char!$C$6*'CH4'!AK54+char!$C$7*HFC!AK54+char!$C$8*PFC!AK54</f>
        <v>0</v>
      </c>
      <c r="AL54" s="165">
        <f>+'CO2'!AL54+char!$C$4*N2O!AL54+char!$C$5*SF6_NF3!AL54+char!$C$6*'CH4'!AL54+char!$C$7*HFC!AL54+char!$C$8*PFC!AL54</f>
        <v>7.8883866967999996</v>
      </c>
      <c r="AM54" s="379">
        <f>+'CO2'!AM54+char!$C$4*N2O!AM54+char!$C$5*SF6_NF3!AM54+char!$C$6*'CH4'!AM54+char!$C$7*HFC!AM54+char!$C$8*PFC!AM54</f>
        <v>0</v>
      </c>
      <c r="AN54" s="165">
        <f>+'CO2'!AN54+char!$C$4*N2O!AN54+char!$C$5*SF6_NF3!AN54+char!$C$6*'CH4'!AN54+char!$C$7*HFC!AN54+char!$C$8*PFC!AN54</f>
        <v>7.7315135294000008</v>
      </c>
      <c r="AO54" s="379">
        <f>+'CO2'!AO54+char!$C$4*N2O!AO54+char!$C$5*SF6_NF3!AO54+char!$C$6*'CH4'!AO54+char!$C$7*HFC!AO54+char!$C$8*PFC!AO54</f>
        <v>0</v>
      </c>
      <c r="AP54" s="165">
        <f>+'CO2'!AP54+char!$C$4*N2O!AP54+char!$C$5*SF6_NF3!AP54+char!$C$6*'CH4'!AP54+char!$C$7*HFC!AP54+char!$C$8*PFC!AP54</f>
        <v>7.7771435667000004</v>
      </c>
      <c r="AQ54" s="379">
        <f>+'CO2'!AQ54+char!$C$4*N2O!AQ54+char!$C$5*SF6_NF3!AQ54+char!$C$6*'CH4'!AQ54+char!$C$7*HFC!AQ54+char!$C$8*PFC!AQ54</f>
        <v>0</v>
      </c>
      <c r="AR54" s="165">
        <f>+'CO2'!AR54+char!$C$4*N2O!AR54+char!$C$5*SF6_NF3!AR54+char!$C$6*'CH4'!AR54+char!$C$7*HFC!AR54+char!$C$8*PFC!AR54</f>
        <v>7.7596426116000004</v>
      </c>
      <c r="AS54" s="379">
        <f>+'CO2'!AS54+char!$C$4*N2O!AS54+char!$C$5*SF6_NF3!AS54+char!$C$6*'CH4'!AS54+char!$C$7*HFC!AS54+char!$C$8*PFC!AS54</f>
        <v>0</v>
      </c>
      <c r="AT54" s="165">
        <f>+'CO2'!AT54+char!$C$4*N2O!AT54+char!$C$5*SF6_NF3!AT54+char!$C$6*'CH4'!AT54+char!$C$7*HFC!AT54+char!$C$8*PFC!AT54</f>
        <v>6.9402687995000001</v>
      </c>
      <c r="AU54" s="379">
        <f>+'CO2'!AU54+char!$C$4*N2O!AU54+char!$C$5*SF6_NF3!AU54+char!$C$6*'CH4'!AU54+char!$C$7*HFC!AU54+char!$C$8*PFC!AU54</f>
        <v>0</v>
      </c>
      <c r="AV54" s="165">
        <f>+'CO2'!AV54+char!$C$4*N2O!AV54+char!$C$5*SF6_NF3!AV54+char!$C$6*'CH4'!AV54+char!$C$7*HFC!AV54+char!$C$8*PFC!AV54</f>
        <v>6.3457025953999988</v>
      </c>
      <c r="AW54" s="379">
        <f>+'CO2'!AW54+char!$C$4*N2O!AW54+char!$C$5*SF6_NF3!AW54+char!$C$6*'CH4'!AW54+char!$C$7*HFC!AW54+char!$C$8*PFC!AW54</f>
        <v>0</v>
      </c>
      <c r="AX54" s="165">
        <f>+'CO2'!AX54+char!$C$4*N2O!AX54+char!$C$5*SF6_NF3!AX54+char!$C$6*'CH4'!AX54+char!$C$7*HFC!AX54+char!$C$8*PFC!AX54</f>
        <v>5.4800539640999997</v>
      </c>
      <c r="AY54" s="379">
        <f>+'CO2'!AY54+char!$C$4*N2O!AY54+char!$C$5*SF6_NF3!AY54+char!$C$6*'CH4'!AY54+char!$C$7*HFC!AY54+char!$C$8*PFC!AY54</f>
        <v>0</v>
      </c>
      <c r="AZ54" s="165">
        <f>+'CO2'!AZ54+char!$C$4*N2O!AZ54+char!$C$5*SF6_NF3!AZ54+char!$C$6*'CH4'!AZ54+char!$C$7*HFC!AZ54+char!$C$8*PFC!AZ54</f>
        <v>5.5516439446000003</v>
      </c>
      <c r="BA54" s="379">
        <f>+'CO2'!BA54+char!$C$4*N2O!BA54+char!$C$5*SF6_NF3!BA54+char!$C$6*'CH4'!BA54+char!$C$7*HFC!BA54+char!$C$8*PFC!BA54</f>
        <v>0</v>
      </c>
      <c r="BB54" s="165">
        <f>+'CO2'!BB54+char!$C$4*N2O!BB54+char!$C$5*SF6_NF3!BB54+char!$C$6*'CH4'!BB54+char!$C$7*HFC!BB54+char!$C$8*PFC!BB54</f>
        <v>4.9230358908000005</v>
      </c>
      <c r="BC54" s="379">
        <f>+'CO2'!BC54+char!$C$4*N2O!BC54+char!$C$5*SF6_NF3!BC54+char!$C$6*'CH4'!BC54+char!$C$7*HFC!BC54+char!$C$8*PFC!BC54</f>
        <v>0</v>
      </c>
      <c r="BD54" s="165">
        <f>+'CO2'!BD54+char!$C$4*N2O!BD54+char!$C$5*SF6_NF3!BD54+char!$C$6*'CH4'!BD54+char!$C$7*HFC!BD54+char!$C$8*PFC!BD54</f>
        <v>3.9765741968000001</v>
      </c>
      <c r="BE54" s="379">
        <f>+'CO2'!BE54+char!$C$4*N2O!BE54+char!$C$5*SF6_NF3!BE54+char!$C$6*'CH4'!BE54+char!$C$7*HFC!BE54+char!$C$8*PFC!BE54</f>
        <v>0</v>
      </c>
      <c r="BF54" s="165">
        <f>+'CO2'!BF54+char!$C$4*N2O!BF54+char!$C$5*SF6_NF3!BF54+char!$C$6*'CH4'!BF54+char!$C$7*HFC!BF54+char!$C$8*PFC!BF54</f>
        <v>3.5657463207999998</v>
      </c>
      <c r="BG54" s="379"/>
      <c r="BH54" s="225"/>
      <c r="BI54" s="184"/>
      <c r="CJ54" s="150"/>
      <c r="CK54" s="150"/>
      <c r="CL54" s="150"/>
      <c r="CM54" s="151" t="s">
        <v>926</v>
      </c>
      <c r="CN54" s="150" t="s">
        <v>1130</v>
      </c>
      <c r="CO54" s="150"/>
      <c r="CP54" s="150"/>
      <c r="CQ54" s="150"/>
      <c r="CR54" s="150"/>
      <c r="CS54" s="150"/>
      <c r="CT54" s="150"/>
    </row>
    <row r="55" spans="1:98" s="11" customFormat="1">
      <c r="A55" s="310"/>
      <c r="B55" s="308" t="str">
        <f>Parameters!Q54</f>
        <v>J59_J60</v>
      </c>
      <c r="C55" s="309"/>
      <c r="D55" s="495" t="str">
        <f>Parameters!S54</f>
        <v>Motion picture, video, television programme production; programming and broadcasting activities</v>
      </c>
      <c r="E55" s="510"/>
      <c r="F55" s="224"/>
      <c r="G55" s="379"/>
      <c r="H55" s="225"/>
      <c r="I55" s="379"/>
      <c r="J55" s="225"/>
      <c r="K55" s="379"/>
      <c r="L55" s="225"/>
      <c r="M55" s="379"/>
      <c r="N55" s="225"/>
      <c r="O55" s="379"/>
      <c r="P55" s="225"/>
      <c r="Q55" s="379"/>
      <c r="R55" s="225"/>
      <c r="S55" s="379"/>
      <c r="T55" s="225"/>
      <c r="U55" s="379"/>
      <c r="V55" s="225"/>
      <c r="W55" s="379"/>
      <c r="X55" s="225"/>
      <c r="Y55" s="379"/>
      <c r="Z55" s="225"/>
      <c r="AA55" s="379"/>
      <c r="AB55" s="225"/>
      <c r="AC55" s="379"/>
      <c r="AD55" s="225"/>
      <c r="AE55" s="379"/>
      <c r="AF55" s="165">
        <f>+'CO2'!AF55+char!$C$4*N2O!AF55+char!$C$5*SF6_NF3!AF55+char!$C$6*'CH4'!AF55+char!$C$7*HFC!AF55+char!$C$8*PFC!AF55</f>
        <v>4.8506438058999999</v>
      </c>
      <c r="AG55" s="379">
        <f>+'CO2'!AG55+char!$C$4*N2O!AG55+char!$C$5*SF6_NF3!AG55+char!$C$6*'CH4'!AG55+char!$C$7*HFC!AG55+char!$C$8*PFC!AG55</f>
        <v>0</v>
      </c>
      <c r="AH55" s="165">
        <f>+'CO2'!AH55+char!$C$4*N2O!AH55+char!$C$5*SF6_NF3!AH55+char!$C$6*'CH4'!AH55+char!$C$7*HFC!AH55+char!$C$8*PFC!AH55</f>
        <v>5.0125230799000002</v>
      </c>
      <c r="AI55" s="379">
        <f>+'CO2'!AI55+char!$C$4*N2O!AI55+char!$C$5*SF6_NF3!AI55+char!$C$6*'CH4'!AI55+char!$C$7*HFC!AI55+char!$C$8*PFC!AI55</f>
        <v>0</v>
      </c>
      <c r="AJ55" s="165">
        <f>+'CO2'!AJ55+char!$C$4*N2O!AJ55+char!$C$5*SF6_NF3!AJ55+char!$C$6*'CH4'!AJ55+char!$C$7*HFC!AJ55+char!$C$8*PFC!AJ55</f>
        <v>7.9385085461999996</v>
      </c>
      <c r="AK55" s="379">
        <f>+'CO2'!AK55+char!$C$4*N2O!AK55+char!$C$5*SF6_NF3!AK55+char!$C$6*'CH4'!AK55+char!$C$7*HFC!AK55+char!$C$8*PFC!AK55</f>
        <v>0</v>
      </c>
      <c r="AL55" s="165">
        <f>+'CO2'!AL55+char!$C$4*N2O!AL55+char!$C$5*SF6_NF3!AL55+char!$C$6*'CH4'!AL55+char!$C$7*HFC!AL55+char!$C$8*PFC!AL55</f>
        <v>5.1666711675999997</v>
      </c>
      <c r="AM55" s="379">
        <f>+'CO2'!AM55+char!$C$4*N2O!AM55+char!$C$5*SF6_NF3!AM55+char!$C$6*'CH4'!AM55+char!$C$7*HFC!AM55+char!$C$8*PFC!AM55</f>
        <v>0</v>
      </c>
      <c r="AN55" s="165">
        <f>+'CO2'!AN55+char!$C$4*N2O!AN55+char!$C$5*SF6_NF3!AN55+char!$C$6*'CH4'!AN55+char!$C$7*HFC!AN55+char!$C$8*PFC!AN55</f>
        <v>5.3297369123000005</v>
      </c>
      <c r="AO55" s="379">
        <f>+'CO2'!AO55+char!$C$4*N2O!AO55+char!$C$5*SF6_NF3!AO55+char!$C$6*'CH4'!AO55+char!$C$7*HFC!AO55+char!$C$8*PFC!AO55</f>
        <v>0</v>
      </c>
      <c r="AP55" s="165">
        <f>+'CO2'!AP55+char!$C$4*N2O!AP55+char!$C$5*SF6_NF3!AP55+char!$C$6*'CH4'!AP55+char!$C$7*HFC!AP55+char!$C$8*PFC!AP55</f>
        <v>4.2399581596999996</v>
      </c>
      <c r="AQ55" s="379">
        <f>+'CO2'!AQ55+char!$C$4*N2O!AQ55+char!$C$5*SF6_NF3!AQ55+char!$C$6*'CH4'!AQ55+char!$C$7*HFC!AQ55+char!$C$8*PFC!AQ55</f>
        <v>0</v>
      </c>
      <c r="AR55" s="165">
        <f>+'CO2'!AR55+char!$C$4*N2O!AR55+char!$C$5*SF6_NF3!AR55+char!$C$6*'CH4'!AR55+char!$C$7*HFC!AR55+char!$C$8*PFC!AR55</f>
        <v>4.1857704486000005</v>
      </c>
      <c r="AS55" s="379">
        <f>+'CO2'!AS55+char!$C$4*N2O!AS55+char!$C$5*SF6_NF3!AS55+char!$C$6*'CH4'!AS55+char!$C$7*HFC!AS55+char!$C$8*PFC!AS55</f>
        <v>0</v>
      </c>
      <c r="AT55" s="165">
        <f>+'CO2'!AT55+char!$C$4*N2O!AT55+char!$C$5*SF6_NF3!AT55+char!$C$6*'CH4'!AT55+char!$C$7*HFC!AT55+char!$C$8*PFC!AT55</f>
        <v>3.5933543057999997</v>
      </c>
      <c r="AU55" s="379">
        <f>+'CO2'!AU55+char!$C$4*N2O!AU55+char!$C$5*SF6_NF3!AU55+char!$C$6*'CH4'!AU55+char!$C$7*HFC!AU55+char!$C$8*PFC!AU55</f>
        <v>0</v>
      </c>
      <c r="AV55" s="165">
        <f>+'CO2'!AV55+char!$C$4*N2O!AV55+char!$C$5*SF6_NF3!AV55+char!$C$6*'CH4'!AV55+char!$C$7*HFC!AV55+char!$C$8*PFC!AV55</f>
        <v>3.6701707665999996</v>
      </c>
      <c r="AW55" s="379">
        <f>+'CO2'!AW55+char!$C$4*N2O!AW55+char!$C$5*SF6_NF3!AW55+char!$C$6*'CH4'!AW55+char!$C$7*HFC!AW55+char!$C$8*PFC!AW55</f>
        <v>0</v>
      </c>
      <c r="AX55" s="165">
        <f>+'CO2'!AX55+char!$C$4*N2O!AX55+char!$C$5*SF6_NF3!AX55+char!$C$6*'CH4'!AX55+char!$C$7*HFC!AX55+char!$C$8*PFC!AX55</f>
        <v>2.8298852811000001</v>
      </c>
      <c r="AY55" s="379">
        <f>+'CO2'!AY55+char!$C$4*N2O!AY55+char!$C$5*SF6_NF3!AY55+char!$C$6*'CH4'!AY55+char!$C$7*HFC!AY55+char!$C$8*PFC!AY55</f>
        <v>0</v>
      </c>
      <c r="AZ55" s="165">
        <f>+'CO2'!AZ55+char!$C$4*N2O!AZ55+char!$C$5*SF6_NF3!AZ55+char!$C$6*'CH4'!AZ55+char!$C$7*HFC!AZ55+char!$C$8*PFC!AZ55</f>
        <v>2.9059689207000003</v>
      </c>
      <c r="BA55" s="379">
        <f>+'CO2'!BA55+char!$C$4*N2O!BA55+char!$C$5*SF6_NF3!BA55+char!$C$6*'CH4'!BA55+char!$C$7*HFC!BA55+char!$C$8*PFC!BA55</f>
        <v>0</v>
      </c>
      <c r="BB55" s="165">
        <f>+'CO2'!BB55+char!$C$4*N2O!BB55+char!$C$5*SF6_NF3!BB55+char!$C$6*'CH4'!BB55+char!$C$7*HFC!BB55+char!$C$8*PFC!BB55</f>
        <v>2.3428340778999996</v>
      </c>
      <c r="BC55" s="379">
        <f>+'CO2'!BC55+char!$C$4*N2O!BC55+char!$C$5*SF6_NF3!BC55+char!$C$6*'CH4'!BC55+char!$C$7*HFC!BC55+char!$C$8*PFC!BC55</f>
        <v>0</v>
      </c>
      <c r="BD55" s="165">
        <f>+'CO2'!BD55+char!$C$4*N2O!BD55+char!$C$5*SF6_NF3!BD55+char!$C$6*'CH4'!BD55+char!$C$7*HFC!BD55+char!$C$8*PFC!BD55</f>
        <v>2.1110511022999998</v>
      </c>
      <c r="BE55" s="379">
        <f>+'CO2'!BE55+char!$C$4*N2O!BE55+char!$C$5*SF6_NF3!BE55+char!$C$6*'CH4'!BE55+char!$C$7*HFC!BE55+char!$C$8*PFC!BE55</f>
        <v>0</v>
      </c>
      <c r="BF55" s="165">
        <f>+'CO2'!BF55+char!$C$4*N2O!BF55+char!$C$5*SF6_NF3!BF55+char!$C$6*'CH4'!BF55+char!$C$7*HFC!BF55+char!$C$8*PFC!BF55</f>
        <v>2.3756033642999999</v>
      </c>
      <c r="BG55" s="379"/>
      <c r="BH55" s="225"/>
      <c r="BI55" s="184"/>
      <c r="CJ55" s="150"/>
      <c r="CK55" s="150"/>
      <c r="CL55" s="150"/>
      <c r="CM55" s="151" t="s">
        <v>1139</v>
      </c>
      <c r="CN55" s="150" t="s">
        <v>1130</v>
      </c>
      <c r="CO55" s="150"/>
      <c r="CP55" s="150"/>
      <c r="CQ55" s="150"/>
      <c r="CR55" s="150"/>
      <c r="CS55" s="150"/>
      <c r="CT55" s="150"/>
    </row>
    <row r="56" spans="1:98" s="11" customFormat="1" ht="13.9" customHeight="1">
      <c r="A56" s="26"/>
      <c r="B56" s="89" t="str">
        <f>Parameters!Q55</f>
        <v>J61</v>
      </c>
      <c r="C56" s="90"/>
      <c r="D56" s="504" t="str">
        <f>Parameters!S55</f>
        <v>Telecommunications</v>
      </c>
      <c r="E56" s="505"/>
      <c r="F56" s="226"/>
      <c r="G56" s="379"/>
      <c r="H56" s="227"/>
      <c r="I56" s="379"/>
      <c r="J56" s="227"/>
      <c r="K56" s="379"/>
      <c r="L56" s="227"/>
      <c r="M56" s="379"/>
      <c r="N56" s="227"/>
      <c r="O56" s="379"/>
      <c r="P56" s="227"/>
      <c r="Q56" s="379"/>
      <c r="R56" s="227"/>
      <c r="S56" s="379"/>
      <c r="T56" s="227"/>
      <c r="U56" s="379"/>
      <c r="V56" s="227"/>
      <c r="W56" s="379"/>
      <c r="X56" s="227"/>
      <c r="Y56" s="379"/>
      <c r="Z56" s="227"/>
      <c r="AA56" s="379"/>
      <c r="AB56" s="227"/>
      <c r="AC56" s="379"/>
      <c r="AD56" s="227"/>
      <c r="AE56" s="379"/>
      <c r="AF56" s="166">
        <f>+'CO2'!AF56+char!$C$4*N2O!AF56+char!$C$5*SF6_NF3!AF56+char!$C$6*'CH4'!AF56+char!$C$7*HFC!AF56+char!$C$8*PFC!AF56</f>
        <v>0</v>
      </c>
      <c r="AG56" s="379" t="e">
        <f>+'CO2'!AG56+char!$C$4*N2O!AG56+char!$C$5*SF6_NF3!AG56+char!$C$6*'CH4'!AG56+char!$C$7*HFC!AG56+char!$C$8*PFC!AG56</f>
        <v>#VALUE!</v>
      </c>
      <c r="AH56" s="166">
        <f>+'CO2'!AH56+char!$C$4*N2O!AH56+char!$C$5*SF6_NF3!AH56+char!$C$6*'CH4'!AH56+char!$C$7*HFC!AH56+char!$C$8*PFC!AH56</f>
        <v>0</v>
      </c>
      <c r="AI56" s="379" t="e">
        <f>+'CO2'!AI56+char!$C$4*N2O!AI56+char!$C$5*SF6_NF3!AI56+char!$C$6*'CH4'!AI56+char!$C$7*HFC!AI56+char!$C$8*PFC!AI56</f>
        <v>#VALUE!</v>
      </c>
      <c r="AJ56" s="166">
        <f>+'CO2'!AJ56+char!$C$4*N2O!AJ56+char!$C$5*SF6_NF3!AJ56+char!$C$6*'CH4'!AJ56+char!$C$7*HFC!AJ56+char!$C$8*PFC!AJ56</f>
        <v>0</v>
      </c>
      <c r="AK56" s="379" t="e">
        <f>+'CO2'!AK56+char!$C$4*N2O!AK56+char!$C$5*SF6_NF3!AK56+char!$C$6*'CH4'!AK56+char!$C$7*HFC!AK56+char!$C$8*PFC!AK56</f>
        <v>#VALUE!</v>
      </c>
      <c r="AL56" s="166">
        <f>+'CO2'!AL56+char!$C$4*N2O!AL56+char!$C$5*SF6_NF3!AL56+char!$C$6*'CH4'!AL56+char!$C$7*HFC!AL56+char!$C$8*PFC!AL56</f>
        <v>0</v>
      </c>
      <c r="AM56" s="379" t="e">
        <f>+'CO2'!AM56+char!$C$4*N2O!AM56+char!$C$5*SF6_NF3!AM56+char!$C$6*'CH4'!AM56+char!$C$7*HFC!AM56+char!$C$8*PFC!AM56</f>
        <v>#VALUE!</v>
      </c>
      <c r="AN56" s="166">
        <f>+'CO2'!AN56+char!$C$4*N2O!AN56+char!$C$5*SF6_NF3!AN56+char!$C$6*'CH4'!AN56+char!$C$7*HFC!AN56+char!$C$8*PFC!AN56</f>
        <v>0</v>
      </c>
      <c r="AO56" s="379" t="e">
        <f>+'CO2'!AO56+char!$C$4*N2O!AO56+char!$C$5*SF6_NF3!AO56+char!$C$6*'CH4'!AO56+char!$C$7*HFC!AO56+char!$C$8*PFC!AO56</f>
        <v>#VALUE!</v>
      </c>
      <c r="AP56" s="166">
        <f>+'CO2'!AP56+char!$C$4*N2O!AP56+char!$C$5*SF6_NF3!AP56+char!$C$6*'CH4'!AP56+char!$C$7*HFC!AP56+char!$C$8*PFC!AP56</f>
        <v>0</v>
      </c>
      <c r="AQ56" s="379" t="e">
        <f>+'CO2'!AQ56+char!$C$4*N2O!AQ56+char!$C$5*SF6_NF3!AQ56+char!$C$6*'CH4'!AQ56+char!$C$7*HFC!AQ56+char!$C$8*PFC!AQ56</f>
        <v>#VALUE!</v>
      </c>
      <c r="AR56" s="166">
        <f>+'CO2'!AR56+char!$C$4*N2O!AR56+char!$C$5*SF6_NF3!AR56+char!$C$6*'CH4'!AR56+char!$C$7*HFC!AR56+char!$C$8*PFC!AR56</f>
        <v>0</v>
      </c>
      <c r="AS56" s="379" t="e">
        <f>+'CO2'!AS56+char!$C$4*N2O!AS56+char!$C$5*SF6_NF3!AS56+char!$C$6*'CH4'!AS56+char!$C$7*HFC!AS56+char!$C$8*PFC!AS56</f>
        <v>#VALUE!</v>
      </c>
      <c r="AT56" s="166">
        <f>+'CO2'!AT56+char!$C$4*N2O!AT56+char!$C$5*SF6_NF3!AT56+char!$C$6*'CH4'!AT56+char!$C$7*HFC!AT56+char!$C$8*PFC!AT56</f>
        <v>0</v>
      </c>
      <c r="AU56" s="379" t="e">
        <f>+'CO2'!AU56+char!$C$4*N2O!AU56+char!$C$5*SF6_NF3!AU56+char!$C$6*'CH4'!AU56+char!$C$7*HFC!AU56+char!$C$8*PFC!AU56</f>
        <v>#VALUE!</v>
      </c>
      <c r="AV56" s="166">
        <f>+'CO2'!AV56+char!$C$4*N2O!AV56+char!$C$5*SF6_NF3!AV56+char!$C$6*'CH4'!AV56+char!$C$7*HFC!AV56+char!$C$8*PFC!AV56</f>
        <v>0</v>
      </c>
      <c r="AW56" s="379" t="e">
        <f>+'CO2'!AW56+char!$C$4*N2O!AW56+char!$C$5*SF6_NF3!AW56+char!$C$6*'CH4'!AW56+char!$C$7*HFC!AW56+char!$C$8*PFC!AW56</f>
        <v>#VALUE!</v>
      </c>
      <c r="AX56" s="166">
        <f>+'CO2'!AX56+char!$C$4*N2O!AX56+char!$C$5*SF6_NF3!AX56+char!$C$6*'CH4'!AX56+char!$C$7*HFC!AX56+char!$C$8*PFC!AX56</f>
        <v>0</v>
      </c>
      <c r="AY56" s="379" t="e">
        <f>+'CO2'!AY56+char!$C$4*N2O!AY56+char!$C$5*SF6_NF3!AY56+char!$C$6*'CH4'!AY56+char!$C$7*HFC!AY56+char!$C$8*PFC!AY56</f>
        <v>#VALUE!</v>
      </c>
      <c r="AZ56" s="166">
        <f>+'CO2'!AZ56+char!$C$4*N2O!AZ56+char!$C$5*SF6_NF3!AZ56+char!$C$6*'CH4'!AZ56+char!$C$7*HFC!AZ56+char!$C$8*PFC!AZ56</f>
        <v>0</v>
      </c>
      <c r="BA56" s="379" t="e">
        <f>+'CO2'!BA56+char!$C$4*N2O!BA56+char!$C$5*SF6_NF3!BA56+char!$C$6*'CH4'!BA56+char!$C$7*HFC!BA56+char!$C$8*PFC!BA56</f>
        <v>#VALUE!</v>
      </c>
      <c r="BB56" s="166">
        <f>+'CO2'!BB56+char!$C$4*N2O!BB56+char!$C$5*SF6_NF3!BB56+char!$C$6*'CH4'!BB56+char!$C$7*HFC!BB56+char!$C$8*PFC!BB56</f>
        <v>0</v>
      </c>
      <c r="BC56" s="379" t="e">
        <f>+'CO2'!BC56+char!$C$4*N2O!BC56+char!$C$5*SF6_NF3!BC56+char!$C$6*'CH4'!BC56+char!$C$7*HFC!BC56+char!$C$8*PFC!BC56</f>
        <v>#VALUE!</v>
      </c>
      <c r="BD56" s="166">
        <f>+'CO2'!BD56+char!$C$4*N2O!BD56+char!$C$5*SF6_NF3!BD56+char!$C$6*'CH4'!BD56+char!$C$7*HFC!BD56+char!$C$8*PFC!BD56</f>
        <v>0</v>
      </c>
      <c r="BE56" s="379" t="e">
        <f>+'CO2'!BE56+char!$C$4*N2O!BE56+char!$C$5*SF6_NF3!BE56+char!$C$6*'CH4'!BE56+char!$C$7*HFC!BE56+char!$C$8*PFC!BE56</f>
        <v>#VALUE!</v>
      </c>
      <c r="BF56" s="166">
        <f>+'CO2'!BF56+char!$C$4*N2O!BF56+char!$C$5*SF6_NF3!BF56+char!$C$6*'CH4'!BF56+char!$C$7*HFC!BF56+char!$C$8*PFC!BF56</f>
        <v>0</v>
      </c>
      <c r="BG56" s="379" t="s">
        <v>420</v>
      </c>
      <c r="BH56" s="227"/>
      <c r="BI56" s="184"/>
      <c r="CJ56" s="150"/>
      <c r="CK56" s="150"/>
      <c r="CL56" s="150"/>
      <c r="CM56" s="151" t="s">
        <v>939</v>
      </c>
      <c r="CN56" s="150" t="s">
        <v>1130</v>
      </c>
      <c r="CO56" s="150"/>
      <c r="CP56" s="150"/>
      <c r="CQ56" s="150"/>
      <c r="CR56" s="150"/>
      <c r="CS56" s="150"/>
      <c r="CT56" s="150"/>
    </row>
    <row r="57" spans="1:98" s="10" customFormat="1" ht="12.75" customHeight="1">
      <c r="A57" s="26"/>
      <c r="B57" s="89" t="str">
        <f>Parameters!Q56</f>
        <v>J62_J63</v>
      </c>
      <c r="C57" s="90"/>
      <c r="D57" s="504" t="str">
        <f>Parameters!S56</f>
        <v>Computer programming, consultancy, and information service activities</v>
      </c>
      <c r="E57" s="505"/>
      <c r="F57" s="226"/>
      <c r="G57" s="379"/>
      <c r="H57" s="227"/>
      <c r="I57" s="379"/>
      <c r="J57" s="227"/>
      <c r="K57" s="379"/>
      <c r="L57" s="227"/>
      <c r="M57" s="379"/>
      <c r="N57" s="227"/>
      <c r="O57" s="379"/>
      <c r="P57" s="227"/>
      <c r="Q57" s="379"/>
      <c r="R57" s="227"/>
      <c r="S57" s="379"/>
      <c r="T57" s="227"/>
      <c r="U57" s="379"/>
      <c r="V57" s="227"/>
      <c r="W57" s="379"/>
      <c r="X57" s="227"/>
      <c r="Y57" s="379"/>
      <c r="Z57" s="227"/>
      <c r="AA57" s="379"/>
      <c r="AB57" s="227"/>
      <c r="AC57" s="379"/>
      <c r="AD57" s="227"/>
      <c r="AE57" s="379"/>
      <c r="AF57" s="166">
        <f>+'CO2'!AF57+char!$C$4*N2O!AF57+char!$C$5*SF6_NF3!AF57+char!$C$6*'CH4'!AF57+char!$C$7*HFC!AF57+char!$C$8*PFC!AF57</f>
        <v>16.6032447742</v>
      </c>
      <c r="AG57" s="379">
        <f>+'CO2'!AG57+char!$C$4*N2O!AG57+char!$C$5*SF6_NF3!AG57+char!$C$6*'CH4'!AG57+char!$C$7*HFC!AG57+char!$C$8*PFC!AG57</f>
        <v>0</v>
      </c>
      <c r="AH57" s="166">
        <f>+'CO2'!AH57+char!$C$4*N2O!AH57+char!$C$5*SF6_NF3!AH57+char!$C$6*'CH4'!AH57+char!$C$7*HFC!AH57+char!$C$8*PFC!AH57</f>
        <v>15.9610999135</v>
      </c>
      <c r="AI57" s="379">
        <f>+'CO2'!AI57+char!$C$4*N2O!AI57+char!$C$5*SF6_NF3!AI57+char!$C$6*'CH4'!AI57+char!$C$7*HFC!AI57+char!$C$8*PFC!AI57</f>
        <v>0</v>
      </c>
      <c r="AJ57" s="166">
        <f>+'CO2'!AJ57+char!$C$4*N2O!AJ57+char!$C$5*SF6_NF3!AJ57+char!$C$6*'CH4'!AJ57+char!$C$7*HFC!AJ57+char!$C$8*PFC!AJ57</f>
        <v>20.086426604900002</v>
      </c>
      <c r="AK57" s="379">
        <f>+'CO2'!AK57+char!$C$4*N2O!AK57+char!$C$5*SF6_NF3!AK57+char!$C$6*'CH4'!AK57+char!$C$7*HFC!AK57+char!$C$8*PFC!AK57</f>
        <v>0</v>
      </c>
      <c r="AL57" s="166">
        <f>+'CO2'!AL57+char!$C$4*N2O!AL57+char!$C$5*SF6_NF3!AL57+char!$C$6*'CH4'!AL57+char!$C$7*HFC!AL57+char!$C$8*PFC!AL57</f>
        <v>18.924938732099999</v>
      </c>
      <c r="AM57" s="379">
        <f>+'CO2'!AM57+char!$C$4*N2O!AM57+char!$C$5*SF6_NF3!AM57+char!$C$6*'CH4'!AM57+char!$C$7*HFC!AM57+char!$C$8*PFC!AM57</f>
        <v>0</v>
      </c>
      <c r="AN57" s="166">
        <f>+'CO2'!AN57+char!$C$4*N2O!AN57+char!$C$5*SF6_NF3!AN57+char!$C$6*'CH4'!AN57+char!$C$7*HFC!AN57+char!$C$8*PFC!AN57</f>
        <v>19.025292834300004</v>
      </c>
      <c r="AO57" s="379">
        <f>+'CO2'!AO57+char!$C$4*N2O!AO57+char!$C$5*SF6_NF3!AO57+char!$C$6*'CH4'!AO57+char!$C$7*HFC!AO57+char!$C$8*PFC!AO57</f>
        <v>0</v>
      </c>
      <c r="AP57" s="166">
        <f>+'CO2'!AP57+char!$C$4*N2O!AP57+char!$C$5*SF6_NF3!AP57+char!$C$6*'CH4'!AP57+char!$C$7*HFC!AP57+char!$C$8*PFC!AP57</f>
        <v>20.467925148999999</v>
      </c>
      <c r="AQ57" s="379">
        <f>+'CO2'!AQ57+char!$C$4*N2O!AQ57+char!$C$5*SF6_NF3!AQ57+char!$C$6*'CH4'!AQ57+char!$C$7*HFC!AQ57+char!$C$8*PFC!AQ57</f>
        <v>0</v>
      </c>
      <c r="AR57" s="166">
        <f>+'CO2'!AR57+char!$C$4*N2O!AR57+char!$C$5*SF6_NF3!AR57+char!$C$6*'CH4'!AR57+char!$C$7*HFC!AR57+char!$C$8*PFC!AR57</f>
        <v>18.065182488399998</v>
      </c>
      <c r="AS57" s="379">
        <f>+'CO2'!AS57+char!$C$4*N2O!AS57+char!$C$5*SF6_NF3!AS57+char!$C$6*'CH4'!AS57+char!$C$7*HFC!AS57+char!$C$8*PFC!AS57</f>
        <v>0</v>
      </c>
      <c r="AT57" s="166">
        <f>+'CO2'!AT57+char!$C$4*N2O!AT57+char!$C$5*SF6_NF3!AT57+char!$C$6*'CH4'!AT57+char!$C$7*HFC!AT57+char!$C$8*PFC!AT57</f>
        <v>17.507237828399997</v>
      </c>
      <c r="AU57" s="379">
        <f>+'CO2'!AU57+char!$C$4*N2O!AU57+char!$C$5*SF6_NF3!AU57+char!$C$6*'CH4'!AU57+char!$C$7*HFC!AU57+char!$C$8*PFC!AU57</f>
        <v>0</v>
      </c>
      <c r="AV57" s="166">
        <f>+'CO2'!AV57+char!$C$4*N2O!AV57+char!$C$5*SF6_NF3!AV57+char!$C$6*'CH4'!AV57+char!$C$7*HFC!AV57+char!$C$8*PFC!AV57</f>
        <v>15.601549541000001</v>
      </c>
      <c r="AW57" s="379">
        <f>+'CO2'!AW57+char!$C$4*N2O!AW57+char!$C$5*SF6_NF3!AW57+char!$C$6*'CH4'!AW57+char!$C$7*HFC!AW57+char!$C$8*PFC!AW57</f>
        <v>0</v>
      </c>
      <c r="AX57" s="166">
        <f>+'CO2'!AX57+char!$C$4*N2O!AX57+char!$C$5*SF6_NF3!AX57+char!$C$6*'CH4'!AX57+char!$C$7*HFC!AX57+char!$C$8*PFC!AX57</f>
        <v>11.3720688707</v>
      </c>
      <c r="AY57" s="379">
        <f>+'CO2'!AY57+char!$C$4*N2O!AY57+char!$C$5*SF6_NF3!AY57+char!$C$6*'CH4'!AY57+char!$C$7*HFC!AY57+char!$C$8*PFC!AY57</f>
        <v>0</v>
      </c>
      <c r="AZ57" s="166">
        <f>+'CO2'!AZ57+char!$C$4*N2O!AZ57+char!$C$5*SF6_NF3!AZ57+char!$C$6*'CH4'!AZ57+char!$C$7*HFC!AZ57+char!$C$8*PFC!AZ57</f>
        <v>11.581038077100001</v>
      </c>
      <c r="BA57" s="379">
        <f>+'CO2'!BA57+char!$C$4*N2O!BA57+char!$C$5*SF6_NF3!BA57+char!$C$6*'CH4'!BA57+char!$C$7*HFC!BA57+char!$C$8*PFC!BA57</f>
        <v>0</v>
      </c>
      <c r="BB57" s="166">
        <f>+'CO2'!BB57+char!$C$4*N2O!BB57+char!$C$5*SF6_NF3!BB57+char!$C$6*'CH4'!BB57+char!$C$7*HFC!BB57+char!$C$8*PFC!BB57</f>
        <v>11.741557672500001</v>
      </c>
      <c r="BC57" s="379">
        <f>+'CO2'!BC57+char!$C$4*N2O!BC57+char!$C$5*SF6_NF3!BC57+char!$C$6*'CH4'!BC57+char!$C$7*HFC!BC57+char!$C$8*PFC!BC57</f>
        <v>0</v>
      </c>
      <c r="BD57" s="166">
        <f>+'CO2'!BD57+char!$C$4*N2O!BD57+char!$C$5*SF6_NF3!BD57+char!$C$6*'CH4'!BD57+char!$C$7*HFC!BD57+char!$C$8*PFC!BD57</f>
        <v>9.9052898247999988</v>
      </c>
      <c r="BE57" s="379">
        <f>+'CO2'!BE57+char!$C$4*N2O!BE57+char!$C$5*SF6_NF3!BE57+char!$C$6*'CH4'!BE57+char!$C$7*HFC!BE57+char!$C$8*PFC!BE57</f>
        <v>0</v>
      </c>
      <c r="BF57" s="166">
        <f>+'CO2'!BF57+char!$C$4*N2O!BF57+char!$C$5*SF6_NF3!BF57+char!$C$6*'CH4'!BF57+char!$C$7*HFC!BF57+char!$C$8*PFC!BF57</f>
        <v>10.334342205899999</v>
      </c>
      <c r="BG57" s="379"/>
      <c r="BH57" s="227"/>
      <c r="BI57" s="184"/>
      <c r="CJ57" s="150"/>
      <c r="CK57" s="150"/>
      <c r="CL57" s="150"/>
      <c r="CM57" s="151" t="s">
        <v>1140</v>
      </c>
      <c r="CN57" s="150" t="s">
        <v>1130</v>
      </c>
      <c r="CO57" s="150"/>
      <c r="CP57" s="150"/>
      <c r="CQ57" s="150"/>
      <c r="CR57" s="150"/>
      <c r="CS57" s="150"/>
      <c r="CT57" s="150"/>
    </row>
    <row r="58" spans="1:98" s="10" customFormat="1" ht="12.75" customHeight="1">
      <c r="A58" s="25"/>
      <c r="B58" s="87" t="str">
        <f>Parameters!Q57</f>
        <v>K</v>
      </c>
      <c r="C58" s="88"/>
      <c r="D58" s="498" t="str">
        <f>Parameters!S57</f>
        <v>Financial and insurance activities</v>
      </c>
      <c r="E58" s="499"/>
      <c r="F58" s="222"/>
      <c r="G58" s="379"/>
      <c r="H58" s="223"/>
      <c r="I58" s="379"/>
      <c r="J58" s="223"/>
      <c r="K58" s="379"/>
      <c r="L58" s="223"/>
      <c r="M58" s="379"/>
      <c r="N58" s="223"/>
      <c r="O58" s="379"/>
      <c r="P58" s="223"/>
      <c r="Q58" s="379"/>
      <c r="R58" s="223"/>
      <c r="S58" s="379"/>
      <c r="T58" s="223"/>
      <c r="U58" s="379"/>
      <c r="V58" s="223"/>
      <c r="W58" s="379"/>
      <c r="X58" s="223"/>
      <c r="Y58" s="379"/>
      <c r="Z58" s="223"/>
      <c r="AA58" s="379"/>
      <c r="AB58" s="223"/>
      <c r="AC58" s="379"/>
      <c r="AD58" s="223"/>
      <c r="AE58" s="379"/>
      <c r="AF58" s="164">
        <f>+'CO2'!AF58+char!$C$4*N2O!AF58+char!$C$5*SF6_NF3!AF58+char!$C$6*'CH4'!AF58+char!$C$7*HFC!AF58+char!$C$8*PFC!AF58</f>
        <v>1.4839676823999999</v>
      </c>
      <c r="AG58" s="379">
        <f>+'CO2'!AG58+char!$C$4*N2O!AG58+char!$C$5*SF6_NF3!AG58+char!$C$6*'CH4'!AG58+char!$C$7*HFC!AG58+char!$C$8*PFC!AG58</f>
        <v>0</v>
      </c>
      <c r="AH58" s="164">
        <f>+'CO2'!AH58+char!$C$4*N2O!AH58+char!$C$5*SF6_NF3!AH58+char!$C$6*'CH4'!AH58+char!$C$7*HFC!AH58+char!$C$8*PFC!AH58</f>
        <v>1.7640268486000004</v>
      </c>
      <c r="AI58" s="379">
        <f>+'CO2'!AI58+char!$C$4*N2O!AI58+char!$C$5*SF6_NF3!AI58+char!$C$6*'CH4'!AI58+char!$C$7*HFC!AI58+char!$C$8*PFC!AI58</f>
        <v>0</v>
      </c>
      <c r="AJ58" s="164">
        <f>+'CO2'!AJ58+char!$C$4*N2O!AJ58+char!$C$5*SF6_NF3!AJ58+char!$C$6*'CH4'!AJ58+char!$C$7*HFC!AJ58+char!$C$8*PFC!AJ58</f>
        <v>4.3838901418000003</v>
      </c>
      <c r="AK58" s="379">
        <f>+'CO2'!AK58+char!$C$4*N2O!AK58+char!$C$5*SF6_NF3!AK58+char!$C$6*'CH4'!AK58+char!$C$7*HFC!AK58+char!$C$8*PFC!AK58</f>
        <v>0</v>
      </c>
      <c r="AL58" s="164">
        <f>+'CO2'!AL58+char!$C$4*N2O!AL58+char!$C$5*SF6_NF3!AL58+char!$C$6*'CH4'!AL58+char!$C$7*HFC!AL58+char!$C$8*PFC!AL58</f>
        <v>0.99505069570000004</v>
      </c>
      <c r="AM58" s="379">
        <f>+'CO2'!AM58+char!$C$4*N2O!AM58+char!$C$5*SF6_NF3!AM58+char!$C$6*'CH4'!AM58+char!$C$7*HFC!AM58+char!$C$8*PFC!AM58</f>
        <v>0</v>
      </c>
      <c r="AN58" s="164">
        <f>+'CO2'!AN58+char!$C$4*N2O!AN58+char!$C$5*SF6_NF3!AN58+char!$C$6*'CH4'!AN58+char!$C$7*HFC!AN58+char!$C$8*PFC!AN58</f>
        <v>0.87204973109999995</v>
      </c>
      <c r="AO58" s="379">
        <f>+'CO2'!AO58+char!$C$4*N2O!AO58+char!$C$5*SF6_NF3!AO58+char!$C$6*'CH4'!AO58+char!$C$7*HFC!AO58+char!$C$8*PFC!AO58</f>
        <v>0</v>
      </c>
      <c r="AP58" s="164">
        <f>+'CO2'!AP58+char!$C$4*N2O!AP58+char!$C$5*SF6_NF3!AP58+char!$C$6*'CH4'!AP58+char!$C$7*HFC!AP58+char!$C$8*PFC!AP58</f>
        <v>0.62449395930000007</v>
      </c>
      <c r="AQ58" s="379">
        <f>+'CO2'!AQ58+char!$C$4*N2O!AQ58+char!$C$5*SF6_NF3!AQ58+char!$C$6*'CH4'!AQ58+char!$C$7*HFC!AQ58+char!$C$8*PFC!AQ58</f>
        <v>0</v>
      </c>
      <c r="AR58" s="164">
        <f>+'CO2'!AR58+char!$C$4*N2O!AR58+char!$C$5*SF6_NF3!AR58+char!$C$6*'CH4'!AR58+char!$C$7*HFC!AR58+char!$C$8*PFC!AR58</f>
        <v>0.4126547525</v>
      </c>
      <c r="AS58" s="379">
        <f>+'CO2'!AS58+char!$C$4*N2O!AS58+char!$C$5*SF6_NF3!AS58+char!$C$6*'CH4'!AS58+char!$C$7*HFC!AS58+char!$C$8*PFC!AS58</f>
        <v>0</v>
      </c>
      <c r="AT58" s="164">
        <f>+'CO2'!AT58+char!$C$4*N2O!AT58+char!$C$5*SF6_NF3!AT58+char!$C$6*'CH4'!AT58+char!$C$7*HFC!AT58+char!$C$8*PFC!AT58</f>
        <v>0.35608805899999996</v>
      </c>
      <c r="AU58" s="379">
        <f>+'CO2'!AU58+char!$C$4*N2O!AU58+char!$C$5*SF6_NF3!AU58+char!$C$6*'CH4'!AU58+char!$C$7*HFC!AU58+char!$C$8*PFC!AU58</f>
        <v>0</v>
      </c>
      <c r="AV58" s="164">
        <f>+'CO2'!AV58+char!$C$4*N2O!AV58+char!$C$5*SF6_NF3!AV58+char!$C$6*'CH4'!AV58+char!$C$7*HFC!AV58+char!$C$8*PFC!AV58</f>
        <v>0.34823205309999999</v>
      </c>
      <c r="AW58" s="379">
        <f>+'CO2'!AW58+char!$C$4*N2O!AW58+char!$C$5*SF6_NF3!AW58+char!$C$6*'CH4'!AW58+char!$C$7*HFC!AW58+char!$C$8*PFC!AW58</f>
        <v>0</v>
      </c>
      <c r="AX58" s="164">
        <f>+'CO2'!AX58+char!$C$4*N2O!AX58+char!$C$5*SF6_NF3!AX58+char!$C$6*'CH4'!AX58+char!$C$7*HFC!AX58+char!$C$8*PFC!AX58</f>
        <v>0.37716234179999997</v>
      </c>
      <c r="AY58" s="379">
        <f>+'CO2'!AY58+char!$C$4*N2O!AY58+char!$C$5*SF6_NF3!AY58+char!$C$6*'CH4'!AY58+char!$C$7*HFC!AY58+char!$C$8*PFC!AY58</f>
        <v>0</v>
      </c>
      <c r="AZ58" s="164">
        <f>+'CO2'!AZ58+char!$C$4*N2O!AZ58+char!$C$5*SF6_NF3!AZ58+char!$C$6*'CH4'!AZ58+char!$C$7*HFC!AZ58+char!$C$8*PFC!AZ58</f>
        <v>0.2218801809</v>
      </c>
      <c r="BA58" s="379">
        <f>+'CO2'!BA58+char!$C$4*N2O!BA58+char!$C$5*SF6_NF3!BA58+char!$C$6*'CH4'!BA58+char!$C$7*HFC!BA58+char!$C$8*PFC!BA58</f>
        <v>0</v>
      </c>
      <c r="BB58" s="164">
        <f>+'CO2'!BB58+char!$C$4*N2O!BB58+char!$C$5*SF6_NF3!BB58+char!$C$6*'CH4'!BB58+char!$C$7*HFC!BB58+char!$C$8*PFC!BB58</f>
        <v>1.2030652916</v>
      </c>
      <c r="BC58" s="379">
        <f>+'CO2'!BC58+char!$C$4*N2O!BC58+char!$C$5*SF6_NF3!BC58+char!$C$6*'CH4'!BC58+char!$C$7*HFC!BC58+char!$C$8*PFC!BC58</f>
        <v>0</v>
      </c>
      <c r="BD58" s="164">
        <f>+'CO2'!BD58+char!$C$4*N2O!BD58+char!$C$5*SF6_NF3!BD58+char!$C$6*'CH4'!BD58+char!$C$7*HFC!BD58+char!$C$8*PFC!BD58</f>
        <v>0.84217681319999993</v>
      </c>
      <c r="BE58" s="379">
        <f>+'CO2'!BE58+char!$C$4*N2O!BE58+char!$C$5*SF6_NF3!BE58+char!$C$6*'CH4'!BE58+char!$C$7*HFC!BE58+char!$C$8*PFC!BE58</f>
        <v>0</v>
      </c>
      <c r="BF58" s="164">
        <f>+'CO2'!BF58+char!$C$4*N2O!BF58+char!$C$5*SF6_NF3!BF58+char!$C$6*'CH4'!BF58+char!$C$7*HFC!BF58+char!$C$8*PFC!BF58</f>
        <v>0.14322722650000003</v>
      </c>
      <c r="BG58" s="379"/>
      <c r="BH58" s="223"/>
      <c r="BI58" s="184"/>
      <c r="CJ58" s="150"/>
      <c r="CK58" s="150"/>
      <c r="CL58" s="150"/>
      <c r="CM58" s="151" t="s">
        <v>951</v>
      </c>
      <c r="CN58" s="150" t="s">
        <v>1130</v>
      </c>
      <c r="CO58" s="150"/>
      <c r="CP58" s="150"/>
      <c r="CQ58" s="150"/>
      <c r="CR58" s="150"/>
      <c r="CS58" s="150"/>
      <c r="CT58" s="150"/>
    </row>
    <row r="59" spans="1:98" s="11" customFormat="1" ht="12.75" customHeight="1">
      <c r="A59" s="310"/>
      <c r="B59" s="308" t="str">
        <f>Parameters!Q58</f>
        <v>K64</v>
      </c>
      <c r="C59" s="309"/>
      <c r="D59" s="495" t="str">
        <f>Parameters!S58</f>
        <v>Financial service activities, except insurance and pension funding</v>
      </c>
      <c r="E59" s="496"/>
      <c r="F59" s="224"/>
      <c r="G59" s="379"/>
      <c r="H59" s="225"/>
      <c r="I59" s="379"/>
      <c r="J59" s="225"/>
      <c r="K59" s="379"/>
      <c r="L59" s="225"/>
      <c r="M59" s="379"/>
      <c r="N59" s="225"/>
      <c r="O59" s="379"/>
      <c r="P59" s="225"/>
      <c r="Q59" s="379"/>
      <c r="R59" s="225"/>
      <c r="S59" s="379"/>
      <c r="T59" s="225"/>
      <c r="U59" s="379"/>
      <c r="V59" s="225"/>
      <c r="W59" s="379"/>
      <c r="X59" s="225"/>
      <c r="Y59" s="379"/>
      <c r="Z59" s="225"/>
      <c r="AA59" s="379"/>
      <c r="AB59" s="225"/>
      <c r="AC59" s="379"/>
      <c r="AD59" s="225"/>
      <c r="AE59" s="379"/>
      <c r="AF59" s="165">
        <f>+'CO2'!AF59+char!$C$4*N2O!AF59+char!$C$5*SF6_NF3!AF59+char!$C$6*'CH4'!AF59+char!$C$7*HFC!AF59+char!$C$8*PFC!AF59</f>
        <v>1.0250706877</v>
      </c>
      <c r="AG59" s="379">
        <f>+'CO2'!AG59+char!$C$4*N2O!AG59+char!$C$5*SF6_NF3!AG59+char!$C$6*'CH4'!AG59+char!$C$7*HFC!AG59+char!$C$8*PFC!AG59</f>
        <v>0</v>
      </c>
      <c r="AH59" s="165">
        <f>+'CO2'!AH59+char!$C$4*N2O!AH59+char!$C$5*SF6_NF3!AH59+char!$C$6*'CH4'!AH59+char!$C$7*HFC!AH59+char!$C$8*PFC!AH59</f>
        <v>1.3113825288000001</v>
      </c>
      <c r="AI59" s="379">
        <f>+'CO2'!AI59+char!$C$4*N2O!AI59+char!$C$5*SF6_NF3!AI59+char!$C$6*'CH4'!AI59+char!$C$7*HFC!AI59+char!$C$8*PFC!AI59</f>
        <v>0</v>
      </c>
      <c r="AJ59" s="165">
        <f>+'CO2'!AJ59+char!$C$4*N2O!AJ59+char!$C$5*SF6_NF3!AJ59+char!$C$6*'CH4'!AJ59+char!$C$7*HFC!AJ59+char!$C$8*PFC!AJ59</f>
        <v>3.7558908201000003</v>
      </c>
      <c r="AK59" s="379">
        <f>+'CO2'!AK59+char!$C$4*N2O!AK59+char!$C$5*SF6_NF3!AK59+char!$C$6*'CH4'!AK59+char!$C$7*HFC!AK59+char!$C$8*PFC!AK59</f>
        <v>0</v>
      </c>
      <c r="AL59" s="165">
        <f>+'CO2'!AL59+char!$C$4*N2O!AL59+char!$C$5*SF6_NF3!AL59+char!$C$6*'CH4'!AL59+char!$C$7*HFC!AL59+char!$C$8*PFC!AL59</f>
        <v>0.55046832040000004</v>
      </c>
      <c r="AM59" s="379">
        <f>+'CO2'!AM59+char!$C$4*N2O!AM59+char!$C$5*SF6_NF3!AM59+char!$C$6*'CH4'!AM59+char!$C$7*HFC!AM59+char!$C$8*PFC!AM59</f>
        <v>0</v>
      </c>
      <c r="AN59" s="165">
        <f>+'CO2'!AN59+char!$C$4*N2O!AN59+char!$C$5*SF6_NF3!AN59+char!$C$6*'CH4'!AN59+char!$C$7*HFC!AN59+char!$C$8*PFC!AN59</f>
        <v>0.51262930470000001</v>
      </c>
      <c r="AO59" s="379">
        <f>+'CO2'!AO59+char!$C$4*N2O!AO59+char!$C$5*SF6_NF3!AO59+char!$C$6*'CH4'!AO59+char!$C$7*HFC!AO59+char!$C$8*PFC!AO59</f>
        <v>0</v>
      </c>
      <c r="AP59" s="165">
        <f>+'CO2'!AP59+char!$C$4*N2O!AP59+char!$C$5*SF6_NF3!AP59+char!$C$6*'CH4'!AP59+char!$C$7*HFC!AP59+char!$C$8*PFC!AP59</f>
        <v>0.2652087286</v>
      </c>
      <c r="AQ59" s="379">
        <f>+'CO2'!AQ59+char!$C$4*N2O!AQ59+char!$C$5*SF6_NF3!AQ59+char!$C$6*'CH4'!AQ59+char!$C$7*HFC!AQ59+char!$C$8*PFC!AQ59</f>
        <v>0</v>
      </c>
      <c r="AR59" s="165">
        <f>+'CO2'!AR59+char!$C$4*N2O!AR59+char!$C$5*SF6_NF3!AR59+char!$C$6*'CH4'!AR59+char!$C$7*HFC!AR59+char!$C$8*PFC!AR59</f>
        <v>7.674599339999999E-2</v>
      </c>
      <c r="AS59" s="379">
        <f>+'CO2'!AS59+char!$C$4*N2O!AS59+char!$C$5*SF6_NF3!AS59+char!$C$6*'CH4'!AS59+char!$C$7*HFC!AS59+char!$C$8*PFC!AS59</f>
        <v>0</v>
      </c>
      <c r="AT59" s="165">
        <f>+'CO2'!AT59+char!$C$4*N2O!AT59+char!$C$5*SF6_NF3!AT59+char!$C$6*'CH4'!AT59+char!$C$7*HFC!AT59+char!$C$8*PFC!AT59</f>
        <v>6.0701172099999999E-2</v>
      </c>
      <c r="AU59" s="379">
        <f>+'CO2'!AU59+char!$C$4*N2O!AU59+char!$C$5*SF6_NF3!AU59+char!$C$6*'CH4'!AU59+char!$C$7*HFC!AU59+char!$C$8*PFC!AU59</f>
        <v>0</v>
      </c>
      <c r="AV59" s="165">
        <f>+'CO2'!AV59+char!$C$4*N2O!AV59+char!$C$5*SF6_NF3!AV59+char!$C$6*'CH4'!AV59+char!$C$7*HFC!AV59+char!$C$8*PFC!AV59</f>
        <v>5.8681216799999998E-2</v>
      </c>
      <c r="AW59" s="379">
        <f>+'CO2'!AW59+char!$C$4*N2O!AW59+char!$C$5*SF6_NF3!AW59+char!$C$6*'CH4'!AW59+char!$C$7*HFC!AW59+char!$C$8*PFC!AW59</f>
        <v>0</v>
      </c>
      <c r="AX59" s="165">
        <f>+'CO2'!AX59+char!$C$4*N2O!AX59+char!$C$5*SF6_NF3!AX59+char!$C$6*'CH4'!AX59+char!$C$7*HFC!AX59+char!$C$8*PFC!AX59</f>
        <v>0.1845238944</v>
      </c>
      <c r="AY59" s="379">
        <f>+'CO2'!AY59+char!$C$4*N2O!AY59+char!$C$5*SF6_NF3!AY59+char!$C$6*'CH4'!AY59+char!$C$7*HFC!AY59+char!$C$8*PFC!AY59</f>
        <v>0</v>
      </c>
      <c r="AZ59" s="165">
        <f>+'CO2'!AZ59+char!$C$4*N2O!AZ59+char!$C$5*SF6_NF3!AZ59+char!$C$6*'CH4'!AZ59+char!$C$7*HFC!AZ59+char!$C$8*PFC!AZ59</f>
        <v>3.8721698700000001E-2</v>
      </c>
      <c r="BA59" s="379">
        <f>+'CO2'!BA59+char!$C$4*N2O!BA59+char!$C$5*SF6_NF3!BA59+char!$C$6*'CH4'!BA59+char!$C$7*HFC!BA59+char!$C$8*PFC!BA59</f>
        <v>0</v>
      </c>
      <c r="BB59" s="165">
        <f>+'CO2'!BB59+char!$C$4*N2O!BB59+char!$C$5*SF6_NF3!BB59+char!$C$6*'CH4'!BB59+char!$C$7*HFC!BB59+char!$C$8*PFC!BB59</f>
        <v>1.0782925775000001</v>
      </c>
      <c r="BC59" s="379">
        <f>+'CO2'!BC59+char!$C$4*N2O!BC59+char!$C$5*SF6_NF3!BC59+char!$C$6*'CH4'!BC59+char!$C$7*HFC!BC59+char!$C$8*PFC!BC59</f>
        <v>0</v>
      </c>
      <c r="BD59" s="165">
        <f>+'CO2'!BD59+char!$C$4*N2O!BD59+char!$C$5*SF6_NF3!BD59+char!$C$6*'CH4'!BD59+char!$C$7*HFC!BD59+char!$C$8*PFC!BD59</f>
        <v>0.73600686920000002</v>
      </c>
      <c r="BE59" s="379">
        <f>+'CO2'!BE59+char!$C$4*N2O!BE59+char!$C$5*SF6_NF3!BE59+char!$C$6*'CH4'!BE59+char!$C$7*HFC!BE59+char!$C$8*PFC!BE59</f>
        <v>0</v>
      </c>
      <c r="BF59" s="165">
        <f>+'CO2'!BF59+char!$C$4*N2O!BF59+char!$C$5*SF6_NF3!BF59+char!$C$6*'CH4'!BF59+char!$C$7*HFC!BF59+char!$C$8*PFC!BF59</f>
        <v>3.5687531299999999E-2</v>
      </c>
      <c r="BG59" s="379"/>
      <c r="BH59" s="225"/>
      <c r="BI59" s="184"/>
      <c r="CJ59" s="150"/>
      <c r="CK59" s="150"/>
      <c r="CL59" s="150"/>
      <c r="CM59" s="151" t="s">
        <v>957</v>
      </c>
      <c r="CN59" s="150" t="s">
        <v>1130</v>
      </c>
      <c r="CO59" s="150"/>
      <c r="CP59" s="150"/>
      <c r="CQ59" s="150"/>
      <c r="CR59" s="150"/>
      <c r="CS59" s="150"/>
      <c r="CT59" s="150"/>
    </row>
    <row r="60" spans="1:98" s="11" customFormat="1" ht="12.75" customHeight="1">
      <c r="A60" s="310"/>
      <c r="B60" s="308" t="str">
        <f>Parameters!Q59</f>
        <v>K65</v>
      </c>
      <c r="C60" s="309"/>
      <c r="D60" s="495" t="str">
        <f>Parameters!S59</f>
        <v>Insurance, reinsurance and pension funding, except compulsory social security</v>
      </c>
      <c r="E60" s="496"/>
      <c r="F60" s="224"/>
      <c r="G60" s="379"/>
      <c r="H60" s="225"/>
      <c r="I60" s="379"/>
      <c r="J60" s="225"/>
      <c r="K60" s="379"/>
      <c r="L60" s="225"/>
      <c r="M60" s="379"/>
      <c r="N60" s="225"/>
      <c r="O60" s="379"/>
      <c r="P60" s="225"/>
      <c r="Q60" s="379"/>
      <c r="R60" s="225"/>
      <c r="S60" s="379"/>
      <c r="T60" s="225"/>
      <c r="U60" s="379"/>
      <c r="V60" s="225"/>
      <c r="W60" s="379"/>
      <c r="X60" s="225"/>
      <c r="Y60" s="379"/>
      <c r="Z60" s="225"/>
      <c r="AA60" s="379"/>
      <c r="AB60" s="225"/>
      <c r="AC60" s="379"/>
      <c r="AD60" s="225"/>
      <c r="AE60" s="379"/>
      <c r="AF60" s="165">
        <f>+'CO2'!AF60+char!$C$4*N2O!AF60+char!$C$5*SF6_NF3!AF60+char!$C$6*'CH4'!AF60+char!$C$7*HFC!AF60+char!$C$8*PFC!AF60</f>
        <v>1.3039136E-2</v>
      </c>
      <c r="AG60" s="379">
        <f>+'CO2'!AG60+char!$C$4*N2O!AG60+char!$C$5*SF6_NF3!AG60+char!$C$6*'CH4'!AG60+char!$C$7*HFC!AG60+char!$C$8*PFC!AG60</f>
        <v>0</v>
      </c>
      <c r="AH60" s="165">
        <f>+'CO2'!AH60+char!$C$4*N2O!AH60+char!$C$5*SF6_NF3!AH60+char!$C$6*'CH4'!AH60+char!$C$7*HFC!AH60+char!$C$8*PFC!AH60</f>
        <v>2.7690039900000001E-2</v>
      </c>
      <c r="AI60" s="379">
        <f>+'CO2'!AI60+char!$C$4*N2O!AI60+char!$C$5*SF6_NF3!AI60+char!$C$6*'CH4'!AI60+char!$C$7*HFC!AI60+char!$C$8*PFC!AI60</f>
        <v>0</v>
      </c>
      <c r="AJ60" s="165">
        <f>+'CO2'!AJ60+char!$C$4*N2O!AJ60+char!$C$5*SF6_NF3!AJ60+char!$C$6*'CH4'!AJ60+char!$C$7*HFC!AJ60+char!$C$8*PFC!AJ60</f>
        <v>0.1020620302</v>
      </c>
      <c r="AK60" s="379">
        <f>+'CO2'!AK60+char!$C$4*N2O!AK60+char!$C$5*SF6_NF3!AK60+char!$C$6*'CH4'!AK60+char!$C$7*HFC!AK60+char!$C$8*PFC!AK60</f>
        <v>0</v>
      </c>
      <c r="AL60" s="165">
        <f>+'CO2'!AL60+char!$C$4*N2O!AL60+char!$C$5*SF6_NF3!AL60+char!$C$6*'CH4'!AL60+char!$C$7*HFC!AL60+char!$C$8*PFC!AL60</f>
        <v>1.2839777699999999E-2</v>
      </c>
      <c r="AM60" s="379">
        <f>+'CO2'!AM60+char!$C$4*N2O!AM60+char!$C$5*SF6_NF3!AM60+char!$C$6*'CH4'!AM60+char!$C$7*HFC!AM60+char!$C$8*PFC!AM60</f>
        <v>0</v>
      </c>
      <c r="AN60" s="165">
        <f>+'CO2'!AN60+char!$C$4*N2O!AN60+char!$C$5*SF6_NF3!AN60+char!$C$6*'CH4'!AN60+char!$C$7*HFC!AN60+char!$C$8*PFC!AN60</f>
        <v>0</v>
      </c>
      <c r="AO60" s="379">
        <f>+'CO2'!AO60+char!$C$4*N2O!AO60+char!$C$5*SF6_NF3!AO60+char!$C$6*'CH4'!AO60+char!$C$7*HFC!AO60+char!$C$8*PFC!AO60</f>
        <v>0</v>
      </c>
      <c r="AP60" s="165">
        <f>+'CO2'!AP60+char!$C$4*N2O!AP60+char!$C$5*SF6_NF3!AP60+char!$C$6*'CH4'!AP60+char!$C$7*HFC!AP60+char!$C$8*PFC!AP60</f>
        <v>0</v>
      </c>
      <c r="AQ60" s="379">
        <f>+'CO2'!AQ60+char!$C$4*N2O!AQ60+char!$C$5*SF6_NF3!AQ60+char!$C$6*'CH4'!AQ60+char!$C$7*HFC!AQ60+char!$C$8*PFC!AQ60</f>
        <v>0</v>
      </c>
      <c r="AR60" s="165">
        <f>+'CO2'!AR60+char!$C$4*N2O!AR60+char!$C$5*SF6_NF3!AR60+char!$C$6*'CH4'!AR60+char!$C$7*HFC!AR60+char!$C$8*PFC!AR60</f>
        <v>0</v>
      </c>
      <c r="AS60" s="379">
        <f>+'CO2'!AS60+char!$C$4*N2O!AS60+char!$C$5*SF6_NF3!AS60+char!$C$6*'CH4'!AS60+char!$C$7*HFC!AS60+char!$C$8*PFC!AS60</f>
        <v>0</v>
      </c>
      <c r="AT60" s="165">
        <f>+'CO2'!AT60+char!$C$4*N2O!AT60+char!$C$5*SF6_NF3!AT60+char!$C$6*'CH4'!AT60+char!$C$7*HFC!AT60+char!$C$8*PFC!AT60</f>
        <v>0</v>
      </c>
      <c r="AU60" s="379">
        <f>+'CO2'!AU60+char!$C$4*N2O!AU60+char!$C$5*SF6_NF3!AU60+char!$C$6*'CH4'!AU60+char!$C$7*HFC!AU60+char!$C$8*PFC!AU60</f>
        <v>0</v>
      </c>
      <c r="AV60" s="165">
        <f>+'CO2'!AV60+char!$C$4*N2O!AV60+char!$C$5*SF6_NF3!AV60+char!$C$6*'CH4'!AV60+char!$C$7*HFC!AV60+char!$C$8*PFC!AV60</f>
        <v>0</v>
      </c>
      <c r="AW60" s="379">
        <f>+'CO2'!AW60+char!$C$4*N2O!AW60+char!$C$5*SF6_NF3!AW60+char!$C$6*'CH4'!AW60+char!$C$7*HFC!AW60+char!$C$8*PFC!AW60</f>
        <v>0</v>
      </c>
      <c r="AX60" s="165">
        <f>+'CO2'!AX60+char!$C$4*N2O!AX60+char!$C$5*SF6_NF3!AX60+char!$C$6*'CH4'!AX60+char!$C$7*HFC!AX60+char!$C$8*PFC!AX60</f>
        <v>5.6792272999999999E-3</v>
      </c>
      <c r="AY60" s="379">
        <f>+'CO2'!AY60+char!$C$4*N2O!AY60+char!$C$5*SF6_NF3!AY60+char!$C$6*'CH4'!AY60+char!$C$7*HFC!AY60+char!$C$8*PFC!AY60</f>
        <v>0</v>
      </c>
      <c r="AZ60" s="165">
        <f>+'CO2'!AZ60+char!$C$4*N2O!AZ60+char!$C$5*SF6_NF3!AZ60+char!$C$6*'CH4'!AZ60+char!$C$7*HFC!AZ60+char!$C$8*PFC!AZ60</f>
        <v>1.5107835700000001E-2</v>
      </c>
      <c r="BA60" s="379">
        <f>+'CO2'!BA60+char!$C$4*N2O!BA60+char!$C$5*SF6_NF3!BA60+char!$C$6*'CH4'!BA60+char!$C$7*HFC!BA60+char!$C$8*PFC!BA60</f>
        <v>0</v>
      </c>
      <c r="BB60" s="165">
        <f>+'CO2'!BB60+char!$C$4*N2O!BB60+char!$C$5*SF6_NF3!BB60+char!$C$6*'CH4'!BB60+char!$C$7*HFC!BB60+char!$C$8*PFC!BB60</f>
        <v>0</v>
      </c>
      <c r="BC60" s="379">
        <f>+'CO2'!BC60+char!$C$4*N2O!BC60+char!$C$5*SF6_NF3!BC60+char!$C$6*'CH4'!BC60+char!$C$7*HFC!BC60+char!$C$8*PFC!BC60</f>
        <v>0</v>
      </c>
      <c r="BD60" s="165">
        <f>+'CO2'!BD60+char!$C$4*N2O!BD60+char!$C$5*SF6_NF3!BD60+char!$C$6*'CH4'!BD60+char!$C$7*HFC!BD60+char!$C$8*PFC!BD60</f>
        <v>0</v>
      </c>
      <c r="BE60" s="379">
        <f>+'CO2'!BE60+char!$C$4*N2O!BE60+char!$C$5*SF6_NF3!BE60+char!$C$6*'CH4'!BE60+char!$C$7*HFC!BE60+char!$C$8*PFC!BE60</f>
        <v>0</v>
      </c>
      <c r="BF60" s="165">
        <f>+'CO2'!BF60+char!$C$4*N2O!BF60+char!$C$5*SF6_NF3!BF60+char!$C$6*'CH4'!BF60+char!$C$7*HFC!BF60+char!$C$8*PFC!BF60</f>
        <v>0</v>
      </c>
      <c r="BG60" s="379"/>
      <c r="BH60" s="225"/>
      <c r="BI60" s="184"/>
      <c r="CJ60" s="150"/>
      <c r="CK60" s="150"/>
      <c r="CL60" s="150"/>
      <c r="CM60" s="151" t="s">
        <v>963</v>
      </c>
      <c r="CN60" s="150" t="s">
        <v>1130</v>
      </c>
      <c r="CO60" s="150"/>
      <c r="CP60" s="150"/>
      <c r="CQ60" s="150"/>
      <c r="CR60" s="150"/>
      <c r="CS60" s="150"/>
      <c r="CT60" s="150"/>
    </row>
    <row r="61" spans="1:98" s="11" customFormat="1" ht="12.75" customHeight="1">
      <c r="A61" s="310"/>
      <c r="B61" s="308" t="str">
        <f>Parameters!Q60</f>
        <v>K66</v>
      </c>
      <c r="C61" s="309"/>
      <c r="D61" s="495" t="str">
        <f>Parameters!S60</f>
        <v>Activities auxiliary to financial services and insurance activities</v>
      </c>
      <c r="E61" s="510"/>
      <c r="F61" s="224"/>
      <c r="G61" s="379"/>
      <c r="H61" s="225"/>
      <c r="I61" s="379"/>
      <c r="J61" s="225"/>
      <c r="K61" s="379"/>
      <c r="L61" s="225"/>
      <c r="M61" s="379"/>
      <c r="N61" s="225"/>
      <c r="O61" s="379"/>
      <c r="P61" s="225"/>
      <c r="Q61" s="379"/>
      <c r="R61" s="225"/>
      <c r="S61" s="379"/>
      <c r="T61" s="225"/>
      <c r="U61" s="379"/>
      <c r="V61" s="225"/>
      <c r="W61" s="379"/>
      <c r="X61" s="225"/>
      <c r="Y61" s="379"/>
      <c r="Z61" s="225"/>
      <c r="AA61" s="379"/>
      <c r="AB61" s="225"/>
      <c r="AC61" s="379"/>
      <c r="AD61" s="225"/>
      <c r="AE61" s="379"/>
      <c r="AF61" s="165">
        <f>+'CO2'!AF61+char!$C$4*N2O!AF61+char!$C$5*SF6_NF3!AF61+char!$C$6*'CH4'!AF61+char!$C$7*HFC!AF61+char!$C$8*PFC!AF61</f>
        <v>0.44585785589999993</v>
      </c>
      <c r="AG61" s="379">
        <f>+'CO2'!AG61+char!$C$4*N2O!AG61+char!$C$5*SF6_NF3!AG61+char!$C$6*'CH4'!AG61+char!$C$7*HFC!AG61+char!$C$8*PFC!AG61</f>
        <v>0</v>
      </c>
      <c r="AH61" s="165">
        <f>+'CO2'!AH61+char!$C$4*N2O!AH61+char!$C$5*SF6_NF3!AH61+char!$C$6*'CH4'!AH61+char!$C$7*HFC!AH61+char!$C$8*PFC!AH61</f>
        <v>0.42495427990000001</v>
      </c>
      <c r="AI61" s="379">
        <f>+'CO2'!AI61+char!$C$4*N2O!AI61+char!$C$5*SF6_NF3!AI61+char!$C$6*'CH4'!AI61+char!$C$7*HFC!AI61+char!$C$8*PFC!AI61</f>
        <v>0</v>
      </c>
      <c r="AJ61" s="165">
        <f>+'CO2'!AJ61+char!$C$4*N2O!AJ61+char!$C$5*SF6_NF3!AJ61+char!$C$6*'CH4'!AJ61+char!$C$7*HFC!AJ61+char!$C$8*PFC!AJ61</f>
        <v>0.52593729150000001</v>
      </c>
      <c r="AK61" s="379">
        <f>+'CO2'!AK61+char!$C$4*N2O!AK61+char!$C$5*SF6_NF3!AK61+char!$C$6*'CH4'!AK61+char!$C$7*HFC!AK61+char!$C$8*PFC!AK61</f>
        <v>0</v>
      </c>
      <c r="AL61" s="165">
        <f>+'CO2'!AL61+char!$C$4*N2O!AL61+char!$C$5*SF6_NF3!AL61+char!$C$6*'CH4'!AL61+char!$C$7*HFC!AL61+char!$C$8*PFC!AL61</f>
        <v>0.43174247389999998</v>
      </c>
      <c r="AM61" s="379">
        <f>+'CO2'!AM61+char!$C$4*N2O!AM61+char!$C$5*SF6_NF3!AM61+char!$C$6*'CH4'!AM61+char!$C$7*HFC!AM61+char!$C$8*PFC!AM61</f>
        <v>0</v>
      </c>
      <c r="AN61" s="165">
        <f>+'CO2'!AN61+char!$C$4*N2O!AN61+char!$C$5*SF6_NF3!AN61+char!$C$6*'CH4'!AN61+char!$C$7*HFC!AN61+char!$C$8*PFC!AN61</f>
        <v>0.35942042640000005</v>
      </c>
      <c r="AO61" s="379">
        <f>+'CO2'!AO61+char!$C$4*N2O!AO61+char!$C$5*SF6_NF3!AO61+char!$C$6*'CH4'!AO61+char!$C$7*HFC!AO61+char!$C$8*PFC!AO61</f>
        <v>0</v>
      </c>
      <c r="AP61" s="165">
        <f>+'CO2'!AP61+char!$C$4*N2O!AP61+char!$C$5*SF6_NF3!AP61+char!$C$6*'CH4'!AP61+char!$C$7*HFC!AP61+char!$C$8*PFC!AP61</f>
        <v>0.35928525719999999</v>
      </c>
      <c r="AQ61" s="379">
        <f>+'CO2'!AQ61+char!$C$4*N2O!AQ61+char!$C$5*SF6_NF3!AQ61+char!$C$6*'CH4'!AQ61+char!$C$7*HFC!AQ61+char!$C$8*PFC!AQ61</f>
        <v>0</v>
      </c>
      <c r="AR61" s="165">
        <f>+'CO2'!AR61+char!$C$4*N2O!AR61+char!$C$5*SF6_NF3!AR61+char!$C$6*'CH4'!AR61+char!$C$7*HFC!AR61+char!$C$8*PFC!AR61</f>
        <v>0.33590878560000004</v>
      </c>
      <c r="AS61" s="379">
        <f>+'CO2'!AS61+char!$C$4*N2O!AS61+char!$C$5*SF6_NF3!AS61+char!$C$6*'CH4'!AS61+char!$C$7*HFC!AS61+char!$C$8*PFC!AS61</f>
        <v>0</v>
      </c>
      <c r="AT61" s="165">
        <f>+'CO2'!AT61+char!$C$4*N2O!AT61+char!$C$5*SF6_NF3!AT61+char!$C$6*'CH4'!AT61+char!$C$7*HFC!AT61+char!$C$8*PFC!AT61</f>
        <v>0.29538688410000002</v>
      </c>
      <c r="AU61" s="379">
        <f>+'CO2'!AU61+char!$C$4*N2O!AU61+char!$C$5*SF6_NF3!AU61+char!$C$6*'CH4'!AU61+char!$C$7*HFC!AU61+char!$C$8*PFC!AU61</f>
        <v>0</v>
      </c>
      <c r="AV61" s="165">
        <f>+'CO2'!AV61+char!$C$4*N2O!AV61+char!$C$5*SF6_NF3!AV61+char!$C$6*'CH4'!AV61+char!$C$7*HFC!AV61+char!$C$8*PFC!AV61</f>
        <v>0.2895508363</v>
      </c>
      <c r="AW61" s="379">
        <f>+'CO2'!AW61+char!$C$4*N2O!AW61+char!$C$5*SF6_NF3!AW61+char!$C$6*'CH4'!AW61+char!$C$7*HFC!AW61+char!$C$8*PFC!AW61</f>
        <v>0</v>
      </c>
      <c r="AX61" s="165">
        <f>+'CO2'!AX61+char!$C$4*N2O!AX61+char!$C$5*SF6_NF3!AX61+char!$C$6*'CH4'!AX61+char!$C$7*HFC!AX61+char!$C$8*PFC!AX61</f>
        <v>0.18695922009999999</v>
      </c>
      <c r="AY61" s="379">
        <f>+'CO2'!AY61+char!$C$4*N2O!AY61+char!$C$5*SF6_NF3!AY61+char!$C$6*'CH4'!AY61+char!$C$7*HFC!AY61+char!$C$8*PFC!AY61</f>
        <v>0</v>
      </c>
      <c r="AZ61" s="165">
        <f>+'CO2'!AZ61+char!$C$4*N2O!AZ61+char!$C$5*SF6_NF3!AZ61+char!$C$6*'CH4'!AZ61+char!$C$7*HFC!AZ61+char!$C$8*PFC!AZ61</f>
        <v>0.16805064650000001</v>
      </c>
      <c r="BA61" s="379">
        <f>+'CO2'!BA61+char!$C$4*N2O!BA61+char!$C$5*SF6_NF3!BA61+char!$C$6*'CH4'!BA61+char!$C$7*HFC!BA61+char!$C$8*PFC!BA61</f>
        <v>0</v>
      </c>
      <c r="BB61" s="165">
        <f>+'CO2'!BB61+char!$C$4*N2O!BB61+char!$C$5*SF6_NF3!BB61+char!$C$6*'CH4'!BB61+char!$C$7*HFC!BB61+char!$C$8*PFC!BB61</f>
        <v>0.12477271130000001</v>
      </c>
      <c r="BC61" s="379">
        <f>+'CO2'!BC61+char!$C$4*N2O!BC61+char!$C$5*SF6_NF3!BC61+char!$C$6*'CH4'!BC61+char!$C$7*HFC!BC61+char!$C$8*PFC!BC61</f>
        <v>0</v>
      </c>
      <c r="BD61" s="165">
        <f>+'CO2'!BD61+char!$C$4*N2O!BD61+char!$C$5*SF6_NF3!BD61+char!$C$6*'CH4'!BD61+char!$C$7*HFC!BD61+char!$C$8*PFC!BD61</f>
        <v>0.10616991749999999</v>
      </c>
      <c r="BE61" s="379">
        <f>+'CO2'!BE61+char!$C$4*N2O!BE61+char!$C$5*SF6_NF3!BE61+char!$C$6*'CH4'!BE61+char!$C$7*HFC!BE61+char!$C$8*PFC!BE61</f>
        <v>0</v>
      </c>
      <c r="BF61" s="165">
        <f>+'CO2'!BF61+char!$C$4*N2O!BF61+char!$C$5*SF6_NF3!BF61+char!$C$6*'CH4'!BF61+char!$C$7*HFC!BF61+char!$C$8*PFC!BF61</f>
        <v>0.10753969519999999</v>
      </c>
      <c r="BG61" s="379"/>
      <c r="BH61" s="225"/>
      <c r="BI61" s="184"/>
      <c r="CJ61" s="150"/>
      <c r="CK61" s="150"/>
      <c r="CL61" s="150"/>
      <c r="CM61" s="151" t="s">
        <v>969</v>
      </c>
      <c r="CN61" s="150" t="s">
        <v>1130</v>
      </c>
      <c r="CO61" s="150"/>
      <c r="CP61" s="150"/>
      <c r="CQ61" s="150"/>
      <c r="CR61" s="150"/>
      <c r="CS61" s="150"/>
      <c r="CT61" s="150"/>
    </row>
    <row r="62" spans="1:98" s="11" customFormat="1" ht="12.75" customHeight="1">
      <c r="A62" s="25"/>
      <c r="B62" s="87" t="str">
        <f>Parameters!Q61</f>
        <v>L</v>
      </c>
      <c r="C62" s="88"/>
      <c r="D62" s="498" t="str">
        <f>Parameters!S61</f>
        <v>Real estate activities</v>
      </c>
      <c r="E62" s="507"/>
      <c r="F62" s="222"/>
      <c r="G62" s="379"/>
      <c r="H62" s="223"/>
      <c r="I62" s="379"/>
      <c r="J62" s="223"/>
      <c r="K62" s="379"/>
      <c r="L62" s="223"/>
      <c r="M62" s="379"/>
      <c r="N62" s="223"/>
      <c r="O62" s="379"/>
      <c r="P62" s="223"/>
      <c r="Q62" s="379"/>
      <c r="R62" s="223"/>
      <c r="S62" s="379"/>
      <c r="T62" s="223"/>
      <c r="U62" s="379"/>
      <c r="V62" s="223"/>
      <c r="W62" s="379"/>
      <c r="X62" s="223"/>
      <c r="Y62" s="379"/>
      <c r="Z62" s="223"/>
      <c r="AA62" s="379"/>
      <c r="AB62" s="223"/>
      <c r="AC62" s="379"/>
      <c r="AD62" s="223"/>
      <c r="AE62" s="379"/>
      <c r="AF62" s="164">
        <f>+'CO2'!AF62+char!$C$4*N2O!AF62+char!$C$5*SF6_NF3!AF62+char!$C$6*'CH4'!AF62+char!$C$7*HFC!AF62+char!$C$8*PFC!AF62</f>
        <v>113.81627499379999</v>
      </c>
      <c r="AG62" s="379">
        <f>+'CO2'!AG62+char!$C$4*N2O!AG62+char!$C$5*SF6_NF3!AG62+char!$C$6*'CH4'!AG62+char!$C$7*HFC!AG62+char!$C$8*PFC!AG62</f>
        <v>0</v>
      </c>
      <c r="AH62" s="164">
        <f>+'CO2'!AH62+char!$C$4*N2O!AH62+char!$C$5*SF6_NF3!AH62+char!$C$6*'CH4'!AH62+char!$C$7*HFC!AH62+char!$C$8*PFC!AH62</f>
        <v>127.10121624</v>
      </c>
      <c r="AI62" s="379">
        <f>+'CO2'!AI62+char!$C$4*N2O!AI62+char!$C$5*SF6_NF3!AI62+char!$C$6*'CH4'!AI62+char!$C$7*HFC!AI62+char!$C$8*PFC!AI62</f>
        <v>0</v>
      </c>
      <c r="AJ62" s="164">
        <f>+'CO2'!AJ62+char!$C$4*N2O!AJ62+char!$C$5*SF6_NF3!AJ62+char!$C$6*'CH4'!AJ62+char!$C$7*HFC!AJ62+char!$C$8*PFC!AJ62</f>
        <v>197.57717567690003</v>
      </c>
      <c r="AK62" s="379">
        <f>+'CO2'!AK62+char!$C$4*N2O!AK62+char!$C$5*SF6_NF3!AK62+char!$C$6*'CH4'!AK62+char!$C$7*HFC!AK62+char!$C$8*PFC!AK62</f>
        <v>0</v>
      </c>
      <c r="AL62" s="164">
        <f>+'CO2'!AL62+char!$C$4*N2O!AL62+char!$C$5*SF6_NF3!AL62+char!$C$6*'CH4'!AL62+char!$C$7*HFC!AL62+char!$C$8*PFC!AL62</f>
        <v>149.3630924199</v>
      </c>
      <c r="AM62" s="379">
        <f>+'CO2'!AM62+char!$C$4*N2O!AM62+char!$C$5*SF6_NF3!AM62+char!$C$6*'CH4'!AM62+char!$C$7*HFC!AM62+char!$C$8*PFC!AM62</f>
        <v>0</v>
      </c>
      <c r="AN62" s="164">
        <f>+'CO2'!AN62+char!$C$4*N2O!AN62+char!$C$5*SF6_NF3!AN62+char!$C$6*'CH4'!AN62+char!$C$7*HFC!AN62+char!$C$8*PFC!AN62</f>
        <v>124.14889421469999</v>
      </c>
      <c r="AO62" s="379">
        <f>+'CO2'!AO62+char!$C$4*N2O!AO62+char!$C$5*SF6_NF3!AO62+char!$C$6*'CH4'!AO62+char!$C$7*HFC!AO62+char!$C$8*PFC!AO62</f>
        <v>0</v>
      </c>
      <c r="AP62" s="164">
        <f>+'CO2'!AP62+char!$C$4*N2O!AP62+char!$C$5*SF6_NF3!AP62+char!$C$6*'CH4'!AP62+char!$C$7*HFC!AP62+char!$C$8*PFC!AP62</f>
        <v>145.95491308769999</v>
      </c>
      <c r="AQ62" s="379">
        <f>+'CO2'!AQ62+char!$C$4*N2O!AQ62+char!$C$5*SF6_NF3!AQ62+char!$C$6*'CH4'!AQ62+char!$C$7*HFC!AQ62+char!$C$8*PFC!AQ62</f>
        <v>0</v>
      </c>
      <c r="AR62" s="164">
        <f>+'CO2'!AR62+char!$C$4*N2O!AR62+char!$C$5*SF6_NF3!AR62+char!$C$6*'CH4'!AR62+char!$C$7*HFC!AR62+char!$C$8*PFC!AR62</f>
        <v>119.4844220622</v>
      </c>
      <c r="AS62" s="379">
        <f>+'CO2'!AS62+char!$C$4*N2O!AS62+char!$C$5*SF6_NF3!AS62+char!$C$6*'CH4'!AS62+char!$C$7*HFC!AS62+char!$C$8*PFC!AS62</f>
        <v>0</v>
      </c>
      <c r="AT62" s="164">
        <f>+'CO2'!AT62+char!$C$4*N2O!AT62+char!$C$5*SF6_NF3!AT62+char!$C$6*'CH4'!AT62+char!$C$7*HFC!AT62+char!$C$8*PFC!AT62</f>
        <v>115.0185607164</v>
      </c>
      <c r="AU62" s="379">
        <f>+'CO2'!AU62+char!$C$4*N2O!AU62+char!$C$5*SF6_NF3!AU62+char!$C$6*'CH4'!AU62+char!$C$7*HFC!AU62+char!$C$8*PFC!AU62</f>
        <v>0</v>
      </c>
      <c r="AV62" s="164">
        <f>+'CO2'!AV62+char!$C$4*N2O!AV62+char!$C$5*SF6_NF3!AV62+char!$C$6*'CH4'!AV62+char!$C$7*HFC!AV62+char!$C$8*PFC!AV62</f>
        <v>119.6813931601</v>
      </c>
      <c r="AW62" s="379">
        <f>+'CO2'!AW62+char!$C$4*N2O!AW62+char!$C$5*SF6_NF3!AW62+char!$C$6*'CH4'!AW62+char!$C$7*HFC!AW62+char!$C$8*PFC!AW62</f>
        <v>0</v>
      </c>
      <c r="AX62" s="164">
        <f>+'CO2'!AX62+char!$C$4*N2O!AX62+char!$C$5*SF6_NF3!AX62+char!$C$6*'CH4'!AX62+char!$C$7*HFC!AX62+char!$C$8*PFC!AX62</f>
        <v>105.04492990029999</v>
      </c>
      <c r="AY62" s="379">
        <f>+'CO2'!AY62+char!$C$4*N2O!AY62+char!$C$5*SF6_NF3!AY62+char!$C$6*'CH4'!AY62+char!$C$7*HFC!AY62+char!$C$8*PFC!AY62</f>
        <v>0</v>
      </c>
      <c r="AZ62" s="164">
        <f>+'CO2'!AZ62+char!$C$4*N2O!AZ62+char!$C$5*SF6_NF3!AZ62+char!$C$6*'CH4'!AZ62+char!$C$7*HFC!AZ62+char!$C$8*PFC!AZ62</f>
        <v>138.9247671295</v>
      </c>
      <c r="BA62" s="379">
        <f>+'CO2'!BA62+char!$C$4*N2O!BA62+char!$C$5*SF6_NF3!BA62+char!$C$6*'CH4'!BA62+char!$C$7*HFC!BA62+char!$C$8*PFC!BA62</f>
        <v>0</v>
      </c>
      <c r="BB62" s="164">
        <f>+'CO2'!BB62+char!$C$4*N2O!BB62+char!$C$5*SF6_NF3!BB62+char!$C$6*'CH4'!BB62+char!$C$7*HFC!BB62+char!$C$8*PFC!BB62</f>
        <v>90.246850455400008</v>
      </c>
      <c r="BC62" s="379">
        <f>+'CO2'!BC62+char!$C$4*N2O!BC62+char!$C$5*SF6_NF3!BC62+char!$C$6*'CH4'!BC62+char!$C$7*HFC!BC62+char!$C$8*PFC!BC62</f>
        <v>0</v>
      </c>
      <c r="BD62" s="164">
        <f>+'CO2'!BD62+char!$C$4*N2O!BD62+char!$C$5*SF6_NF3!BD62+char!$C$6*'CH4'!BD62+char!$C$7*HFC!BD62+char!$C$8*PFC!BD62</f>
        <v>86.850879773599999</v>
      </c>
      <c r="BE62" s="379">
        <f>+'CO2'!BE62+char!$C$4*N2O!BE62+char!$C$5*SF6_NF3!BE62+char!$C$6*'CH4'!BE62+char!$C$7*HFC!BE62+char!$C$8*PFC!BE62</f>
        <v>0</v>
      </c>
      <c r="BF62" s="164">
        <f>+'CO2'!BF62+char!$C$4*N2O!BF62+char!$C$5*SF6_NF3!BF62+char!$C$6*'CH4'!BF62+char!$C$7*HFC!BF62+char!$C$8*PFC!BF62</f>
        <v>89.5328467657</v>
      </c>
      <c r="BG62" s="379"/>
      <c r="BH62" s="223"/>
      <c r="BI62" s="184"/>
      <c r="CJ62" s="150"/>
      <c r="CK62" s="150"/>
      <c r="CL62" s="150"/>
      <c r="CM62" s="151" t="s">
        <v>974</v>
      </c>
      <c r="CN62" s="150" t="s">
        <v>1130</v>
      </c>
      <c r="CO62" s="150"/>
      <c r="CP62" s="150"/>
      <c r="CQ62" s="150"/>
      <c r="CR62" s="150"/>
      <c r="CS62" s="150"/>
      <c r="CT62" s="150"/>
    </row>
    <row r="63" spans="1:98" s="11" customFormat="1" ht="12.75" customHeight="1">
      <c r="A63" s="310"/>
      <c r="B63" s="308" t="str">
        <f>Parameters!Q62</f>
        <v>L68A</v>
      </c>
      <c r="C63" s="309"/>
      <c r="D63" s="508" t="str">
        <f>Parameters!S62</f>
        <v>Imputed rents of owner-occupied dwellings</v>
      </c>
      <c r="E63" s="509"/>
      <c r="F63" s="229"/>
      <c r="G63" s="379"/>
      <c r="H63" s="230"/>
      <c r="I63" s="379"/>
      <c r="J63" s="230"/>
      <c r="K63" s="379"/>
      <c r="L63" s="230"/>
      <c r="M63" s="379"/>
      <c r="N63" s="230"/>
      <c r="O63" s="379"/>
      <c r="P63" s="230"/>
      <c r="Q63" s="379"/>
      <c r="R63" s="230"/>
      <c r="S63" s="379"/>
      <c r="T63" s="230"/>
      <c r="U63" s="379"/>
      <c r="V63" s="230"/>
      <c r="W63" s="379"/>
      <c r="X63" s="230"/>
      <c r="Y63" s="379"/>
      <c r="Z63" s="230"/>
      <c r="AA63" s="379"/>
      <c r="AB63" s="230"/>
      <c r="AC63" s="379"/>
      <c r="AD63" s="230"/>
      <c r="AE63" s="379"/>
      <c r="AF63" s="168">
        <f>+'CO2'!AF63+char!$C$4*N2O!AF63+char!$C$5*SF6_NF3!AF63+char!$C$6*'CH4'!AF63+char!$C$7*HFC!AF63+char!$C$8*PFC!AF63</f>
        <v>113.81627499379999</v>
      </c>
      <c r="AG63" s="379">
        <f>+'CO2'!AG63+char!$C$4*N2O!AG63+char!$C$5*SF6_NF3!AG63+char!$C$6*'CH4'!AG63+char!$C$7*HFC!AG63+char!$C$8*PFC!AG63</f>
        <v>0</v>
      </c>
      <c r="AH63" s="168">
        <f>+'CO2'!AH63+char!$C$4*N2O!AH63+char!$C$5*SF6_NF3!AH63+char!$C$6*'CH4'!AH63+char!$C$7*HFC!AH63+char!$C$8*PFC!AH63</f>
        <v>127.10121624</v>
      </c>
      <c r="AI63" s="379">
        <f>+'CO2'!AI63+char!$C$4*N2O!AI63+char!$C$5*SF6_NF3!AI63+char!$C$6*'CH4'!AI63+char!$C$7*HFC!AI63+char!$C$8*PFC!AI63</f>
        <v>0</v>
      </c>
      <c r="AJ63" s="168">
        <f>+'CO2'!AJ63+char!$C$4*N2O!AJ63+char!$C$5*SF6_NF3!AJ63+char!$C$6*'CH4'!AJ63+char!$C$7*HFC!AJ63+char!$C$8*PFC!AJ63</f>
        <v>197.57717567690003</v>
      </c>
      <c r="AK63" s="379">
        <f>+'CO2'!AK63+char!$C$4*N2O!AK63+char!$C$5*SF6_NF3!AK63+char!$C$6*'CH4'!AK63+char!$C$7*HFC!AK63+char!$C$8*PFC!AK63</f>
        <v>0</v>
      </c>
      <c r="AL63" s="168">
        <f>+'CO2'!AL63+char!$C$4*N2O!AL63+char!$C$5*SF6_NF3!AL63+char!$C$6*'CH4'!AL63+char!$C$7*HFC!AL63+char!$C$8*PFC!AL63</f>
        <v>149.3630924199</v>
      </c>
      <c r="AM63" s="379">
        <f>+'CO2'!AM63+char!$C$4*N2O!AM63+char!$C$5*SF6_NF3!AM63+char!$C$6*'CH4'!AM63+char!$C$7*HFC!AM63+char!$C$8*PFC!AM63</f>
        <v>0</v>
      </c>
      <c r="AN63" s="168">
        <f>+'CO2'!AN63+char!$C$4*N2O!AN63+char!$C$5*SF6_NF3!AN63+char!$C$6*'CH4'!AN63+char!$C$7*HFC!AN63+char!$C$8*PFC!AN63</f>
        <v>124.14889421469999</v>
      </c>
      <c r="AO63" s="379">
        <f>+'CO2'!AO63+char!$C$4*N2O!AO63+char!$C$5*SF6_NF3!AO63+char!$C$6*'CH4'!AO63+char!$C$7*HFC!AO63+char!$C$8*PFC!AO63</f>
        <v>0</v>
      </c>
      <c r="AP63" s="168">
        <f>+'CO2'!AP63+char!$C$4*N2O!AP63+char!$C$5*SF6_NF3!AP63+char!$C$6*'CH4'!AP63+char!$C$7*HFC!AP63+char!$C$8*PFC!AP63</f>
        <v>145.95491308769999</v>
      </c>
      <c r="AQ63" s="379">
        <f>+'CO2'!AQ63+char!$C$4*N2O!AQ63+char!$C$5*SF6_NF3!AQ63+char!$C$6*'CH4'!AQ63+char!$C$7*HFC!AQ63+char!$C$8*PFC!AQ63</f>
        <v>0</v>
      </c>
      <c r="AR63" s="168">
        <f>+'CO2'!AR63+char!$C$4*N2O!AR63+char!$C$5*SF6_NF3!AR63+char!$C$6*'CH4'!AR63+char!$C$7*HFC!AR63+char!$C$8*PFC!AR63</f>
        <v>119.4844220622</v>
      </c>
      <c r="AS63" s="379">
        <f>+'CO2'!AS63+char!$C$4*N2O!AS63+char!$C$5*SF6_NF3!AS63+char!$C$6*'CH4'!AS63+char!$C$7*HFC!AS63+char!$C$8*PFC!AS63</f>
        <v>0</v>
      </c>
      <c r="AT63" s="168">
        <f>+'CO2'!AT63+char!$C$4*N2O!AT63+char!$C$5*SF6_NF3!AT63+char!$C$6*'CH4'!AT63+char!$C$7*HFC!AT63+char!$C$8*PFC!AT63</f>
        <v>115.0185607164</v>
      </c>
      <c r="AU63" s="379">
        <f>+'CO2'!AU63+char!$C$4*N2O!AU63+char!$C$5*SF6_NF3!AU63+char!$C$6*'CH4'!AU63+char!$C$7*HFC!AU63+char!$C$8*PFC!AU63</f>
        <v>0</v>
      </c>
      <c r="AV63" s="168">
        <f>+'CO2'!AV63+char!$C$4*N2O!AV63+char!$C$5*SF6_NF3!AV63+char!$C$6*'CH4'!AV63+char!$C$7*HFC!AV63+char!$C$8*PFC!AV63</f>
        <v>119.6813931601</v>
      </c>
      <c r="AW63" s="379">
        <f>+'CO2'!AW63+char!$C$4*N2O!AW63+char!$C$5*SF6_NF3!AW63+char!$C$6*'CH4'!AW63+char!$C$7*HFC!AW63+char!$C$8*PFC!AW63</f>
        <v>0</v>
      </c>
      <c r="AX63" s="168">
        <f>+'CO2'!AX63+char!$C$4*N2O!AX63+char!$C$5*SF6_NF3!AX63+char!$C$6*'CH4'!AX63+char!$C$7*HFC!AX63+char!$C$8*PFC!AX63</f>
        <v>105.04492990029999</v>
      </c>
      <c r="AY63" s="379">
        <f>+'CO2'!AY63+char!$C$4*N2O!AY63+char!$C$5*SF6_NF3!AY63+char!$C$6*'CH4'!AY63+char!$C$7*HFC!AY63+char!$C$8*PFC!AY63</f>
        <v>0</v>
      </c>
      <c r="AZ63" s="168">
        <f>+'CO2'!AZ63+char!$C$4*N2O!AZ63+char!$C$5*SF6_NF3!AZ63+char!$C$6*'CH4'!AZ63+char!$C$7*HFC!AZ63+char!$C$8*PFC!AZ63</f>
        <v>138.9247671295</v>
      </c>
      <c r="BA63" s="379">
        <f>+'CO2'!BA63+char!$C$4*N2O!BA63+char!$C$5*SF6_NF3!BA63+char!$C$6*'CH4'!BA63+char!$C$7*HFC!BA63+char!$C$8*PFC!BA63</f>
        <v>0</v>
      </c>
      <c r="BB63" s="168">
        <f>+'CO2'!BB63+char!$C$4*N2O!BB63+char!$C$5*SF6_NF3!BB63+char!$C$6*'CH4'!BB63+char!$C$7*HFC!BB63+char!$C$8*PFC!BB63</f>
        <v>90.246850455400008</v>
      </c>
      <c r="BC63" s="379">
        <f>+'CO2'!BC63+char!$C$4*N2O!BC63+char!$C$5*SF6_NF3!BC63+char!$C$6*'CH4'!BC63+char!$C$7*HFC!BC63+char!$C$8*PFC!BC63</f>
        <v>0</v>
      </c>
      <c r="BD63" s="168">
        <f>+'CO2'!BD63+char!$C$4*N2O!BD63+char!$C$5*SF6_NF3!BD63+char!$C$6*'CH4'!BD63+char!$C$7*HFC!BD63+char!$C$8*PFC!BD63</f>
        <v>86.850879773599999</v>
      </c>
      <c r="BE63" s="379">
        <f>+'CO2'!BE63+char!$C$4*N2O!BE63+char!$C$5*SF6_NF3!BE63+char!$C$6*'CH4'!BE63+char!$C$7*HFC!BE63+char!$C$8*PFC!BE63</f>
        <v>0</v>
      </c>
      <c r="BF63" s="168">
        <f>+'CO2'!BF63+char!$C$4*N2O!BF63+char!$C$5*SF6_NF3!BF63+char!$C$6*'CH4'!BF63+char!$C$7*HFC!BF63+char!$C$8*PFC!BF63</f>
        <v>89.5328467657</v>
      </c>
      <c r="BG63" s="379"/>
      <c r="BH63" s="230"/>
      <c r="BI63" s="184"/>
      <c r="CJ63" s="150"/>
      <c r="CK63" s="150"/>
      <c r="CL63" s="150"/>
      <c r="CM63" s="151" t="s">
        <v>981</v>
      </c>
      <c r="CN63" s="150" t="s">
        <v>1130</v>
      </c>
      <c r="CO63" s="150"/>
      <c r="CP63" s="150"/>
      <c r="CQ63" s="150"/>
      <c r="CR63" s="150"/>
      <c r="CS63" s="150"/>
      <c r="CT63" s="150"/>
    </row>
    <row r="64" spans="1:98" s="11" customFormat="1" ht="12.75" customHeight="1">
      <c r="A64" s="25"/>
      <c r="B64" s="87" t="str">
        <f>Parameters!Q63</f>
        <v>M</v>
      </c>
      <c r="C64" s="88"/>
      <c r="D64" s="498" t="str">
        <f>Parameters!S63</f>
        <v>Professional, scientific and technical activities</v>
      </c>
      <c r="E64" s="499"/>
      <c r="F64" s="222"/>
      <c r="G64" s="379"/>
      <c r="H64" s="223"/>
      <c r="I64" s="379"/>
      <c r="J64" s="223"/>
      <c r="K64" s="379"/>
      <c r="L64" s="223"/>
      <c r="M64" s="379"/>
      <c r="N64" s="223"/>
      <c r="O64" s="379"/>
      <c r="P64" s="223"/>
      <c r="Q64" s="379"/>
      <c r="R64" s="223"/>
      <c r="S64" s="379"/>
      <c r="T64" s="223"/>
      <c r="U64" s="379"/>
      <c r="V64" s="223"/>
      <c r="W64" s="379"/>
      <c r="X64" s="223"/>
      <c r="Y64" s="379"/>
      <c r="Z64" s="223"/>
      <c r="AA64" s="379"/>
      <c r="AB64" s="223"/>
      <c r="AC64" s="379"/>
      <c r="AD64" s="223"/>
      <c r="AE64" s="379"/>
      <c r="AF64" s="164">
        <f>+'CO2'!AF64+char!$C$4*N2O!AF64+char!$C$5*SF6_NF3!AF64+char!$C$6*'CH4'!AF64+char!$C$7*HFC!AF64+char!$C$8*PFC!AF64</f>
        <v>113.52540793220001</v>
      </c>
      <c r="AG64" s="379">
        <f>+'CO2'!AG64+char!$C$4*N2O!AG64+char!$C$5*SF6_NF3!AG64+char!$C$6*'CH4'!AG64+char!$C$7*HFC!AG64+char!$C$8*PFC!AG64</f>
        <v>0</v>
      </c>
      <c r="AH64" s="164">
        <f>+'CO2'!AH64+char!$C$4*N2O!AH64+char!$C$5*SF6_NF3!AH64+char!$C$6*'CH4'!AH64+char!$C$7*HFC!AH64+char!$C$8*PFC!AH64</f>
        <v>117.17581017330001</v>
      </c>
      <c r="AI64" s="379">
        <f>+'CO2'!AI64+char!$C$4*N2O!AI64+char!$C$5*SF6_NF3!AI64+char!$C$6*'CH4'!AI64+char!$C$7*HFC!AI64+char!$C$8*PFC!AI64</f>
        <v>0</v>
      </c>
      <c r="AJ64" s="164">
        <f>+'CO2'!AJ64+char!$C$4*N2O!AJ64+char!$C$5*SF6_NF3!AJ64+char!$C$6*'CH4'!AJ64+char!$C$7*HFC!AJ64+char!$C$8*PFC!AJ64</f>
        <v>129.59922428580001</v>
      </c>
      <c r="AK64" s="379">
        <f>+'CO2'!AK64+char!$C$4*N2O!AK64+char!$C$5*SF6_NF3!AK64+char!$C$6*'CH4'!AK64+char!$C$7*HFC!AK64+char!$C$8*PFC!AK64</f>
        <v>0</v>
      </c>
      <c r="AL64" s="164">
        <f>+'CO2'!AL64+char!$C$4*N2O!AL64+char!$C$5*SF6_NF3!AL64+char!$C$6*'CH4'!AL64+char!$C$7*HFC!AL64+char!$C$8*PFC!AL64</f>
        <v>143.45768999360001</v>
      </c>
      <c r="AM64" s="379">
        <f>+'CO2'!AM64+char!$C$4*N2O!AM64+char!$C$5*SF6_NF3!AM64+char!$C$6*'CH4'!AM64+char!$C$7*HFC!AM64+char!$C$8*PFC!AM64</f>
        <v>0</v>
      </c>
      <c r="AN64" s="164">
        <f>+'CO2'!AN64+char!$C$4*N2O!AN64+char!$C$5*SF6_NF3!AN64+char!$C$6*'CH4'!AN64+char!$C$7*HFC!AN64+char!$C$8*PFC!AN64</f>
        <v>148.32961450660002</v>
      </c>
      <c r="AO64" s="379">
        <f>+'CO2'!AO64+char!$C$4*N2O!AO64+char!$C$5*SF6_NF3!AO64+char!$C$6*'CH4'!AO64+char!$C$7*HFC!AO64+char!$C$8*PFC!AO64</f>
        <v>0</v>
      </c>
      <c r="AP64" s="164">
        <f>+'CO2'!AP64+char!$C$4*N2O!AP64+char!$C$5*SF6_NF3!AP64+char!$C$6*'CH4'!AP64+char!$C$7*HFC!AP64+char!$C$8*PFC!AP64</f>
        <v>162.78261789309997</v>
      </c>
      <c r="AQ64" s="379">
        <f>+'CO2'!AQ64+char!$C$4*N2O!AQ64+char!$C$5*SF6_NF3!AQ64+char!$C$6*'CH4'!AQ64+char!$C$7*HFC!AQ64+char!$C$8*PFC!AQ64</f>
        <v>0</v>
      </c>
      <c r="AR64" s="164">
        <f>+'CO2'!AR64+char!$C$4*N2O!AR64+char!$C$5*SF6_NF3!AR64+char!$C$6*'CH4'!AR64+char!$C$7*HFC!AR64+char!$C$8*PFC!AR64</f>
        <v>143.52549387890002</v>
      </c>
      <c r="AS64" s="379">
        <f>+'CO2'!AS64+char!$C$4*N2O!AS64+char!$C$5*SF6_NF3!AS64+char!$C$6*'CH4'!AS64+char!$C$7*HFC!AS64+char!$C$8*PFC!AS64</f>
        <v>0</v>
      </c>
      <c r="AT64" s="164">
        <f>+'CO2'!AT64+char!$C$4*N2O!AT64+char!$C$5*SF6_NF3!AT64+char!$C$6*'CH4'!AT64+char!$C$7*HFC!AT64+char!$C$8*PFC!AT64</f>
        <v>126.6882594432</v>
      </c>
      <c r="AU64" s="379">
        <f>+'CO2'!AU64+char!$C$4*N2O!AU64+char!$C$5*SF6_NF3!AU64+char!$C$6*'CH4'!AU64+char!$C$7*HFC!AU64+char!$C$8*PFC!AU64</f>
        <v>0</v>
      </c>
      <c r="AV64" s="164">
        <f>+'CO2'!AV64+char!$C$4*N2O!AV64+char!$C$5*SF6_NF3!AV64+char!$C$6*'CH4'!AV64+char!$C$7*HFC!AV64+char!$C$8*PFC!AV64</f>
        <v>115.40701887359999</v>
      </c>
      <c r="AW64" s="379">
        <f>+'CO2'!AW64+char!$C$4*N2O!AW64+char!$C$5*SF6_NF3!AW64+char!$C$6*'CH4'!AW64+char!$C$7*HFC!AW64+char!$C$8*PFC!AW64</f>
        <v>0</v>
      </c>
      <c r="AX64" s="164">
        <f>+'CO2'!AX64+char!$C$4*N2O!AX64+char!$C$5*SF6_NF3!AX64+char!$C$6*'CH4'!AX64+char!$C$7*HFC!AX64+char!$C$8*PFC!AX64</f>
        <v>111.2438474585</v>
      </c>
      <c r="AY64" s="379" t="e">
        <f>+'CO2'!AY64+char!$C$4*N2O!AY64+char!$C$5*SF6_NF3!AY64+char!$C$6*'CH4'!AY64+char!$C$7*HFC!AY64+char!$C$8*PFC!AY64</f>
        <v>#VALUE!</v>
      </c>
      <c r="AZ64" s="164">
        <f>+'CO2'!AZ64+char!$C$4*N2O!AZ64+char!$C$5*SF6_NF3!AZ64+char!$C$6*'CH4'!AZ64+char!$C$7*HFC!AZ64+char!$C$8*PFC!AZ64</f>
        <v>102.8417836748</v>
      </c>
      <c r="BA64" s="379" t="e">
        <f>+'CO2'!BA64+char!$C$4*N2O!BA64+char!$C$5*SF6_NF3!BA64+char!$C$6*'CH4'!BA64+char!$C$7*HFC!BA64+char!$C$8*PFC!BA64</f>
        <v>#VALUE!</v>
      </c>
      <c r="BB64" s="164">
        <f>+'CO2'!BB64+char!$C$4*N2O!BB64+char!$C$5*SF6_NF3!BB64+char!$C$6*'CH4'!BB64+char!$C$7*HFC!BB64+char!$C$8*PFC!BB64</f>
        <v>82.421392689800001</v>
      </c>
      <c r="BC64" s="379">
        <f>+'CO2'!BC64+char!$C$4*N2O!BC64+char!$C$5*SF6_NF3!BC64+char!$C$6*'CH4'!BC64+char!$C$7*HFC!BC64+char!$C$8*PFC!BC64</f>
        <v>0</v>
      </c>
      <c r="BD64" s="164">
        <f>+'CO2'!BD64+char!$C$4*N2O!BD64+char!$C$5*SF6_NF3!BD64+char!$C$6*'CH4'!BD64+char!$C$7*HFC!BD64+char!$C$8*PFC!BD64</f>
        <v>74.601160372300001</v>
      </c>
      <c r="BE64" s="379">
        <f>+'CO2'!BE64+char!$C$4*N2O!BE64+char!$C$5*SF6_NF3!BE64+char!$C$6*'CH4'!BE64+char!$C$7*HFC!BE64+char!$C$8*PFC!BE64</f>
        <v>0</v>
      </c>
      <c r="BF64" s="164">
        <f>+'CO2'!BF64+char!$C$4*N2O!BF64+char!$C$5*SF6_NF3!BF64+char!$C$6*'CH4'!BF64+char!$C$7*HFC!BF64+char!$C$8*PFC!BF64</f>
        <v>94.806405765700006</v>
      </c>
      <c r="BG64" s="379"/>
      <c r="BH64" s="223"/>
      <c r="BI64" s="184"/>
      <c r="CJ64" s="150"/>
      <c r="CK64" s="150"/>
      <c r="CL64" s="150"/>
      <c r="CM64" s="151" t="s">
        <v>988</v>
      </c>
      <c r="CN64" s="150" t="s">
        <v>1130</v>
      </c>
      <c r="CO64" s="150"/>
      <c r="CP64" s="150"/>
      <c r="CQ64" s="150"/>
      <c r="CR64" s="150"/>
      <c r="CS64" s="150"/>
      <c r="CT64" s="150"/>
    </row>
    <row r="65" spans="1:98" s="11" customFormat="1" ht="26.25" customHeight="1">
      <c r="A65" s="26"/>
      <c r="B65" s="89" t="str">
        <f>Parameters!Q64</f>
        <v>M69-M71</v>
      </c>
      <c r="C65" s="90"/>
      <c r="D65" s="504" t="str">
        <f>Parameters!S64</f>
        <v>Legal and accounting activities; activities of head offices; management consultancy activities; architectural and engineering activities; technical testing and analysis</v>
      </c>
      <c r="E65" s="506"/>
      <c r="F65" s="252"/>
      <c r="G65" s="380"/>
      <c r="H65" s="253"/>
      <c r="I65" s="380"/>
      <c r="J65" s="253"/>
      <c r="K65" s="380"/>
      <c r="L65" s="253"/>
      <c r="M65" s="380"/>
      <c r="N65" s="253"/>
      <c r="O65" s="380"/>
      <c r="P65" s="253"/>
      <c r="Q65" s="380"/>
      <c r="R65" s="253"/>
      <c r="S65" s="380"/>
      <c r="T65" s="253"/>
      <c r="U65" s="380"/>
      <c r="V65" s="253"/>
      <c r="W65" s="380"/>
      <c r="X65" s="253"/>
      <c r="Y65" s="380"/>
      <c r="Z65" s="253"/>
      <c r="AA65" s="380"/>
      <c r="AB65" s="253"/>
      <c r="AC65" s="380"/>
      <c r="AD65" s="253"/>
      <c r="AE65" s="380"/>
      <c r="AF65" s="253">
        <f>+'CO2'!AF65+char!$C$4*N2O!AF65+char!$C$5*SF6_NF3!AF65+char!$C$6*'CH4'!AF65+char!$C$7*HFC!AF65+char!$C$8*PFC!AF65</f>
        <v>0</v>
      </c>
      <c r="AG65" s="380">
        <f>+'CO2'!AG65+char!$C$4*N2O!AG65+char!$C$5*SF6_NF3!AG65+char!$C$6*'CH4'!AG65+char!$C$7*HFC!AG65+char!$C$8*PFC!AG65</f>
        <v>0</v>
      </c>
      <c r="AH65" s="253">
        <f>+'CO2'!AH65+char!$C$4*N2O!AH65+char!$C$5*SF6_NF3!AH65+char!$C$6*'CH4'!AH65+char!$C$7*HFC!AH65+char!$C$8*PFC!AH65</f>
        <v>0</v>
      </c>
      <c r="AI65" s="380">
        <f>+'CO2'!AI65+char!$C$4*N2O!AI65+char!$C$5*SF6_NF3!AI65+char!$C$6*'CH4'!AI65+char!$C$7*HFC!AI65+char!$C$8*PFC!AI65</f>
        <v>0</v>
      </c>
      <c r="AJ65" s="253">
        <f>+'CO2'!AJ65+char!$C$4*N2O!AJ65+char!$C$5*SF6_NF3!AJ65+char!$C$6*'CH4'!AJ65+char!$C$7*HFC!AJ65+char!$C$8*PFC!AJ65</f>
        <v>0</v>
      </c>
      <c r="AK65" s="380">
        <f>+'CO2'!AK65+char!$C$4*N2O!AK65+char!$C$5*SF6_NF3!AK65+char!$C$6*'CH4'!AK65+char!$C$7*HFC!AK65+char!$C$8*PFC!AK65</f>
        <v>0</v>
      </c>
      <c r="AL65" s="253">
        <f>+'CO2'!AL65+char!$C$4*N2O!AL65+char!$C$5*SF6_NF3!AL65+char!$C$6*'CH4'!AL65+char!$C$7*HFC!AL65+char!$C$8*PFC!AL65</f>
        <v>0</v>
      </c>
      <c r="AM65" s="380">
        <f>+'CO2'!AM65+char!$C$4*N2O!AM65+char!$C$5*SF6_NF3!AM65+char!$C$6*'CH4'!AM65+char!$C$7*HFC!AM65+char!$C$8*PFC!AM65</f>
        <v>0</v>
      </c>
      <c r="AN65" s="253">
        <f>+'CO2'!AN65+char!$C$4*N2O!AN65+char!$C$5*SF6_NF3!AN65+char!$C$6*'CH4'!AN65+char!$C$7*HFC!AN65+char!$C$8*PFC!AN65</f>
        <v>0</v>
      </c>
      <c r="AO65" s="380">
        <f>+'CO2'!AO65+char!$C$4*N2O!AO65+char!$C$5*SF6_NF3!AO65+char!$C$6*'CH4'!AO65+char!$C$7*HFC!AO65+char!$C$8*PFC!AO65</f>
        <v>0</v>
      </c>
      <c r="AP65" s="253">
        <f>+'CO2'!AP65+char!$C$4*N2O!AP65+char!$C$5*SF6_NF3!AP65+char!$C$6*'CH4'!AP65+char!$C$7*HFC!AP65+char!$C$8*PFC!AP65</f>
        <v>0</v>
      </c>
      <c r="AQ65" s="380">
        <f>+'CO2'!AQ65+char!$C$4*N2O!AQ65+char!$C$5*SF6_NF3!AQ65+char!$C$6*'CH4'!AQ65+char!$C$7*HFC!AQ65+char!$C$8*PFC!AQ65</f>
        <v>0</v>
      </c>
      <c r="AR65" s="253">
        <f>+'CO2'!AR65+char!$C$4*N2O!AR65+char!$C$5*SF6_NF3!AR65+char!$C$6*'CH4'!AR65+char!$C$7*HFC!AR65+char!$C$8*PFC!AR65</f>
        <v>0</v>
      </c>
      <c r="AS65" s="380">
        <f>+'CO2'!AS65+char!$C$4*N2O!AS65+char!$C$5*SF6_NF3!AS65+char!$C$6*'CH4'!AS65+char!$C$7*HFC!AS65+char!$C$8*PFC!AS65</f>
        <v>0</v>
      </c>
      <c r="AT65" s="253">
        <f>+'CO2'!AT65+char!$C$4*N2O!AT65+char!$C$5*SF6_NF3!AT65+char!$C$6*'CH4'!AT65+char!$C$7*HFC!AT65+char!$C$8*PFC!AT65</f>
        <v>0</v>
      </c>
      <c r="AU65" s="380">
        <f>+'CO2'!AU65+char!$C$4*N2O!AU65+char!$C$5*SF6_NF3!AU65+char!$C$6*'CH4'!AU65+char!$C$7*HFC!AU65+char!$C$8*PFC!AU65</f>
        <v>0</v>
      </c>
      <c r="AV65" s="253">
        <f>+'CO2'!AV65+char!$C$4*N2O!AV65+char!$C$5*SF6_NF3!AV65+char!$C$6*'CH4'!AV65+char!$C$7*HFC!AV65+char!$C$8*PFC!AV65</f>
        <v>0</v>
      </c>
      <c r="AW65" s="380">
        <f>+'CO2'!AW65+char!$C$4*N2O!AW65+char!$C$5*SF6_NF3!AW65+char!$C$6*'CH4'!AW65+char!$C$7*HFC!AW65+char!$C$8*PFC!AW65</f>
        <v>0</v>
      </c>
      <c r="AX65" s="253">
        <f>+'CO2'!AX65+char!$C$4*N2O!AX65+char!$C$5*SF6_NF3!AX65+char!$C$6*'CH4'!AX65+char!$C$7*HFC!AX65+char!$C$8*PFC!AX65</f>
        <v>0</v>
      </c>
      <c r="AY65" s="380">
        <f>+'CO2'!AY65+char!$C$4*N2O!AY65+char!$C$5*SF6_NF3!AY65+char!$C$6*'CH4'!AY65+char!$C$7*HFC!AY65+char!$C$8*PFC!AY65</f>
        <v>0</v>
      </c>
      <c r="AZ65" s="253">
        <f>+'CO2'!AZ65+char!$C$4*N2O!AZ65+char!$C$5*SF6_NF3!AZ65+char!$C$6*'CH4'!AZ65+char!$C$7*HFC!AZ65+char!$C$8*PFC!AZ65</f>
        <v>0</v>
      </c>
      <c r="BA65" s="380">
        <f>+'CO2'!BA65+char!$C$4*N2O!BA65+char!$C$5*SF6_NF3!BA65+char!$C$6*'CH4'!BA65+char!$C$7*HFC!BA65+char!$C$8*PFC!BA65</f>
        <v>0</v>
      </c>
      <c r="BB65" s="253">
        <f>+'CO2'!BB65+char!$C$4*N2O!BB65+char!$C$5*SF6_NF3!BB65+char!$C$6*'CH4'!BB65+char!$C$7*HFC!BB65+char!$C$8*PFC!BB65</f>
        <v>0</v>
      </c>
      <c r="BC65" s="380">
        <f>+'CO2'!BC65+char!$C$4*N2O!BC65+char!$C$5*SF6_NF3!BC65+char!$C$6*'CH4'!BC65+char!$C$7*HFC!BC65+char!$C$8*PFC!BC65</f>
        <v>0</v>
      </c>
      <c r="BD65" s="253">
        <f>+'CO2'!BD65+char!$C$4*N2O!BD65+char!$C$5*SF6_NF3!BD65+char!$C$6*'CH4'!BD65+char!$C$7*HFC!BD65+char!$C$8*PFC!BD65</f>
        <v>0</v>
      </c>
      <c r="BE65" s="380">
        <f>+'CO2'!BE65+char!$C$4*N2O!BE65+char!$C$5*SF6_NF3!BE65+char!$C$6*'CH4'!BE65+char!$C$7*HFC!BE65+char!$C$8*PFC!BE65</f>
        <v>0</v>
      </c>
      <c r="BF65" s="253">
        <f>+'CO2'!BF65+char!$C$4*N2O!BF65+char!$C$5*SF6_NF3!BF65+char!$C$6*'CH4'!BF65+char!$C$7*HFC!BF65+char!$C$8*PFC!BF65</f>
        <v>0</v>
      </c>
      <c r="BG65" s="380"/>
      <c r="BH65" s="253"/>
      <c r="BI65" s="254"/>
      <c r="CJ65" s="150"/>
      <c r="CK65" s="150"/>
      <c r="CL65" s="150"/>
      <c r="CM65" s="151"/>
      <c r="CN65" s="150"/>
      <c r="CO65" s="150"/>
      <c r="CP65" s="150"/>
      <c r="CQ65" s="150"/>
      <c r="CR65" s="150"/>
      <c r="CS65" s="150"/>
      <c r="CT65" s="150"/>
    </row>
    <row r="66" spans="1:98" s="10" customFormat="1">
      <c r="A66" s="310"/>
      <c r="B66" s="308" t="str">
        <f>Parameters!Q65</f>
        <v>M69_M70</v>
      </c>
      <c r="C66" s="309"/>
      <c r="D66" s="495" t="str">
        <f>Parameters!S65</f>
        <v>Legal and accounting activities; activities of head offices; management consultancy activities</v>
      </c>
      <c r="E66" s="496"/>
      <c r="F66" s="224"/>
      <c r="G66" s="379"/>
      <c r="H66" s="225"/>
      <c r="I66" s="379"/>
      <c r="J66" s="225"/>
      <c r="K66" s="379"/>
      <c r="L66" s="225"/>
      <c r="M66" s="379"/>
      <c r="N66" s="225"/>
      <c r="O66" s="379"/>
      <c r="P66" s="225"/>
      <c r="Q66" s="379"/>
      <c r="R66" s="225"/>
      <c r="S66" s="379"/>
      <c r="T66" s="225"/>
      <c r="U66" s="379"/>
      <c r="V66" s="225"/>
      <c r="W66" s="379"/>
      <c r="X66" s="225"/>
      <c r="Y66" s="379"/>
      <c r="Z66" s="225"/>
      <c r="AA66" s="379"/>
      <c r="AB66" s="225"/>
      <c r="AC66" s="379"/>
      <c r="AD66" s="225"/>
      <c r="AE66" s="379"/>
      <c r="AF66" s="165">
        <f>+'CO2'!AF66+char!$C$4*N2O!AF66+char!$C$5*SF6_NF3!AF66+char!$C$6*'CH4'!AF66+char!$C$7*HFC!AF66+char!$C$8*PFC!AF66</f>
        <v>26.399686662399997</v>
      </c>
      <c r="AG66" s="379">
        <f>+'CO2'!AG66+char!$C$4*N2O!AG66+char!$C$5*SF6_NF3!AG66+char!$C$6*'CH4'!AG66+char!$C$7*HFC!AG66+char!$C$8*PFC!AG66</f>
        <v>0</v>
      </c>
      <c r="AH66" s="165">
        <f>+'CO2'!AH66+char!$C$4*N2O!AH66+char!$C$5*SF6_NF3!AH66+char!$C$6*'CH4'!AH66+char!$C$7*HFC!AH66+char!$C$8*PFC!AH66</f>
        <v>25.422898977600003</v>
      </c>
      <c r="AI66" s="379">
        <f>+'CO2'!AI66+char!$C$4*N2O!AI66+char!$C$5*SF6_NF3!AI66+char!$C$6*'CH4'!AI66+char!$C$7*HFC!AI66+char!$C$8*PFC!AI66</f>
        <v>0</v>
      </c>
      <c r="AJ66" s="165">
        <f>+'CO2'!AJ66+char!$C$4*N2O!AJ66+char!$C$5*SF6_NF3!AJ66+char!$C$6*'CH4'!AJ66+char!$C$7*HFC!AJ66+char!$C$8*PFC!AJ66</f>
        <v>31.125411831300003</v>
      </c>
      <c r="AK66" s="379">
        <f>+'CO2'!AK66+char!$C$4*N2O!AK66+char!$C$5*SF6_NF3!AK66+char!$C$6*'CH4'!AK66+char!$C$7*HFC!AK66+char!$C$8*PFC!AK66</f>
        <v>0</v>
      </c>
      <c r="AL66" s="165">
        <f>+'CO2'!AL66+char!$C$4*N2O!AL66+char!$C$5*SF6_NF3!AL66+char!$C$6*'CH4'!AL66+char!$C$7*HFC!AL66+char!$C$8*PFC!AL66</f>
        <v>31.769898938200001</v>
      </c>
      <c r="AM66" s="379">
        <f>+'CO2'!AM66+char!$C$4*N2O!AM66+char!$C$5*SF6_NF3!AM66+char!$C$6*'CH4'!AM66+char!$C$7*HFC!AM66+char!$C$8*PFC!AM66</f>
        <v>0</v>
      </c>
      <c r="AN66" s="165">
        <f>+'CO2'!AN66+char!$C$4*N2O!AN66+char!$C$5*SF6_NF3!AN66+char!$C$6*'CH4'!AN66+char!$C$7*HFC!AN66+char!$C$8*PFC!AN66</f>
        <v>29.951075676799999</v>
      </c>
      <c r="AO66" s="379">
        <f>+'CO2'!AO66+char!$C$4*N2O!AO66+char!$C$5*SF6_NF3!AO66+char!$C$6*'CH4'!AO66+char!$C$7*HFC!AO66+char!$C$8*PFC!AO66</f>
        <v>0</v>
      </c>
      <c r="AP66" s="165">
        <f>+'CO2'!AP66+char!$C$4*N2O!AP66+char!$C$5*SF6_NF3!AP66+char!$C$6*'CH4'!AP66+char!$C$7*HFC!AP66+char!$C$8*PFC!AP66</f>
        <v>22.749724509100002</v>
      </c>
      <c r="AQ66" s="379">
        <f>+'CO2'!AQ66+char!$C$4*N2O!AQ66+char!$C$5*SF6_NF3!AQ66+char!$C$6*'CH4'!AQ66+char!$C$7*HFC!AQ66+char!$C$8*PFC!AQ66</f>
        <v>0</v>
      </c>
      <c r="AR66" s="165">
        <f>+'CO2'!AR66+char!$C$4*N2O!AR66+char!$C$5*SF6_NF3!AR66+char!$C$6*'CH4'!AR66+char!$C$7*HFC!AR66+char!$C$8*PFC!AR66</f>
        <v>20.232630134200001</v>
      </c>
      <c r="AS66" s="379">
        <f>+'CO2'!AS66+char!$C$4*N2O!AS66+char!$C$5*SF6_NF3!AS66+char!$C$6*'CH4'!AS66+char!$C$7*HFC!AS66+char!$C$8*PFC!AS66</f>
        <v>0</v>
      </c>
      <c r="AT66" s="165">
        <f>+'CO2'!AT66+char!$C$4*N2O!AT66+char!$C$5*SF6_NF3!AT66+char!$C$6*'CH4'!AT66+char!$C$7*HFC!AT66+char!$C$8*PFC!AT66</f>
        <v>21.748724968499999</v>
      </c>
      <c r="AU66" s="379">
        <f>+'CO2'!AU66+char!$C$4*N2O!AU66+char!$C$5*SF6_NF3!AU66+char!$C$6*'CH4'!AU66+char!$C$7*HFC!AU66+char!$C$8*PFC!AU66</f>
        <v>0</v>
      </c>
      <c r="AV66" s="165">
        <f>+'CO2'!AV66+char!$C$4*N2O!AV66+char!$C$5*SF6_NF3!AV66+char!$C$6*'CH4'!AV66+char!$C$7*HFC!AV66+char!$C$8*PFC!AV66</f>
        <v>18.0923169569</v>
      </c>
      <c r="AW66" s="379">
        <f>+'CO2'!AW66+char!$C$4*N2O!AW66+char!$C$5*SF6_NF3!AW66+char!$C$6*'CH4'!AW66+char!$C$7*HFC!AW66+char!$C$8*PFC!AW66</f>
        <v>0</v>
      </c>
      <c r="AX66" s="165">
        <f>+'CO2'!AX66+char!$C$4*N2O!AX66+char!$C$5*SF6_NF3!AX66+char!$C$6*'CH4'!AX66+char!$C$7*HFC!AX66+char!$C$8*PFC!AX66</f>
        <v>15.619703522700002</v>
      </c>
      <c r="AY66" s="379">
        <f>+'CO2'!AY66+char!$C$4*N2O!AY66+char!$C$5*SF6_NF3!AY66+char!$C$6*'CH4'!AY66+char!$C$7*HFC!AY66+char!$C$8*PFC!AY66</f>
        <v>0</v>
      </c>
      <c r="AZ66" s="165">
        <f>+'CO2'!AZ66+char!$C$4*N2O!AZ66+char!$C$5*SF6_NF3!AZ66+char!$C$6*'CH4'!AZ66+char!$C$7*HFC!AZ66+char!$C$8*PFC!AZ66</f>
        <v>17.4411339983</v>
      </c>
      <c r="BA66" s="379">
        <f>+'CO2'!BA66+char!$C$4*N2O!BA66+char!$C$5*SF6_NF3!BA66+char!$C$6*'CH4'!BA66+char!$C$7*HFC!BA66+char!$C$8*PFC!BA66</f>
        <v>0</v>
      </c>
      <c r="BB66" s="165">
        <f>+'CO2'!BB66+char!$C$4*N2O!BB66+char!$C$5*SF6_NF3!BB66+char!$C$6*'CH4'!BB66+char!$C$7*HFC!BB66+char!$C$8*PFC!BB66</f>
        <v>15.4127955935</v>
      </c>
      <c r="BC66" s="379">
        <f>+'CO2'!BC66+char!$C$4*N2O!BC66+char!$C$5*SF6_NF3!BC66+char!$C$6*'CH4'!BC66+char!$C$7*HFC!BC66+char!$C$8*PFC!BC66</f>
        <v>0</v>
      </c>
      <c r="BD66" s="165">
        <f>+'CO2'!BD66+char!$C$4*N2O!BD66+char!$C$5*SF6_NF3!BD66+char!$C$6*'CH4'!BD66+char!$C$7*HFC!BD66+char!$C$8*PFC!BD66</f>
        <v>12.240319173500001</v>
      </c>
      <c r="BE66" s="379">
        <f>+'CO2'!BE66+char!$C$4*N2O!BE66+char!$C$5*SF6_NF3!BE66+char!$C$6*'CH4'!BE66+char!$C$7*HFC!BE66+char!$C$8*PFC!BE66</f>
        <v>0</v>
      </c>
      <c r="BF66" s="165">
        <f>+'CO2'!BF66+char!$C$4*N2O!BF66+char!$C$5*SF6_NF3!BF66+char!$C$6*'CH4'!BF66+char!$C$7*HFC!BF66+char!$C$8*PFC!BF66</f>
        <v>14.7847889149</v>
      </c>
      <c r="BG66" s="379"/>
      <c r="BH66" s="225"/>
      <c r="BI66" s="184"/>
      <c r="CJ66" s="150"/>
      <c r="CK66" s="150"/>
      <c r="CL66" s="150"/>
      <c r="CM66" s="151" t="s">
        <v>1141</v>
      </c>
      <c r="CN66" s="150" t="s">
        <v>1130</v>
      </c>
      <c r="CO66" s="150"/>
      <c r="CP66" s="150"/>
      <c r="CQ66" s="150"/>
      <c r="CR66" s="150"/>
      <c r="CS66" s="150"/>
      <c r="CT66" s="150"/>
    </row>
    <row r="67" spans="1:98" s="10" customFormat="1" ht="12.75" customHeight="1">
      <c r="A67" s="310"/>
      <c r="B67" s="308" t="str">
        <f>Parameters!Q66</f>
        <v>M71</v>
      </c>
      <c r="C67" s="309"/>
      <c r="D67" s="495" t="str">
        <f>Parameters!S66</f>
        <v>Architectural and engineering activities; technical testing and analysis</v>
      </c>
      <c r="E67" s="496"/>
      <c r="F67" s="224"/>
      <c r="G67" s="379"/>
      <c r="H67" s="225"/>
      <c r="I67" s="379"/>
      <c r="J67" s="225"/>
      <c r="K67" s="379"/>
      <c r="L67" s="225"/>
      <c r="M67" s="379"/>
      <c r="N67" s="225"/>
      <c r="O67" s="379"/>
      <c r="P67" s="225"/>
      <c r="Q67" s="379"/>
      <c r="R67" s="225"/>
      <c r="S67" s="379"/>
      <c r="T67" s="225"/>
      <c r="U67" s="379"/>
      <c r="V67" s="225"/>
      <c r="W67" s="379"/>
      <c r="X67" s="225"/>
      <c r="Y67" s="379"/>
      <c r="Z67" s="225"/>
      <c r="AA67" s="379"/>
      <c r="AB67" s="225"/>
      <c r="AC67" s="379"/>
      <c r="AD67" s="225"/>
      <c r="AE67" s="379"/>
      <c r="AF67" s="165">
        <f>+'CO2'!AF67+char!$C$4*N2O!AF67+char!$C$5*SF6_NF3!AF67+char!$C$6*'CH4'!AF67+char!$C$7*HFC!AF67+char!$C$8*PFC!AF67</f>
        <v>52.724649650099998</v>
      </c>
      <c r="AG67" s="379">
        <f>+'CO2'!AG67+char!$C$4*N2O!AG67+char!$C$5*SF6_NF3!AG67+char!$C$6*'CH4'!AG67+char!$C$7*HFC!AG67+char!$C$8*PFC!AG67</f>
        <v>0</v>
      </c>
      <c r="AH67" s="165">
        <f>+'CO2'!AH67+char!$C$4*N2O!AH67+char!$C$5*SF6_NF3!AH67+char!$C$6*'CH4'!AH67+char!$C$7*HFC!AH67+char!$C$8*PFC!AH67</f>
        <v>56.899689969200004</v>
      </c>
      <c r="AI67" s="379">
        <f>+'CO2'!AI67+char!$C$4*N2O!AI67+char!$C$5*SF6_NF3!AI67+char!$C$6*'CH4'!AI67+char!$C$7*HFC!AI67+char!$C$8*PFC!AI67</f>
        <v>0</v>
      </c>
      <c r="AJ67" s="165">
        <f>+'CO2'!AJ67+char!$C$4*N2O!AJ67+char!$C$5*SF6_NF3!AJ67+char!$C$6*'CH4'!AJ67+char!$C$7*HFC!AJ67+char!$C$8*PFC!AJ67</f>
        <v>62.651719867499999</v>
      </c>
      <c r="AK67" s="379">
        <f>+'CO2'!AK67+char!$C$4*N2O!AK67+char!$C$5*SF6_NF3!AK67+char!$C$6*'CH4'!AK67+char!$C$7*HFC!AK67+char!$C$8*PFC!AK67</f>
        <v>0</v>
      </c>
      <c r="AL67" s="165">
        <f>+'CO2'!AL67+char!$C$4*N2O!AL67+char!$C$5*SF6_NF3!AL67+char!$C$6*'CH4'!AL67+char!$C$7*HFC!AL67+char!$C$8*PFC!AL67</f>
        <v>67.93516355029999</v>
      </c>
      <c r="AM67" s="379">
        <f>+'CO2'!AM67+char!$C$4*N2O!AM67+char!$C$5*SF6_NF3!AM67+char!$C$6*'CH4'!AM67+char!$C$7*HFC!AM67+char!$C$8*PFC!AM67</f>
        <v>0</v>
      </c>
      <c r="AN67" s="165">
        <f>+'CO2'!AN67+char!$C$4*N2O!AN67+char!$C$5*SF6_NF3!AN67+char!$C$6*'CH4'!AN67+char!$C$7*HFC!AN67+char!$C$8*PFC!AN67</f>
        <v>74.210964265700014</v>
      </c>
      <c r="AO67" s="379">
        <f>+'CO2'!AO67+char!$C$4*N2O!AO67+char!$C$5*SF6_NF3!AO67+char!$C$6*'CH4'!AO67+char!$C$7*HFC!AO67+char!$C$8*PFC!AO67</f>
        <v>0</v>
      </c>
      <c r="AP67" s="165">
        <f>+'CO2'!AP67+char!$C$4*N2O!AP67+char!$C$5*SF6_NF3!AP67+char!$C$6*'CH4'!AP67+char!$C$7*HFC!AP67+char!$C$8*PFC!AP67</f>
        <v>92.785297689099991</v>
      </c>
      <c r="AQ67" s="379">
        <f>+'CO2'!AQ67+char!$C$4*N2O!AQ67+char!$C$5*SF6_NF3!AQ67+char!$C$6*'CH4'!AQ67+char!$C$7*HFC!AQ67+char!$C$8*PFC!AQ67</f>
        <v>0</v>
      </c>
      <c r="AR67" s="165">
        <f>+'CO2'!AR67+char!$C$4*N2O!AR67+char!$C$5*SF6_NF3!AR67+char!$C$6*'CH4'!AR67+char!$C$7*HFC!AR67+char!$C$8*PFC!AR67</f>
        <v>80.282113154900003</v>
      </c>
      <c r="AS67" s="379">
        <f>+'CO2'!AS67+char!$C$4*N2O!AS67+char!$C$5*SF6_NF3!AS67+char!$C$6*'CH4'!AS67+char!$C$7*HFC!AS67+char!$C$8*PFC!AS67</f>
        <v>0</v>
      </c>
      <c r="AT67" s="165">
        <f>+'CO2'!AT67+char!$C$4*N2O!AT67+char!$C$5*SF6_NF3!AT67+char!$C$6*'CH4'!AT67+char!$C$7*HFC!AT67+char!$C$8*PFC!AT67</f>
        <v>63.146622464099998</v>
      </c>
      <c r="AU67" s="379">
        <f>+'CO2'!AU67+char!$C$4*N2O!AU67+char!$C$5*SF6_NF3!AU67+char!$C$6*'CH4'!AU67+char!$C$7*HFC!AU67+char!$C$8*PFC!AU67</f>
        <v>0</v>
      </c>
      <c r="AV67" s="165">
        <f>+'CO2'!AV67+char!$C$4*N2O!AV67+char!$C$5*SF6_NF3!AV67+char!$C$6*'CH4'!AV67+char!$C$7*HFC!AV67+char!$C$8*PFC!AV67</f>
        <v>57.150420019999999</v>
      </c>
      <c r="AW67" s="379">
        <f>+'CO2'!AW67+char!$C$4*N2O!AW67+char!$C$5*SF6_NF3!AW67+char!$C$6*'CH4'!AW67+char!$C$7*HFC!AW67+char!$C$8*PFC!AW67</f>
        <v>0</v>
      </c>
      <c r="AX67" s="165">
        <f>+'CO2'!AX67+char!$C$4*N2O!AX67+char!$C$5*SF6_NF3!AX67+char!$C$6*'CH4'!AX67+char!$C$7*HFC!AX67+char!$C$8*PFC!AX67</f>
        <v>50.337330614800003</v>
      </c>
      <c r="AY67" s="379">
        <f>+'CO2'!AY67+char!$C$4*N2O!AY67+char!$C$5*SF6_NF3!AY67+char!$C$6*'CH4'!AY67+char!$C$7*HFC!AY67+char!$C$8*PFC!AY67</f>
        <v>0</v>
      </c>
      <c r="AZ67" s="165">
        <f>+'CO2'!AZ67+char!$C$4*N2O!AZ67+char!$C$5*SF6_NF3!AZ67+char!$C$6*'CH4'!AZ67+char!$C$7*HFC!AZ67+char!$C$8*PFC!AZ67</f>
        <v>49.136330122499999</v>
      </c>
      <c r="BA67" s="379">
        <f>+'CO2'!BA67+char!$C$4*N2O!BA67+char!$C$5*SF6_NF3!BA67+char!$C$6*'CH4'!BA67+char!$C$7*HFC!BA67+char!$C$8*PFC!BA67</f>
        <v>0</v>
      </c>
      <c r="BB67" s="165">
        <f>+'CO2'!BB67+char!$C$4*N2O!BB67+char!$C$5*SF6_NF3!BB67+char!$C$6*'CH4'!BB67+char!$C$7*HFC!BB67+char!$C$8*PFC!BB67</f>
        <v>40.270310988200002</v>
      </c>
      <c r="BC67" s="379">
        <f>+'CO2'!BC67+char!$C$4*N2O!BC67+char!$C$5*SF6_NF3!BC67+char!$C$6*'CH4'!BC67+char!$C$7*HFC!BC67+char!$C$8*PFC!BC67</f>
        <v>0</v>
      </c>
      <c r="BD67" s="165">
        <f>+'CO2'!BD67+char!$C$4*N2O!BD67+char!$C$5*SF6_NF3!BD67+char!$C$6*'CH4'!BD67+char!$C$7*HFC!BD67+char!$C$8*PFC!BD67</f>
        <v>38.5206397774</v>
      </c>
      <c r="BE67" s="379">
        <f>+'CO2'!BE67+char!$C$4*N2O!BE67+char!$C$5*SF6_NF3!BE67+char!$C$6*'CH4'!BE67+char!$C$7*HFC!BE67+char!$C$8*PFC!BE67</f>
        <v>0</v>
      </c>
      <c r="BF67" s="165">
        <f>+'CO2'!BF67+char!$C$4*N2O!BF67+char!$C$5*SF6_NF3!BF67+char!$C$6*'CH4'!BF67+char!$C$7*HFC!BF67+char!$C$8*PFC!BF67</f>
        <v>55.994062112900004</v>
      </c>
      <c r="BG67" s="379"/>
      <c r="BH67" s="225"/>
      <c r="BI67" s="184"/>
      <c r="CJ67" s="150"/>
      <c r="CK67" s="150"/>
      <c r="CL67" s="150"/>
      <c r="CM67" s="151" t="s">
        <v>1007</v>
      </c>
      <c r="CN67" s="150" t="s">
        <v>1130</v>
      </c>
      <c r="CO67" s="150"/>
      <c r="CP67" s="150"/>
      <c r="CQ67" s="150"/>
      <c r="CR67" s="150"/>
      <c r="CS67" s="150"/>
      <c r="CT67" s="150"/>
    </row>
    <row r="68" spans="1:98" s="10" customFormat="1" ht="12.75" customHeight="1">
      <c r="A68" s="26"/>
      <c r="B68" s="89" t="str">
        <f>Parameters!Q67</f>
        <v>M72</v>
      </c>
      <c r="C68" s="90"/>
      <c r="D68" s="504" t="str">
        <f>Parameters!S67</f>
        <v>Scientific research and development</v>
      </c>
      <c r="E68" s="505"/>
      <c r="F68" s="226"/>
      <c r="G68" s="379"/>
      <c r="H68" s="227"/>
      <c r="I68" s="379"/>
      <c r="J68" s="227"/>
      <c r="K68" s="379"/>
      <c r="L68" s="227"/>
      <c r="M68" s="379"/>
      <c r="N68" s="227"/>
      <c r="O68" s="379"/>
      <c r="P68" s="227"/>
      <c r="Q68" s="379"/>
      <c r="R68" s="227"/>
      <c r="S68" s="379"/>
      <c r="T68" s="227"/>
      <c r="U68" s="379"/>
      <c r="V68" s="227"/>
      <c r="W68" s="379"/>
      <c r="X68" s="227"/>
      <c r="Y68" s="379"/>
      <c r="Z68" s="227"/>
      <c r="AA68" s="379"/>
      <c r="AB68" s="227"/>
      <c r="AC68" s="379"/>
      <c r="AD68" s="227"/>
      <c r="AE68" s="379"/>
      <c r="AF68" s="166">
        <f>+'CO2'!AF68+char!$C$4*N2O!AF68+char!$C$5*SF6_NF3!AF68+char!$C$6*'CH4'!AF68+char!$C$7*HFC!AF68+char!$C$8*PFC!AF68</f>
        <v>14.6411157405</v>
      </c>
      <c r="AG68" s="379">
        <f>+'CO2'!AG68+char!$C$4*N2O!AG68+char!$C$5*SF6_NF3!AG68+char!$C$6*'CH4'!AG68+char!$C$7*HFC!AG68+char!$C$8*PFC!AG68</f>
        <v>0</v>
      </c>
      <c r="AH68" s="166">
        <f>+'CO2'!AH68+char!$C$4*N2O!AH68+char!$C$5*SF6_NF3!AH68+char!$C$6*'CH4'!AH68+char!$C$7*HFC!AH68+char!$C$8*PFC!AH68</f>
        <v>15.8900600249</v>
      </c>
      <c r="AI68" s="379">
        <f>+'CO2'!AI68+char!$C$4*N2O!AI68+char!$C$5*SF6_NF3!AI68+char!$C$6*'CH4'!AI68+char!$C$7*HFC!AI68+char!$C$8*PFC!AI68</f>
        <v>0</v>
      </c>
      <c r="AJ68" s="166">
        <f>+'CO2'!AJ68+char!$C$4*N2O!AJ68+char!$C$5*SF6_NF3!AJ68+char!$C$6*'CH4'!AJ68+char!$C$7*HFC!AJ68+char!$C$8*PFC!AJ68</f>
        <v>12.929150687400002</v>
      </c>
      <c r="AK68" s="379">
        <f>+'CO2'!AK68+char!$C$4*N2O!AK68+char!$C$5*SF6_NF3!AK68+char!$C$6*'CH4'!AK68+char!$C$7*HFC!AK68+char!$C$8*PFC!AK68</f>
        <v>0</v>
      </c>
      <c r="AL68" s="166">
        <f>+'CO2'!AL68+char!$C$4*N2O!AL68+char!$C$5*SF6_NF3!AL68+char!$C$6*'CH4'!AL68+char!$C$7*HFC!AL68+char!$C$8*PFC!AL68</f>
        <v>20.649069427899999</v>
      </c>
      <c r="AM68" s="379">
        <f>+'CO2'!AM68+char!$C$4*N2O!AM68+char!$C$5*SF6_NF3!AM68+char!$C$6*'CH4'!AM68+char!$C$7*HFC!AM68+char!$C$8*PFC!AM68</f>
        <v>0</v>
      </c>
      <c r="AN68" s="166">
        <f>+'CO2'!AN68+char!$C$4*N2O!AN68+char!$C$5*SF6_NF3!AN68+char!$C$6*'CH4'!AN68+char!$C$7*HFC!AN68+char!$C$8*PFC!AN68</f>
        <v>20.219993746499998</v>
      </c>
      <c r="AO68" s="379">
        <f>+'CO2'!AO68+char!$C$4*N2O!AO68+char!$C$5*SF6_NF3!AO68+char!$C$6*'CH4'!AO68+char!$C$7*HFC!AO68+char!$C$8*PFC!AO68</f>
        <v>0</v>
      </c>
      <c r="AP68" s="166">
        <f>+'CO2'!AP68+char!$C$4*N2O!AP68+char!$C$5*SF6_NF3!AP68+char!$C$6*'CH4'!AP68+char!$C$7*HFC!AP68+char!$C$8*PFC!AP68</f>
        <v>21.7301647747</v>
      </c>
      <c r="AQ68" s="379">
        <f>+'CO2'!AQ68+char!$C$4*N2O!AQ68+char!$C$5*SF6_NF3!AQ68+char!$C$6*'CH4'!AQ68+char!$C$7*HFC!AQ68+char!$C$8*PFC!AQ68</f>
        <v>0</v>
      </c>
      <c r="AR68" s="166">
        <f>+'CO2'!AR68+char!$C$4*N2O!AR68+char!$C$5*SF6_NF3!AR68+char!$C$6*'CH4'!AR68+char!$C$7*HFC!AR68+char!$C$8*PFC!AR68</f>
        <v>20.562039265599996</v>
      </c>
      <c r="AS68" s="379">
        <f>+'CO2'!AS68+char!$C$4*N2O!AS68+char!$C$5*SF6_NF3!AS68+char!$C$6*'CH4'!AS68+char!$C$7*HFC!AS68+char!$C$8*PFC!AS68</f>
        <v>0</v>
      </c>
      <c r="AT68" s="166">
        <f>+'CO2'!AT68+char!$C$4*N2O!AT68+char!$C$5*SF6_NF3!AT68+char!$C$6*'CH4'!AT68+char!$C$7*HFC!AT68+char!$C$8*PFC!AT68</f>
        <v>16.086423348100002</v>
      </c>
      <c r="AU68" s="379">
        <f>+'CO2'!AU68+char!$C$4*N2O!AU68+char!$C$5*SF6_NF3!AU68+char!$C$6*'CH4'!AU68+char!$C$7*HFC!AU68+char!$C$8*PFC!AU68</f>
        <v>0</v>
      </c>
      <c r="AV68" s="166">
        <f>+'CO2'!AV68+char!$C$4*N2O!AV68+char!$C$5*SF6_NF3!AV68+char!$C$6*'CH4'!AV68+char!$C$7*HFC!AV68+char!$C$8*PFC!AV68</f>
        <v>17.891516780099998</v>
      </c>
      <c r="AW68" s="379">
        <f>+'CO2'!AW68+char!$C$4*N2O!AW68+char!$C$5*SF6_NF3!AW68+char!$C$6*'CH4'!AW68+char!$C$7*HFC!AW68+char!$C$8*PFC!AW68</f>
        <v>0</v>
      </c>
      <c r="AX68" s="166">
        <f>+'CO2'!AX68+char!$C$4*N2O!AX68+char!$C$5*SF6_NF3!AX68+char!$C$6*'CH4'!AX68+char!$C$7*HFC!AX68+char!$C$8*PFC!AX68</f>
        <v>24.492601501200003</v>
      </c>
      <c r="AY68" s="379" t="e">
        <f>+'CO2'!AY68+char!$C$4*N2O!AY68+char!$C$5*SF6_NF3!AY68+char!$C$6*'CH4'!AY68+char!$C$7*HFC!AY68+char!$C$8*PFC!AY68</f>
        <v>#VALUE!</v>
      </c>
      <c r="AZ68" s="166">
        <f>+'CO2'!AZ68+char!$C$4*N2O!AZ68+char!$C$5*SF6_NF3!AZ68+char!$C$6*'CH4'!AZ68+char!$C$7*HFC!AZ68+char!$C$8*PFC!AZ68</f>
        <v>15.381713686699999</v>
      </c>
      <c r="BA68" s="379">
        <f>+'CO2'!BA68+char!$C$4*N2O!BA68+char!$C$5*SF6_NF3!BA68+char!$C$6*'CH4'!BA68+char!$C$7*HFC!BA68+char!$C$8*PFC!BA68</f>
        <v>0</v>
      </c>
      <c r="BB68" s="166">
        <f>+'CO2'!BB68+char!$C$4*N2O!BB68+char!$C$5*SF6_NF3!BB68+char!$C$6*'CH4'!BB68+char!$C$7*HFC!BB68+char!$C$8*PFC!BB68</f>
        <v>6.1419597562000003</v>
      </c>
      <c r="BC68" s="379">
        <f>+'CO2'!BC68+char!$C$4*N2O!BC68+char!$C$5*SF6_NF3!BC68+char!$C$6*'CH4'!BC68+char!$C$7*HFC!BC68+char!$C$8*PFC!BC68</f>
        <v>0</v>
      </c>
      <c r="BD68" s="166">
        <f>+'CO2'!BD68+char!$C$4*N2O!BD68+char!$C$5*SF6_NF3!BD68+char!$C$6*'CH4'!BD68+char!$C$7*HFC!BD68+char!$C$8*PFC!BD68</f>
        <v>6.2620801412000002</v>
      </c>
      <c r="BE68" s="379">
        <f>+'CO2'!BE68+char!$C$4*N2O!BE68+char!$C$5*SF6_NF3!BE68+char!$C$6*'CH4'!BE68+char!$C$7*HFC!BE68+char!$C$8*PFC!BE68</f>
        <v>0</v>
      </c>
      <c r="BF68" s="166">
        <f>+'CO2'!BF68+char!$C$4*N2O!BF68+char!$C$5*SF6_NF3!BF68+char!$C$6*'CH4'!BF68+char!$C$7*HFC!BF68+char!$C$8*PFC!BF68</f>
        <v>6.2546315523999994</v>
      </c>
      <c r="BG68" s="379"/>
      <c r="BH68" s="227"/>
      <c r="BI68" s="184"/>
      <c r="CJ68" s="150"/>
      <c r="CK68" s="150"/>
      <c r="CL68" s="150"/>
      <c r="CM68" s="151" t="s">
        <v>1011</v>
      </c>
      <c r="CN68" s="150" t="s">
        <v>1130</v>
      </c>
      <c r="CO68" s="150"/>
      <c r="CP68" s="150"/>
      <c r="CQ68" s="150"/>
      <c r="CR68" s="150"/>
      <c r="CS68" s="150"/>
      <c r="CT68" s="150"/>
    </row>
    <row r="69" spans="1:98" s="10" customFormat="1" ht="24" customHeight="1">
      <c r="A69" s="26"/>
      <c r="B69" s="89" t="str">
        <f>Parameters!Q68</f>
        <v>M73-M75</v>
      </c>
      <c r="C69" s="90"/>
      <c r="D69" s="504" t="str">
        <f>Parameters!S68</f>
        <v>Advertising and market research; other professional, scientific and technical activities; veterinary activities</v>
      </c>
      <c r="E69" s="506"/>
      <c r="F69" s="252"/>
      <c r="G69" s="380"/>
      <c r="H69" s="253"/>
      <c r="I69" s="380"/>
      <c r="J69" s="253"/>
      <c r="K69" s="380"/>
      <c r="L69" s="253"/>
      <c r="M69" s="380"/>
      <c r="N69" s="253"/>
      <c r="O69" s="380"/>
      <c r="P69" s="253"/>
      <c r="Q69" s="380"/>
      <c r="R69" s="253"/>
      <c r="S69" s="380"/>
      <c r="T69" s="253"/>
      <c r="U69" s="380"/>
      <c r="V69" s="253"/>
      <c r="W69" s="380"/>
      <c r="X69" s="253"/>
      <c r="Y69" s="380"/>
      <c r="Z69" s="253"/>
      <c r="AA69" s="380"/>
      <c r="AB69" s="253"/>
      <c r="AC69" s="380"/>
      <c r="AD69" s="253"/>
      <c r="AE69" s="380"/>
      <c r="AF69" s="253">
        <f>+'CO2'!AF69+char!$C$4*N2O!AF69+char!$C$5*SF6_NF3!AF69+char!$C$6*'CH4'!AF69+char!$C$7*HFC!AF69+char!$C$8*PFC!AF69</f>
        <v>0</v>
      </c>
      <c r="AG69" s="380">
        <f>+'CO2'!AG69+char!$C$4*N2O!AG69+char!$C$5*SF6_NF3!AG69+char!$C$6*'CH4'!AG69+char!$C$7*HFC!AG69+char!$C$8*PFC!AG69</f>
        <v>0</v>
      </c>
      <c r="AH69" s="253">
        <f>+'CO2'!AH69+char!$C$4*N2O!AH69+char!$C$5*SF6_NF3!AH69+char!$C$6*'CH4'!AH69+char!$C$7*HFC!AH69+char!$C$8*PFC!AH69</f>
        <v>0</v>
      </c>
      <c r="AI69" s="380">
        <f>+'CO2'!AI69+char!$C$4*N2O!AI69+char!$C$5*SF6_NF3!AI69+char!$C$6*'CH4'!AI69+char!$C$7*HFC!AI69+char!$C$8*PFC!AI69</f>
        <v>0</v>
      </c>
      <c r="AJ69" s="253">
        <f>+'CO2'!AJ69+char!$C$4*N2O!AJ69+char!$C$5*SF6_NF3!AJ69+char!$C$6*'CH4'!AJ69+char!$C$7*HFC!AJ69+char!$C$8*PFC!AJ69</f>
        <v>0</v>
      </c>
      <c r="AK69" s="380">
        <f>+'CO2'!AK69+char!$C$4*N2O!AK69+char!$C$5*SF6_NF3!AK69+char!$C$6*'CH4'!AK69+char!$C$7*HFC!AK69+char!$C$8*PFC!AK69</f>
        <v>0</v>
      </c>
      <c r="AL69" s="253">
        <f>+'CO2'!AL69+char!$C$4*N2O!AL69+char!$C$5*SF6_NF3!AL69+char!$C$6*'CH4'!AL69+char!$C$7*HFC!AL69+char!$C$8*PFC!AL69</f>
        <v>0</v>
      </c>
      <c r="AM69" s="380">
        <f>+'CO2'!AM69+char!$C$4*N2O!AM69+char!$C$5*SF6_NF3!AM69+char!$C$6*'CH4'!AM69+char!$C$7*HFC!AM69+char!$C$8*PFC!AM69</f>
        <v>0</v>
      </c>
      <c r="AN69" s="253">
        <f>+'CO2'!AN69+char!$C$4*N2O!AN69+char!$C$5*SF6_NF3!AN69+char!$C$6*'CH4'!AN69+char!$C$7*HFC!AN69+char!$C$8*PFC!AN69</f>
        <v>0</v>
      </c>
      <c r="AO69" s="380">
        <f>+'CO2'!AO69+char!$C$4*N2O!AO69+char!$C$5*SF6_NF3!AO69+char!$C$6*'CH4'!AO69+char!$C$7*HFC!AO69+char!$C$8*PFC!AO69</f>
        <v>0</v>
      </c>
      <c r="AP69" s="253">
        <f>+'CO2'!AP69+char!$C$4*N2O!AP69+char!$C$5*SF6_NF3!AP69+char!$C$6*'CH4'!AP69+char!$C$7*HFC!AP69+char!$C$8*PFC!AP69</f>
        <v>0</v>
      </c>
      <c r="AQ69" s="380">
        <f>+'CO2'!AQ69+char!$C$4*N2O!AQ69+char!$C$5*SF6_NF3!AQ69+char!$C$6*'CH4'!AQ69+char!$C$7*HFC!AQ69+char!$C$8*PFC!AQ69</f>
        <v>0</v>
      </c>
      <c r="AR69" s="253">
        <f>+'CO2'!AR69+char!$C$4*N2O!AR69+char!$C$5*SF6_NF3!AR69+char!$C$6*'CH4'!AR69+char!$C$7*HFC!AR69+char!$C$8*PFC!AR69</f>
        <v>0</v>
      </c>
      <c r="AS69" s="380">
        <f>+'CO2'!AS69+char!$C$4*N2O!AS69+char!$C$5*SF6_NF3!AS69+char!$C$6*'CH4'!AS69+char!$C$7*HFC!AS69+char!$C$8*PFC!AS69</f>
        <v>0</v>
      </c>
      <c r="AT69" s="253">
        <f>+'CO2'!AT69+char!$C$4*N2O!AT69+char!$C$5*SF6_NF3!AT69+char!$C$6*'CH4'!AT69+char!$C$7*HFC!AT69+char!$C$8*PFC!AT69</f>
        <v>0</v>
      </c>
      <c r="AU69" s="380">
        <f>+'CO2'!AU69+char!$C$4*N2O!AU69+char!$C$5*SF6_NF3!AU69+char!$C$6*'CH4'!AU69+char!$C$7*HFC!AU69+char!$C$8*PFC!AU69</f>
        <v>0</v>
      </c>
      <c r="AV69" s="253">
        <f>+'CO2'!AV69+char!$C$4*N2O!AV69+char!$C$5*SF6_NF3!AV69+char!$C$6*'CH4'!AV69+char!$C$7*HFC!AV69+char!$C$8*PFC!AV69</f>
        <v>0</v>
      </c>
      <c r="AW69" s="380">
        <f>+'CO2'!AW69+char!$C$4*N2O!AW69+char!$C$5*SF6_NF3!AW69+char!$C$6*'CH4'!AW69+char!$C$7*HFC!AW69+char!$C$8*PFC!AW69</f>
        <v>0</v>
      </c>
      <c r="AX69" s="253">
        <f>+'CO2'!AX69+char!$C$4*N2O!AX69+char!$C$5*SF6_NF3!AX69+char!$C$6*'CH4'!AX69+char!$C$7*HFC!AX69+char!$C$8*PFC!AX69</f>
        <v>0</v>
      </c>
      <c r="AY69" s="380">
        <f>+'CO2'!AY69+char!$C$4*N2O!AY69+char!$C$5*SF6_NF3!AY69+char!$C$6*'CH4'!AY69+char!$C$7*HFC!AY69+char!$C$8*PFC!AY69</f>
        <v>0</v>
      </c>
      <c r="AZ69" s="253">
        <f>+'CO2'!AZ69+char!$C$4*N2O!AZ69+char!$C$5*SF6_NF3!AZ69+char!$C$6*'CH4'!AZ69+char!$C$7*HFC!AZ69+char!$C$8*PFC!AZ69</f>
        <v>0</v>
      </c>
      <c r="BA69" s="380">
        <f>+'CO2'!BA69+char!$C$4*N2O!BA69+char!$C$5*SF6_NF3!BA69+char!$C$6*'CH4'!BA69+char!$C$7*HFC!BA69+char!$C$8*PFC!BA69</f>
        <v>0</v>
      </c>
      <c r="BB69" s="253">
        <f>+'CO2'!BB69+char!$C$4*N2O!BB69+char!$C$5*SF6_NF3!BB69+char!$C$6*'CH4'!BB69+char!$C$7*HFC!BB69+char!$C$8*PFC!BB69</f>
        <v>0</v>
      </c>
      <c r="BC69" s="380">
        <f>+'CO2'!BC69+char!$C$4*N2O!BC69+char!$C$5*SF6_NF3!BC69+char!$C$6*'CH4'!BC69+char!$C$7*HFC!BC69+char!$C$8*PFC!BC69</f>
        <v>0</v>
      </c>
      <c r="BD69" s="253">
        <f>+'CO2'!BD69+char!$C$4*N2O!BD69+char!$C$5*SF6_NF3!BD69+char!$C$6*'CH4'!BD69+char!$C$7*HFC!BD69+char!$C$8*PFC!BD69</f>
        <v>0</v>
      </c>
      <c r="BE69" s="380">
        <f>+'CO2'!BE69+char!$C$4*N2O!BE69+char!$C$5*SF6_NF3!BE69+char!$C$6*'CH4'!BE69+char!$C$7*HFC!BE69+char!$C$8*PFC!BE69</f>
        <v>0</v>
      </c>
      <c r="BF69" s="253">
        <f>+'CO2'!BF69+char!$C$4*N2O!BF69+char!$C$5*SF6_NF3!BF69+char!$C$6*'CH4'!BF69+char!$C$7*HFC!BF69+char!$C$8*PFC!BF69</f>
        <v>0</v>
      </c>
      <c r="BG69" s="380"/>
      <c r="BH69" s="253"/>
      <c r="BI69" s="254"/>
      <c r="CJ69" s="150"/>
      <c r="CK69" s="150"/>
      <c r="CL69" s="150"/>
      <c r="CM69" s="151"/>
      <c r="CN69" s="150"/>
      <c r="CO69" s="150"/>
      <c r="CP69" s="150"/>
      <c r="CQ69" s="150"/>
      <c r="CR69" s="150"/>
      <c r="CS69" s="150"/>
      <c r="CT69" s="150"/>
    </row>
    <row r="70" spans="1:98" s="10" customFormat="1" ht="12.75" customHeight="1">
      <c r="A70" s="310"/>
      <c r="B70" s="308" t="str">
        <f>Parameters!Q69</f>
        <v>M73</v>
      </c>
      <c r="C70" s="309"/>
      <c r="D70" s="495" t="str">
        <f>Parameters!S69</f>
        <v>Advertising and market research</v>
      </c>
      <c r="E70" s="496"/>
      <c r="F70" s="224"/>
      <c r="G70" s="379"/>
      <c r="H70" s="225"/>
      <c r="I70" s="379"/>
      <c r="J70" s="225"/>
      <c r="K70" s="379"/>
      <c r="L70" s="225"/>
      <c r="M70" s="379"/>
      <c r="N70" s="225"/>
      <c r="O70" s="379"/>
      <c r="P70" s="225"/>
      <c r="Q70" s="379"/>
      <c r="R70" s="225"/>
      <c r="S70" s="379"/>
      <c r="T70" s="225"/>
      <c r="U70" s="379"/>
      <c r="V70" s="225"/>
      <c r="W70" s="379"/>
      <c r="X70" s="225"/>
      <c r="Y70" s="379"/>
      <c r="Z70" s="225"/>
      <c r="AA70" s="379"/>
      <c r="AB70" s="225"/>
      <c r="AC70" s="379"/>
      <c r="AD70" s="225"/>
      <c r="AE70" s="379"/>
      <c r="AF70" s="165">
        <f>+'CO2'!AF70+char!$C$4*N2O!AF70+char!$C$5*SF6_NF3!AF70+char!$C$6*'CH4'!AF70+char!$C$7*HFC!AF70+char!$C$8*PFC!AF70</f>
        <v>7.3124841051999994</v>
      </c>
      <c r="AG70" s="379">
        <f>+'CO2'!AG70+char!$C$4*N2O!AG70+char!$C$5*SF6_NF3!AG70+char!$C$6*'CH4'!AG70+char!$C$7*HFC!AG70+char!$C$8*PFC!AG70</f>
        <v>0</v>
      </c>
      <c r="AH70" s="165">
        <f>+'CO2'!AH70+char!$C$4*N2O!AH70+char!$C$5*SF6_NF3!AH70+char!$C$6*'CH4'!AH70+char!$C$7*HFC!AH70+char!$C$8*PFC!AH70</f>
        <v>7.0134818206</v>
      </c>
      <c r="AI70" s="379">
        <f>+'CO2'!AI70+char!$C$4*N2O!AI70+char!$C$5*SF6_NF3!AI70+char!$C$6*'CH4'!AI70+char!$C$7*HFC!AI70+char!$C$8*PFC!AI70</f>
        <v>0</v>
      </c>
      <c r="AJ70" s="165">
        <f>+'CO2'!AJ70+char!$C$4*N2O!AJ70+char!$C$5*SF6_NF3!AJ70+char!$C$6*'CH4'!AJ70+char!$C$7*HFC!AJ70+char!$C$8*PFC!AJ70</f>
        <v>8.2180499699999991</v>
      </c>
      <c r="AK70" s="379">
        <f>+'CO2'!AK70+char!$C$4*N2O!AK70+char!$C$5*SF6_NF3!AK70+char!$C$6*'CH4'!AK70+char!$C$7*HFC!AK70+char!$C$8*PFC!AK70</f>
        <v>0</v>
      </c>
      <c r="AL70" s="165">
        <f>+'CO2'!AL70+char!$C$4*N2O!AL70+char!$C$5*SF6_NF3!AL70+char!$C$6*'CH4'!AL70+char!$C$7*HFC!AL70+char!$C$8*PFC!AL70</f>
        <v>8.2243612436999989</v>
      </c>
      <c r="AM70" s="379">
        <f>+'CO2'!AM70+char!$C$4*N2O!AM70+char!$C$5*SF6_NF3!AM70+char!$C$6*'CH4'!AM70+char!$C$7*HFC!AM70+char!$C$8*PFC!AM70</f>
        <v>0</v>
      </c>
      <c r="AN70" s="165">
        <f>+'CO2'!AN70+char!$C$4*N2O!AN70+char!$C$5*SF6_NF3!AN70+char!$C$6*'CH4'!AN70+char!$C$7*HFC!AN70+char!$C$8*PFC!AN70</f>
        <v>8.7604635408</v>
      </c>
      <c r="AO70" s="379">
        <f>+'CO2'!AO70+char!$C$4*N2O!AO70+char!$C$5*SF6_NF3!AO70+char!$C$6*'CH4'!AO70+char!$C$7*HFC!AO70+char!$C$8*PFC!AO70</f>
        <v>0</v>
      </c>
      <c r="AP70" s="165">
        <f>+'CO2'!AP70+char!$C$4*N2O!AP70+char!$C$5*SF6_NF3!AP70+char!$C$6*'CH4'!AP70+char!$C$7*HFC!AP70+char!$C$8*PFC!AP70</f>
        <v>9.9664192246999992</v>
      </c>
      <c r="AQ70" s="379">
        <f>+'CO2'!AQ70+char!$C$4*N2O!AQ70+char!$C$5*SF6_NF3!AQ70+char!$C$6*'CH4'!AQ70+char!$C$7*HFC!AQ70+char!$C$8*PFC!AQ70</f>
        <v>0</v>
      </c>
      <c r="AR70" s="165">
        <f>+'CO2'!AR70+char!$C$4*N2O!AR70+char!$C$5*SF6_NF3!AR70+char!$C$6*'CH4'!AR70+char!$C$7*HFC!AR70+char!$C$8*PFC!AR70</f>
        <v>7.6119226678</v>
      </c>
      <c r="AS70" s="379">
        <f>+'CO2'!AS70+char!$C$4*N2O!AS70+char!$C$5*SF6_NF3!AS70+char!$C$6*'CH4'!AS70+char!$C$7*HFC!AS70+char!$C$8*PFC!AS70</f>
        <v>0</v>
      </c>
      <c r="AT70" s="165">
        <f>+'CO2'!AT70+char!$C$4*N2O!AT70+char!$C$5*SF6_NF3!AT70+char!$C$6*'CH4'!AT70+char!$C$7*HFC!AT70+char!$C$8*PFC!AT70</f>
        <v>7.9174071896999996</v>
      </c>
      <c r="AU70" s="379">
        <f>+'CO2'!AU70+char!$C$4*N2O!AU70+char!$C$5*SF6_NF3!AU70+char!$C$6*'CH4'!AU70+char!$C$7*HFC!AU70+char!$C$8*PFC!AU70</f>
        <v>0</v>
      </c>
      <c r="AV70" s="165">
        <f>+'CO2'!AV70+char!$C$4*N2O!AV70+char!$C$5*SF6_NF3!AV70+char!$C$6*'CH4'!AV70+char!$C$7*HFC!AV70+char!$C$8*PFC!AV70</f>
        <v>6.5664958693000006</v>
      </c>
      <c r="AW70" s="379">
        <f>+'CO2'!AW70+char!$C$4*N2O!AW70+char!$C$5*SF6_NF3!AW70+char!$C$6*'CH4'!AW70+char!$C$7*HFC!AW70+char!$C$8*PFC!AW70</f>
        <v>0</v>
      </c>
      <c r="AX70" s="165">
        <f>+'CO2'!AX70+char!$C$4*N2O!AX70+char!$C$5*SF6_NF3!AX70+char!$C$6*'CH4'!AX70+char!$C$7*HFC!AX70+char!$C$8*PFC!AX70</f>
        <v>6.1472296514000009</v>
      </c>
      <c r="AY70" s="379">
        <f>+'CO2'!AY70+char!$C$4*N2O!AY70+char!$C$5*SF6_NF3!AY70+char!$C$6*'CH4'!AY70+char!$C$7*HFC!AY70+char!$C$8*PFC!AY70</f>
        <v>0</v>
      </c>
      <c r="AZ70" s="165">
        <f>+'CO2'!AZ70+char!$C$4*N2O!AZ70+char!$C$5*SF6_NF3!AZ70+char!$C$6*'CH4'!AZ70+char!$C$7*HFC!AZ70+char!$C$8*PFC!AZ70</f>
        <v>6.2643529191999994</v>
      </c>
      <c r="BA70" s="379">
        <f>+'CO2'!BA70+char!$C$4*N2O!BA70+char!$C$5*SF6_NF3!BA70+char!$C$6*'CH4'!BA70+char!$C$7*HFC!BA70+char!$C$8*PFC!BA70</f>
        <v>0</v>
      </c>
      <c r="BB70" s="165">
        <f>+'CO2'!BB70+char!$C$4*N2O!BB70+char!$C$5*SF6_NF3!BB70+char!$C$6*'CH4'!BB70+char!$C$7*HFC!BB70+char!$C$8*PFC!BB70</f>
        <v>6.1045691572000003</v>
      </c>
      <c r="BC70" s="379">
        <f>+'CO2'!BC70+char!$C$4*N2O!BC70+char!$C$5*SF6_NF3!BC70+char!$C$6*'CH4'!BC70+char!$C$7*HFC!BC70+char!$C$8*PFC!BC70</f>
        <v>0</v>
      </c>
      <c r="BD70" s="165">
        <f>+'CO2'!BD70+char!$C$4*N2O!BD70+char!$C$5*SF6_NF3!BD70+char!$C$6*'CH4'!BD70+char!$C$7*HFC!BD70+char!$C$8*PFC!BD70</f>
        <v>4.9993728708999994</v>
      </c>
      <c r="BE70" s="379">
        <f>+'CO2'!BE70+char!$C$4*N2O!BE70+char!$C$5*SF6_NF3!BE70+char!$C$6*'CH4'!BE70+char!$C$7*HFC!BE70+char!$C$8*PFC!BE70</f>
        <v>0</v>
      </c>
      <c r="BF70" s="165">
        <f>+'CO2'!BF70+char!$C$4*N2O!BF70+char!$C$5*SF6_NF3!BF70+char!$C$6*'CH4'!BF70+char!$C$7*HFC!BF70+char!$C$8*PFC!BF70</f>
        <v>5.1907743808000006</v>
      </c>
      <c r="BG70" s="379"/>
      <c r="BH70" s="225"/>
      <c r="BI70" s="184"/>
      <c r="CJ70" s="150"/>
      <c r="CK70" s="150"/>
      <c r="CL70" s="150"/>
      <c r="CM70" s="151" t="s">
        <v>1022</v>
      </c>
      <c r="CN70" s="150" t="s">
        <v>1130</v>
      </c>
      <c r="CO70" s="150"/>
      <c r="CP70" s="150"/>
      <c r="CQ70" s="150"/>
      <c r="CR70" s="150"/>
      <c r="CS70" s="150"/>
      <c r="CT70" s="150"/>
    </row>
    <row r="71" spans="1:98" s="11" customFormat="1" ht="12.75" customHeight="1">
      <c r="A71" s="310"/>
      <c r="B71" s="308" t="str">
        <f>Parameters!Q70</f>
        <v>M74_M75</v>
      </c>
      <c r="C71" s="309"/>
      <c r="D71" s="495" t="str">
        <f>Parameters!S70</f>
        <v>Other professional, scientific and technical activities; veterinary activities</v>
      </c>
      <c r="E71" s="496"/>
      <c r="F71" s="224"/>
      <c r="G71" s="379"/>
      <c r="H71" s="225"/>
      <c r="I71" s="379"/>
      <c r="J71" s="225"/>
      <c r="K71" s="379"/>
      <c r="L71" s="225"/>
      <c r="M71" s="379"/>
      <c r="N71" s="225"/>
      <c r="O71" s="379"/>
      <c r="P71" s="225"/>
      <c r="Q71" s="379"/>
      <c r="R71" s="225"/>
      <c r="S71" s="379"/>
      <c r="T71" s="225"/>
      <c r="U71" s="379"/>
      <c r="V71" s="225"/>
      <c r="W71" s="379"/>
      <c r="X71" s="225"/>
      <c r="Y71" s="379"/>
      <c r="Z71" s="225"/>
      <c r="AA71" s="379"/>
      <c r="AB71" s="225"/>
      <c r="AC71" s="379"/>
      <c r="AD71" s="225"/>
      <c r="AE71" s="379"/>
      <c r="AF71" s="165">
        <f>+'CO2'!AF71+char!$C$4*N2O!AF71+char!$C$5*SF6_NF3!AF71+char!$C$6*'CH4'!AF71+char!$C$7*HFC!AF71+char!$C$8*PFC!AF71</f>
        <v>12.447471771199998</v>
      </c>
      <c r="AG71" s="379">
        <f>+'CO2'!AG71+char!$C$4*N2O!AG71+char!$C$5*SF6_NF3!AG71+char!$C$6*'CH4'!AG71+char!$C$7*HFC!AG71+char!$C$8*PFC!AG71</f>
        <v>0</v>
      </c>
      <c r="AH71" s="165">
        <f>+'CO2'!AH71+char!$C$4*N2O!AH71+char!$C$5*SF6_NF3!AH71+char!$C$6*'CH4'!AH71+char!$C$7*HFC!AH71+char!$C$8*PFC!AH71</f>
        <v>11.9496794573</v>
      </c>
      <c r="AI71" s="379">
        <f>+'CO2'!AI71+char!$C$4*N2O!AI71+char!$C$5*SF6_NF3!AI71+char!$C$6*'CH4'!AI71+char!$C$7*HFC!AI71+char!$C$8*PFC!AI71</f>
        <v>0</v>
      </c>
      <c r="AJ71" s="165">
        <f>+'CO2'!AJ71+char!$C$4*N2O!AJ71+char!$C$5*SF6_NF3!AJ71+char!$C$6*'CH4'!AJ71+char!$C$7*HFC!AJ71+char!$C$8*PFC!AJ71</f>
        <v>14.6748918031</v>
      </c>
      <c r="AK71" s="379">
        <f>+'CO2'!AK71+char!$C$4*N2O!AK71+char!$C$5*SF6_NF3!AK71+char!$C$6*'CH4'!AK71+char!$C$7*HFC!AK71+char!$C$8*PFC!AK71</f>
        <v>0</v>
      </c>
      <c r="AL71" s="165">
        <f>+'CO2'!AL71+char!$C$4*N2O!AL71+char!$C$5*SF6_NF3!AL71+char!$C$6*'CH4'!AL71+char!$C$7*HFC!AL71+char!$C$8*PFC!AL71</f>
        <v>14.879196833499998</v>
      </c>
      <c r="AM71" s="379">
        <f>+'CO2'!AM71+char!$C$4*N2O!AM71+char!$C$5*SF6_NF3!AM71+char!$C$6*'CH4'!AM71+char!$C$7*HFC!AM71+char!$C$8*PFC!AM71</f>
        <v>0</v>
      </c>
      <c r="AN71" s="165">
        <f>+'CO2'!AN71+char!$C$4*N2O!AN71+char!$C$5*SF6_NF3!AN71+char!$C$6*'CH4'!AN71+char!$C$7*HFC!AN71+char!$C$8*PFC!AN71</f>
        <v>15.187117300500001</v>
      </c>
      <c r="AO71" s="379">
        <f>+'CO2'!AO71+char!$C$4*N2O!AO71+char!$C$5*SF6_NF3!AO71+char!$C$6*'CH4'!AO71+char!$C$7*HFC!AO71+char!$C$8*PFC!AO71</f>
        <v>0</v>
      </c>
      <c r="AP71" s="165">
        <f>+'CO2'!AP71+char!$C$4*N2O!AP71+char!$C$5*SF6_NF3!AP71+char!$C$6*'CH4'!AP71+char!$C$7*HFC!AP71+char!$C$8*PFC!AP71</f>
        <v>15.5510116983</v>
      </c>
      <c r="AQ71" s="379">
        <f>+'CO2'!AQ71+char!$C$4*N2O!AQ71+char!$C$5*SF6_NF3!AQ71+char!$C$6*'CH4'!AQ71+char!$C$7*HFC!AQ71+char!$C$8*PFC!AQ71</f>
        <v>0</v>
      </c>
      <c r="AR71" s="165">
        <f>+'CO2'!AR71+char!$C$4*N2O!AR71+char!$C$5*SF6_NF3!AR71+char!$C$6*'CH4'!AR71+char!$C$7*HFC!AR71+char!$C$8*PFC!AR71</f>
        <v>14.836788629899999</v>
      </c>
      <c r="AS71" s="379">
        <f>+'CO2'!AS71+char!$C$4*N2O!AS71+char!$C$5*SF6_NF3!AS71+char!$C$6*'CH4'!AS71+char!$C$7*HFC!AS71+char!$C$8*PFC!AS71</f>
        <v>0</v>
      </c>
      <c r="AT71" s="165">
        <f>+'CO2'!AT71+char!$C$4*N2O!AT71+char!$C$5*SF6_NF3!AT71+char!$C$6*'CH4'!AT71+char!$C$7*HFC!AT71+char!$C$8*PFC!AT71</f>
        <v>17.789081572799997</v>
      </c>
      <c r="AU71" s="379">
        <f>+'CO2'!AU71+char!$C$4*N2O!AU71+char!$C$5*SF6_NF3!AU71+char!$C$6*'CH4'!AU71+char!$C$7*HFC!AU71+char!$C$8*PFC!AU71</f>
        <v>0</v>
      </c>
      <c r="AV71" s="165">
        <f>+'CO2'!AV71+char!$C$4*N2O!AV71+char!$C$5*SF6_NF3!AV71+char!$C$6*'CH4'!AV71+char!$C$7*HFC!AV71+char!$C$8*PFC!AV71</f>
        <v>15.706269347300001</v>
      </c>
      <c r="AW71" s="379">
        <f>+'CO2'!AW71+char!$C$4*N2O!AW71+char!$C$5*SF6_NF3!AW71+char!$C$6*'CH4'!AW71+char!$C$7*HFC!AW71+char!$C$8*PFC!AW71</f>
        <v>0</v>
      </c>
      <c r="AX71" s="165">
        <f>+'CO2'!AX71+char!$C$4*N2O!AX71+char!$C$5*SF6_NF3!AX71+char!$C$6*'CH4'!AX71+char!$C$7*HFC!AX71+char!$C$8*PFC!AX71</f>
        <v>14.646982041899999</v>
      </c>
      <c r="AY71" s="379">
        <f>+'CO2'!AY71+char!$C$4*N2O!AY71+char!$C$5*SF6_NF3!AY71+char!$C$6*'CH4'!AY71+char!$C$7*HFC!AY71+char!$C$8*PFC!AY71</f>
        <v>0</v>
      </c>
      <c r="AZ71" s="165">
        <f>+'CO2'!AZ71+char!$C$4*N2O!AZ71+char!$C$5*SF6_NF3!AZ71+char!$C$6*'CH4'!AZ71+char!$C$7*HFC!AZ71+char!$C$8*PFC!AZ71</f>
        <v>14.6182529216</v>
      </c>
      <c r="BA71" s="379">
        <f>+'CO2'!BA71+char!$C$4*N2O!BA71+char!$C$5*SF6_NF3!BA71+char!$C$6*'CH4'!BA71+char!$C$7*HFC!BA71+char!$C$8*PFC!BA71</f>
        <v>0</v>
      </c>
      <c r="BB71" s="165">
        <f>+'CO2'!BB71+char!$C$4*N2O!BB71+char!$C$5*SF6_NF3!BB71+char!$C$6*'CH4'!BB71+char!$C$7*HFC!BB71+char!$C$8*PFC!BB71</f>
        <v>14.4917571947</v>
      </c>
      <c r="BC71" s="379">
        <f>+'CO2'!BC71+char!$C$4*N2O!BC71+char!$C$5*SF6_NF3!BC71+char!$C$6*'CH4'!BC71+char!$C$7*HFC!BC71+char!$C$8*PFC!BC71</f>
        <v>0</v>
      </c>
      <c r="BD71" s="165">
        <f>+'CO2'!BD71+char!$C$4*N2O!BD71+char!$C$5*SF6_NF3!BD71+char!$C$6*'CH4'!BD71+char!$C$7*HFC!BD71+char!$C$8*PFC!BD71</f>
        <v>12.57874838</v>
      </c>
      <c r="BE71" s="379">
        <f>+'CO2'!BE71+char!$C$4*N2O!BE71+char!$C$5*SF6_NF3!BE71+char!$C$6*'CH4'!BE71+char!$C$7*HFC!BE71+char!$C$8*PFC!BE71</f>
        <v>0</v>
      </c>
      <c r="BF71" s="165">
        <f>+'CO2'!BF71+char!$C$4*N2O!BF71+char!$C$5*SF6_NF3!BF71+char!$C$6*'CH4'!BF71+char!$C$7*HFC!BF71+char!$C$8*PFC!BF71</f>
        <v>12.582148778199999</v>
      </c>
      <c r="BG71" s="379"/>
      <c r="BH71" s="225"/>
      <c r="BI71" s="184"/>
      <c r="CJ71" s="150"/>
      <c r="CK71" s="150"/>
      <c r="CL71" s="150"/>
      <c r="CM71" s="151" t="s">
        <v>1142</v>
      </c>
      <c r="CN71" s="150" t="s">
        <v>1130</v>
      </c>
      <c r="CO71" s="150"/>
      <c r="CP71" s="150"/>
      <c r="CQ71" s="150"/>
      <c r="CR71" s="150"/>
      <c r="CS71" s="150"/>
      <c r="CT71" s="150"/>
    </row>
    <row r="72" spans="1:98" s="11" customFormat="1" ht="12.75" customHeight="1">
      <c r="A72" s="25"/>
      <c r="B72" s="87" t="str">
        <f>Parameters!Q71</f>
        <v>N</v>
      </c>
      <c r="C72" s="88"/>
      <c r="D72" s="498" t="str">
        <f>Parameters!S71</f>
        <v>Administrative and support service activities</v>
      </c>
      <c r="E72" s="499"/>
      <c r="F72" s="222"/>
      <c r="G72" s="379"/>
      <c r="H72" s="223"/>
      <c r="I72" s="379"/>
      <c r="J72" s="223"/>
      <c r="K72" s="379"/>
      <c r="L72" s="223"/>
      <c r="M72" s="379"/>
      <c r="N72" s="223"/>
      <c r="O72" s="379"/>
      <c r="P72" s="223"/>
      <c r="Q72" s="379"/>
      <c r="R72" s="223"/>
      <c r="S72" s="379"/>
      <c r="T72" s="223"/>
      <c r="U72" s="379"/>
      <c r="V72" s="223"/>
      <c r="W72" s="379"/>
      <c r="X72" s="223"/>
      <c r="Y72" s="379"/>
      <c r="Z72" s="223"/>
      <c r="AA72" s="379"/>
      <c r="AB72" s="223"/>
      <c r="AC72" s="379"/>
      <c r="AD72" s="223"/>
      <c r="AE72" s="379"/>
      <c r="AF72" s="164">
        <f>+'CO2'!AF72+char!$C$4*N2O!AF72+char!$C$5*SF6_NF3!AF72+char!$C$6*'CH4'!AF72+char!$C$7*HFC!AF72+char!$C$8*PFC!AF72</f>
        <v>130.77277008439998</v>
      </c>
      <c r="AG72" s="379">
        <f>+'CO2'!AG72+char!$C$4*N2O!AG72+char!$C$5*SF6_NF3!AG72+char!$C$6*'CH4'!AG72+char!$C$7*HFC!AG72+char!$C$8*PFC!AG72</f>
        <v>0</v>
      </c>
      <c r="AH72" s="164">
        <f>+'CO2'!AH72+char!$C$4*N2O!AH72+char!$C$5*SF6_NF3!AH72+char!$C$6*'CH4'!AH72+char!$C$7*HFC!AH72+char!$C$8*PFC!AH72</f>
        <v>130.1880026124</v>
      </c>
      <c r="AI72" s="379">
        <f>+'CO2'!AI72+char!$C$4*N2O!AI72+char!$C$5*SF6_NF3!AI72+char!$C$6*'CH4'!AI72+char!$C$7*HFC!AI72+char!$C$8*PFC!AI72</f>
        <v>0</v>
      </c>
      <c r="AJ72" s="164">
        <f>+'CO2'!AJ72+char!$C$4*N2O!AJ72+char!$C$5*SF6_NF3!AJ72+char!$C$6*'CH4'!AJ72+char!$C$7*HFC!AJ72+char!$C$8*PFC!AJ72</f>
        <v>152.3650666593</v>
      </c>
      <c r="AK72" s="379">
        <f>+'CO2'!AK72+char!$C$4*N2O!AK72+char!$C$5*SF6_NF3!AK72+char!$C$6*'CH4'!AK72+char!$C$7*HFC!AK72+char!$C$8*PFC!AK72</f>
        <v>0</v>
      </c>
      <c r="AL72" s="164">
        <f>+'CO2'!AL72+char!$C$4*N2O!AL72+char!$C$5*SF6_NF3!AL72+char!$C$6*'CH4'!AL72+char!$C$7*HFC!AL72+char!$C$8*PFC!AL72</f>
        <v>178.11310363609999</v>
      </c>
      <c r="AM72" s="379">
        <f>+'CO2'!AM72+char!$C$4*N2O!AM72+char!$C$5*SF6_NF3!AM72+char!$C$6*'CH4'!AM72+char!$C$7*HFC!AM72+char!$C$8*PFC!AM72</f>
        <v>0</v>
      </c>
      <c r="AN72" s="164">
        <f>+'CO2'!AN72+char!$C$4*N2O!AN72+char!$C$5*SF6_NF3!AN72+char!$C$6*'CH4'!AN72+char!$C$7*HFC!AN72+char!$C$8*PFC!AN72</f>
        <v>165.18298455710001</v>
      </c>
      <c r="AO72" s="379">
        <f>+'CO2'!AO72+char!$C$4*N2O!AO72+char!$C$5*SF6_NF3!AO72+char!$C$6*'CH4'!AO72+char!$C$7*HFC!AO72+char!$C$8*PFC!AO72</f>
        <v>0</v>
      </c>
      <c r="AP72" s="164">
        <f>+'CO2'!AP72+char!$C$4*N2O!AP72+char!$C$5*SF6_NF3!AP72+char!$C$6*'CH4'!AP72+char!$C$7*HFC!AP72+char!$C$8*PFC!AP72</f>
        <v>182.07494844430002</v>
      </c>
      <c r="AQ72" s="379">
        <f>+'CO2'!AQ72+char!$C$4*N2O!AQ72+char!$C$5*SF6_NF3!AQ72+char!$C$6*'CH4'!AQ72+char!$C$7*HFC!AQ72+char!$C$8*PFC!AQ72</f>
        <v>0</v>
      </c>
      <c r="AR72" s="164">
        <f>+'CO2'!AR72+char!$C$4*N2O!AR72+char!$C$5*SF6_NF3!AR72+char!$C$6*'CH4'!AR72+char!$C$7*HFC!AR72+char!$C$8*PFC!AR72</f>
        <v>176.245878971</v>
      </c>
      <c r="AS72" s="379">
        <f>+'CO2'!AS72+char!$C$4*N2O!AS72+char!$C$5*SF6_NF3!AS72+char!$C$6*'CH4'!AS72+char!$C$7*HFC!AS72+char!$C$8*PFC!AS72</f>
        <v>0</v>
      </c>
      <c r="AT72" s="164">
        <f>+'CO2'!AT72+char!$C$4*N2O!AT72+char!$C$5*SF6_NF3!AT72+char!$C$6*'CH4'!AT72+char!$C$7*HFC!AT72+char!$C$8*PFC!AT72</f>
        <v>202.80491079159998</v>
      </c>
      <c r="AU72" s="379">
        <f>+'CO2'!AU72+char!$C$4*N2O!AU72+char!$C$5*SF6_NF3!AU72+char!$C$6*'CH4'!AU72+char!$C$7*HFC!AU72+char!$C$8*PFC!AU72</f>
        <v>0</v>
      </c>
      <c r="AV72" s="164">
        <f>+'CO2'!AV72+char!$C$4*N2O!AV72+char!$C$5*SF6_NF3!AV72+char!$C$6*'CH4'!AV72+char!$C$7*HFC!AV72+char!$C$8*PFC!AV72</f>
        <v>308.05160349009998</v>
      </c>
      <c r="AW72" s="379">
        <f>+'CO2'!AW72+char!$C$4*N2O!AW72+char!$C$5*SF6_NF3!AW72+char!$C$6*'CH4'!AW72+char!$C$7*HFC!AW72+char!$C$8*PFC!AW72</f>
        <v>0</v>
      </c>
      <c r="AX72" s="164">
        <f>+'CO2'!AX72+char!$C$4*N2O!AX72+char!$C$5*SF6_NF3!AX72+char!$C$6*'CH4'!AX72+char!$C$7*HFC!AX72+char!$C$8*PFC!AX72</f>
        <v>359.68712805249999</v>
      </c>
      <c r="AY72" s="379">
        <f>+'CO2'!AY72+char!$C$4*N2O!AY72+char!$C$5*SF6_NF3!AY72+char!$C$6*'CH4'!AY72+char!$C$7*HFC!AY72+char!$C$8*PFC!AY72</f>
        <v>0</v>
      </c>
      <c r="AZ72" s="164">
        <f>+'CO2'!AZ72+char!$C$4*N2O!AZ72+char!$C$5*SF6_NF3!AZ72+char!$C$6*'CH4'!AZ72+char!$C$7*HFC!AZ72+char!$C$8*PFC!AZ72</f>
        <v>394.47728228840003</v>
      </c>
      <c r="BA72" s="379">
        <f>+'CO2'!BA72+char!$C$4*N2O!BA72+char!$C$5*SF6_NF3!BA72+char!$C$6*'CH4'!BA72+char!$C$7*HFC!BA72+char!$C$8*PFC!BA72</f>
        <v>0</v>
      </c>
      <c r="BB72" s="164">
        <f>+'CO2'!BB72+char!$C$4*N2O!BB72+char!$C$5*SF6_NF3!BB72+char!$C$6*'CH4'!BB72+char!$C$7*HFC!BB72+char!$C$8*PFC!BB72</f>
        <v>208.3177371482</v>
      </c>
      <c r="BC72" s="379">
        <f>+'CO2'!BC72+char!$C$4*N2O!BC72+char!$C$5*SF6_NF3!BC72+char!$C$6*'CH4'!BC72+char!$C$7*HFC!BC72+char!$C$8*PFC!BC72</f>
        <v>0</v>
      </c>
      <c r="BD72" s="164">
        <f>+'CO2'!BD72+char!$C$4*N2O!BD72+char!$C$5*SF6_NF3!BD72+char!$C$6*'CH4'!BD72+char!$C$7*HFC!BD72+char!$C$8*PFC!BD72</f>
        <v>156.354167413</v>
      </c>
      <c r="BE72" s="379">
        <f>+'CO2'!BE72+char!$C$4*N2O!BE72+char!$C$5*SF6_NF3!BE72+char!$C$6*'CH4'!BE72+char!$C$7*HFC!BE72+char!$C$8*PFC!BE72</f>
        <v>0</v>
      </c>
      <c r="BF72" s="164">
        <f>+'CO2'!BF72+char!$C$4*N2O!BF72+char!$C$5*SF6_NF3!BF72+char!$C$6*'CH4'!BF72+char!$C$7*HFC!BF72+char!$C$8*PFC!BF72</f>
        <v>167.82655354440001</v>
      </c>
      <c r="BG72" s="379"/>
      <c r="BH72" s="223"/>
      <c r="BI72" s="184"/>
      <c r="CJ72" s="150"/>
      <c r="CK72" s="150"/>
      <c r="CL72" s="150"/>
      <c r="CM72" s="151" t="s">
        <v>1031</v>
      </c>
      <c r="CN72" s="150" t="s">
        <v>1130</v>
      </c>
      <c r="CO72" s="150"/>
      <c r="CP72" s="150"/>
      <c r="CQ72" s="150"/>
      <c r="CR72" s="150"/>
      <c r="CS72" s="150"/>
      <c r="CT72" s="150"/>
    </row>
    <row r="73" spans="1:98" s="11" customFormat="1" ht="12.75" customHeight="1">
      <c r="A73" s="310"/>
      <c r="B73" s="308" t="str">
        <f>Parameters!Q72</f>
        <v>N77</v>
      </c>
      <c r="C73" s="309"/>
      <c r="D73" s="495" t="str">
        <f>Parameters!S72</f>
        <v>Rental and leasing activities</v>
      </c>
      <c r="E73" s="496"/>
      <c r="F73" s="224"/>
      <c r="G73" s="379"/>
      <c r="H73" s="225"/>
      <c r="I73" s="379"/>
      <c r="J73" s="225"/>
      <c r="K73" s="379"/>
      <c r="L73" s="225"/>
      <c r="M73" s="379"/>
      <c r="N73" s="225"/>
      <c r="O73" s="379"/>
      <c r="P73" s="225"/>
      <c r="Q73" s="379"/>
      <c r="R73" s="225"/>
      <c r="S73" s="379"/>
      <c r="T73" s="225"/>
      <c r="U73" s="379"/>
      <c r="V73" s="225"/>
      <c r="W73" s="379"/>
      <c r="X73" s="225"/>
      <c r="Y73" s="379"/>
      <c r="Z73" s="225"/>
      <c r="AA73" s="379"/>
      <c r="AB73" s="225"/>
      <c r="AC73" s="379"/>
      <c r="AD73" s="225"/>
      <c r="AE73" s="379"/>
      <c r="AF73" s="165">
        <f>+'CO2'!AF73+char!$C$4*N2O!AF73+char!$C$5*SF6_NF3!AF73+char!$C$6*'CH4'!AF73+char!$C$7*HFC!AF73+char!$C$8*PFC!AF73</f>
        <v>19.935998885499998</v>
      </c>
      <c r="AG73" s="379">
        <f>+'CO2'!AG73+char!$C$4*N2O!AG73+char!$C$5*SF6_NF3!AG73+char!$C$6*'CH4'!AG73+char!$C$7*HFC!AG73+char!$C$8*PFC!AG73</f>
        <v>0</v>
      </c>
      <c r="AH73" s="165">
        <f>+'CO2'!AH73+char!$C$4*N2O!AH73+char!$C$5*SF6_NF3!AH73+char!$C$6*'CH4'!AH73+char!$C$7*HFC!AH73+char!$C$8*PFC!AH73</f>
        <v>19.291092002500001</v>
      </c>
      <c r="AI73" s="379">
        <f>+'CO2'!AI73+char!$C$4*N2O!AI73+char!$C$5*SF6_NF3!AI73+char!$C$6*'CH4'!AI73+char!$C$7*HFC!AI73+char!$C$8*PFC!AI73</f>
        <v>0</v>
      </c>
      <c r="AJ73" s="165">
        <f>+'CO2'!AJ73+char!$C$4*N2O!AJ73+char!$C$5*SF6_NF3!AJ73+char!$C$6*'CH4'!AJ73+char!$C$7*HFC!AJ73+char!$C$8*PFC!AJ73</f>
        <v>22.838187087800002</v>
      </c>
      <c r="AK73" s="379">
        <f>+'CO2'!AK73+char!$C$4*N2O!AK73+char!$C$5*SF6_NF3!AK73+char!$C$6*'CH4'!AK73+char!$C$7*HFC!AK73+char!$C$8*PFC!AK73</f>
        <v>0</v>
      </c>
      <c r="AL73" s="165">
        <f>+'CO2'!AL73+char!$C$4*N2O!AL73+char!$C$5*SF6_NF3!AL73+char!$C$6*'CH4'!AL73+char!$C$7*HFC!AL73+char!$C$8*PFC!AL73</f>
        <v>28.403505083900001</v>
      </c>
      <c r="AM73" s="379">
        <f>+'CO2'!AM73+char!$C$4*N2O!AM73+char!$C$5*SF6_NF3!AM73+char!$C$6*'CH4'!AM73+char!$C$7*HFC!AM73+char!$C$8*PFC!AM73</f>
        <v>0</v>
      </c>
      <c r="AN73" s="165">
        <f>+'CO2'!AN73+char!$C$4*N2O!AN73+char!$C$5*SF6_NF3!AN73+char!$C$6*'CH4'!AN73+char!$C$7*HFC!AN73+char!$C$8*PFC!AN73</f>
        <v>23.5870708948</v>
      </c>
      <c r="AO73" s="379">
        <f>+'CO2'!AO73+char!$C$4*N2O!AO73+char!$C$5*SF6_NF3!AO73+char!$C$6*'CH4'!AO73+char!$C$7*HFC!AO73+char!$C$8*PFC!AO73</f>
        <v>0</v>
      </c>
      <c r="AP73" s="165">
        <f>+'CO2'!AP73+char!$C$4*N2O!AP73+char!$C$5*SF6_NF3!AP73+char!$C$6*'CH4'!AP73+char!$C$7*HFC!AP73+char!$C$8*PFC!AP73</f>
        <v>30.996673369300002</v>
      </c>
      <c r="AQ73" s="379">
        <f>+'CO2'!AQ73+char!$C$4*N2O!AQ73+char!$C$5*SF6_NF3!AQ73+char!$C$6*'CH4'!AQ73+char!$C$7*HFC!AQ73+char!$C$8*PFC!AQ73</f>
        <v>0</v>
      </c>
      <c r="AR73" s="165">
        <f>+'CO2'!AR73+char!$C$4*N2O!AR73+char!$C$5*SF6_NF3!AR73+char!$C$6*'CH4'!AR73+char!$C$7*HFC!AR73+char!$C$8*PFC!AR73</f>
        <v>34.987512169799999</v>
      </c>
      <c r="AS73" s="379">
        <f>+'CO2'!AS73+char!$C$4*N2O!AS73+char!$C$5*SF6_NF3!AS73+char!$C$6*'CH4'!AS73+char!$C$7*HFC!AS73+char!$C$8*PFC!AS73</f>
        <v>0</v>
      </c>
      <c r="AT73" s="165">
        <f>+'CO2'!AT73+char!$C$4*N2O!AT73+char!$C$5*SF6_NF3!AT73+char!$C$6*'CH4'!AT73+char!$C$7*HFC!AT73+char!$C$8*PFC!AT73</f>
        <v>43.228523766000002</v>
      </c>
      <c r="AU73" s="379">
        <f>+'CO2'!AU73+char!$C$4*N2O!AU73+char!$C$5*SF6_NF3!AU73+char!$C$6*'CH4'!AU73+char!$C$7*HFC!AU73+char!$C$8*PFC!AU73</f>
        <v>0</v>
      </c>
      <c r="AV73" s="165">
        <f>+'CO2'!AV73+char!$C$4*N2O!AV73+char!$C$5*SF6_NF3!AV73+char!$C$6*'CH4'!AV73+char!$C$7*HFC!AV73+char!$C$8*PFC!AV73</f>
        <v>39.924048622100003</v>
      </c>
      <c r="AW73" s="379">
        <f>+'CO2'!AW73+char!$C$4*N2O!AW73+char!$C$5*SF6_NF3!AW73+char!$C$6*'CH4'!AW73+char!$C$7*HFC!AW73+char!$C$8*PFC!AW73</f>
        <v>0</v>
      </c>
      <c r="AX73" s="165">
        <f>+'CO2'!AX73+char!$C$4*N2O!AX73+char!$C$5*SF6_NF3!AX73+char!$C$6*'CH4'!AX73+char!$C$7*HFC!AX73+char!$C$8*PFC!AX73</f>
        <v>44.465499356199999</v>
      </c>
      <c r="AY73" s="379">
        <f>+'CO2'!AY73+char!$C$4*N2O!AY73+char!$C$5*SF6_NF3!AY73+char!$C$6*'CH4'!AY73+char!$C$7*HFC!AY73+char!$C$8*PFC!AY73</f>
        <v>0</v>
      </c>
      <c r="AZ73" s="165">
        <f>+'CO2'!AZ73+char!$C$4*N2O!AZ73+char!$C$5*SF6_NF3!AZ73+char!$C$6*'CH4'!AZ73+char!$C$7*HFC!AZ73+char!$C$8*PFC!AZ73</f>
        <v>118.52520496350002</v>
      </c>
      <c r="BA73" s="379">
        <f>+'CO2'!BA73+char!$C$4*N2O!BA73+char!$C$5*SF6_NF3!BA73+char!$C$6*'CH4'!BA73+char!$C$7*HFC!BA73+char!$C$8*PFC!BA73</f>
        <v>0</v>
      </c>
      <c r="BB73" s="165">
        <f>+'CO2'!BB73+char!$C$4*N2O!BB73+char!$C$5*SF6_NF3!BB73+char!$C$6*'CH4'!BB73+char!$C$7*HFC!BB73+char!$C$8*PFC!BB73</f>
        <v>71.050951764499999</v>
      </c>
      <c r="BC73" s="379">
        <f>+'CO2'!BC73+char!$C$4*N2O!BC73+char!$C$5*SF6_NF3!BC73+char!$C$6*'CH4'!BC73+char!$C$7*HFC!BC73+char!$C$8*PFC!BC73</f>
        <v>0</v>
      </c>
      <c r="BD73" s="165">
        <f>+'CO2'!BD73+char!$C$4*N2O!BD73+char!$C$5*SF6_NF3!BD73+char!$C$6*'CH4'!BD73+char!$C$7*HFC!BD73+char!$C$8*PFC!BD73</f>
        <v>34.445179767200003</v>
      </c>
      <c r="BE73" s="379">
        <f>+'CO2'!BE73+char!$C$4*N2O!BE73+char!$C$5*SF6_NF3!BE73+char!$C$6*'CH4'!BE73+char!$C$7*HFC!BE73+char!$C$8*PFC!BE73</f>
        <v>0</v>
      </c>
      <c r="BF73" s="165">
        <f>+'CO2'!BF73+char!$C$4*N2O!BF73+char!$C$5*SF6_NF3!BF73+char!$C$6*'CH4'!BF73+char!$C$7*HFC!BF73+char!$C$8*PFC!BF73</f>
        <v>40.781296267399995</v>
      </c>
      <c r="BG73" s="379"/>
      <c r="BH73" s="225"/>
      <c r="BI73" s="184"/>
      <c r="CJ73" s="150"/>
      <c r="CK73" s="150"/>
      <c r="CL73" s="150"/>
      <c r="CM73" s="151" t="s">
        <v>1035</v>
      </c>
      <c r="CN73" s="150" t="s">
        <v>1130</v>
      </c>
      <c r="CO73" s="150"/>
      <c r="CP73" s="150"/>
      <c r="CQ73" s="150"/>
      <c r="CR73" s="150"/>
      <c r="CS73" s="150"/>
      <c r="CT73" s="150"/>
    </row>
    <row r="74" spans="1:98" s="11" customFormat="1" ht="12.75" customHeight="1">
      <c r="A74" s="310"/>
      <c r="B74" s="308" t="str">
        <f>Parameters!Q73</f>
        <v>N78</v>
      </c>
      <c r="C74" s="309"/>
      <c r="D74" s="495" t="str">
        <f>Parameters!S73</f>
        <v>Employment activities</v>
      </c>
      <c r="E74" s="496"/>
      <c r="F74" s="224"/>
      <c r="G74" s="379"/>
      <c r="H74" s="225"/>
      <c r="I74" s="379"/>
      <c r="J74" s="225"/>
      <c r="K74" s="379"/>
      <c r="L74" s="225"/>
      <c r="M74" s="379"/>
      <c r="N74" s="225"/>
      <c r="O74" s="379"/>
      <c r="P74" s="225"/>
      <c r="Q74" s="379"/>
      <c r="R74" s="225"/>
      <c r="S74" s="379"/>
      <c r="T74" s="225"/>
      <c r="U74" s="379"/>
      <c r="V74" s="225"/>
      <c r="W74" s="379"/>
      <c r="X74" s="225"/>
      <c r="Y74" s="379"/>
      <c r="Z74" s="225"/>
      <c r="AA74" s="379"/>
      <c r="AB74" s="225"/>
      <c r="AC74" s="379"/>
      <c r="AD74" s="225"/>
      <c r="AE74" s="379"/>
      <c r="AF74" s="165">
        <f>+'CO2'!AF74+char!$C$4*N2O!AF74+char!$C$5*SF6_NF3!AF74+char!$C$6*'CH4'!AF74+char!$C$7*HFC!AF74+char!$C$8*PFC!AF74</f>
        <v>6.5647769080999998</v>
      </c>
      <c r="AG74" s="379">
        <f>+'CO2'!AG74+char!$C$4*N2O!AG74+char!$C$5*SF6_NF3!AG74+char!$C$6*'CH4'!AG74+char!$C$7*HFC!AG74+char!$C$8*PFC!AG74</f>
        <v>0</v>
      </c>
      <c r="AH74" s="165">
        <f>+'CO2'!AH74+char!$C$4*N2O!AH74+char!$C$5*SF6_NF3!AH74+char!$C$6*'CH4'!AH74+char!$C$7*HFC!AH74+char!$C$8*PFC!AH74</f>
        <v>6.3103080484999996</v>
      </c>
      <c r="AI74" s="379">
        <f>+'CO2'!AI74+char!$C$4*N2O!AI74+char!$C$5*SF6_NF3!AI74+char!$C$6*'CH4'!AI74+char!$C$7*HFC!AI74+char!$C$8*PFC!AI74</f>
        <v>0</v>
      </c>
      <c r="AJ74" s="165">
        <f>+'CO2'!AJ74+char!$C$4*N2O!AJ74+char!$C$5*SF6_NF3!AJ74+char!$C$6*'CH4'!AJ74+char!$C$7*HFC!AJ74+char!$C$8*PFC!AJ74</f>
        <v>7.0133333382999998</v>
      </c>
      <c r="AK74" s="379">
        <f>+'CO2'!AK74+char!$C$4*N2O!AK74+char!$C$5*SF6_NF3!AK74+char!$C$6*'CH4'!AK74+char!$C$7*HFC!AK74+char!$C$8*PFC!AK74</f>
        <v>0</v>
      </c>
      <c r="AL74" s="165">
        <f>+'CO2'!AL74+char!$C$4*N2O!AL74+char!$C$5*SF6_NF3!AL74+char!$C$6*'CH4'!AL74+char!$C$7*HFC!AL74+char!$C$8*PFC!AL74</f>
        <v>7.3724049844000001</v>
      </c>
      <c r="AM74" s="379">
        <f>+'CO2'!AM74+char!$C$4*N2O!AM74+char!$C$5*SF6_NF3!AM74+char!$C$6*'CH4'!AM74+char!$C$7*HFC!AM74+char!$C$8*PFC!AM74</f>
        <v>0</v>
      </c>
      <c r="AN74" s="165">
        <f>+'CO2'!AN74+char!$C$4*N2O!AN74+char!$C$5*SF6_NF3!AN74+char!$C$6*'CH4'!AN74+char!$C$7*HFC!AN74+char!$C$8*PFC!AN74</f>
        <v>8.5262261559999999</v>
      </c>
      <c r="AO74" s="379">
        <f>+'CO2'!AO74+char!$C$4*N2O!AO74+char!$C$5*SF6_NF3!AO74+char!$C$6*'CH4'!AO74+char!$C$7*HFC!AO74+char!$C$8*PFC!AO74</f>
        <v>0</v>
      </c>
      <c r="AP74" s="165">
        <f>+'CO2'!AP74+char!$C$4*N2O!AP74+char!$C$5*SF6_NF3!AP74+char!$C$6*'CH4'!AP74+char!$C$7*HFC!AP74+char!$C$8*PFC!AP74</f>
        <v>13.317229433</v>
      </c>
      <c r="AQ74" s="379">
        <f>+'CO2'!AQ74+char!$C$4*N2O!AQ74+char!$C$5*SF6_NF3!AQ74+char!$C$6*'CH4'!AQ74+char!$C$7*HFC!AQ74+char!$C$8*PFC!AQ74</f>
        <v>0</v>
      </c>
      <c r="AR74" s="165">
        <f>+'CO2'!AR74+char!$C$4*N2O!AR74+char!$C$5*SF6_NF3!AR74+char!$C$6*'CH4'!AR74+char!$C$7*HFC!AR74+char!$C$8*PFC!AR74</f>
        <v>11.9590719742</v>
      </c>
      <c r="AS74" s="379">
        <f>+'CO2'!AS74+char!$C$4*N2O!AS74+char!$C$5*SF6_NF3!AS74+char!$C$6*'CH4'!AS74+char!$C$7*HFC!AS74+char!$C$8*PFC!AS74</f>
        <v>0</v>
      </c>
      <c r="AT74" s="165">
        <f>+'CO2'!AT74+char!$C$4*N2O!AT74+char!$C$5*SF6_NF3!AT74+char!$C$6*'CH4'!AT74+char!$C$7*HFC!AT74+char!$C$8*PFC!AT74</f>
        <v>27.345759514899999</v>
      </c>
      <c r="AU74" s="379">
        <f>+'CO2'!AU74+char!$C$4*N2O!AU74+char!$C$5*SF6_NF3!AU74+char!$C$6*'CH4'!AU74+char!$C$7*HFC!AU74+char!$C$8*PFC!AU74</f>
        <v>0</v>
      </c>
      <c r="AV74" s="165">
        <f>+'CO2'!AV74+char!$C$4*N2O!AV74+char!$C$5*SF6_NF3!AV74+char!$C$6*'CH4'!AV74+char!$C$7*HFC!AV74+char!$C$8*PFC!AV74</f>
        <v>128.25828381210002</v>
      </c>
      <c r="AW74" s="379">
        <f>+'CO2'!AW74+char!$C$4*N2O!AW74+char!$C$5*SF6_NF3!AW74+char!$C$6*'CH4'!AW74+char!$C$7*HFC!AW74+char!$C$8*PFC!AW74</f>
        <v>0</v>
      </c>
      <c r="AX74" s="165">
        <f>+'CO2'!AX74+char!$C$4*N2O!AX74+char!$C$5*SF6_NF3!AX74+char!$C$6*'CH4'!AX74+char!$C$7*HFC!AX74+char!$C$8*PFC!AX74</f>
        <v>183.4297197173</v>
      </c>
      <c r="AY74" s="379">
        <f>+'CO2'!AY74+char!$C$4*N2O!AY74+char!$C$5*SF6_NF3!AY74+char!$C$6*'CH4'!AY74+char!$C$7*HFC!AY74+char!$C$8*PFC!AY74</f>
        <v>0</v>
      </c>
      <c r="AZ74" s="165">
        <f>+'CO2'!AZ74+char!$C$4*N2O!AZ74+char!$C$5*SF6_NF3!AZ74+char!$C$6*'CH4'!AZ74+char!$C$7*HFC!AZ74+char!$C$8*PFC!AZ74</f>
        <v>140.01268763260001</v>
      </c>
      <c r="BA74" s="379">
        <f>+'CO2'!BA74+char!$C$4*N2O!BA74+char!$C$5*SF6_NF3!BA74+char!$C$6*'CH4'!BA74+char!$C$7*HFC!BA74+char!$C$8*PFC!BA74</f>
        <v>0</v>
      </c>
      <c r="BB74" s="165">
        <f>+'CO2'!BB74+char!$C$4*N2O!BB74+char!$C$5*SF6_NF3!BB74+char!$C$6*'CH4'!BB74+char!$C$7*HFC!BB74+char!$C$8*PFC!BB74</f>
        <v>10.906055425199998</v>
      </c>
      <c r="BC74" s="379">
        <f>+'CO2'!BC74+char!$C$4*N2O!BC74+char!$C$5*SF6_NF3!BC74+char!$C$6*'CH4'!BC74+char!$C$7*HFC!BC74+char!$C$8*PFC!BC74</f>
        <v>0</v>
      </c>
      <c r="BD74" s="165">
        <f>+'CO2'!BD74+char!$C$4*N2O!BD74+char!$C$5*SF6_NF3!BD74+char!$C$6*'CH4'!BD74+char!$C$7*HFC!BD74+char!$C$8*PFC!BD74</f>
        <v>10.584125931800001</v>
      </c>
      <c r="BE74" s="379">
        <f>+'CO2'!BE74+char!$C$4*N2O!BE74+char!$C$5*SF6_NF3!BE74+char!$C$6*'CH4'!BE74+char!$C$7*HFC!BE74+char!$C$8*PFC!BE74</f>
        <v>0</v>
      </c>
      <c r="BF74" s="165">
        <f>+'CO2'!BF74+char!$C$4*N2O!BF74+char!$C$5*SF6_NF3!BF74+char!$C$6*'CH4'!BF74+char!$C$7*HFC!BF74+char!$C$8*PFC!BF74</f>
        <v>9.7855509422000004</v>
      </c>
      <c r="BG74" s="379"/>
      <c r="BH74" s="225"/>
      <c r="BI74" s="184"/>
      <c r="CJ74" s="150"/>
      <c r="CK74" s="150"/>
      <c r="CL74" s="150"/>
      <c r="CM74" s="151" t="s">
        <v>1039</v>
      </c>
      <c r="CN74" s="150" t="s">
        <v>1130</v>
      </c>
      <c r="CO74" s="150"/>
      <c r="CP74" s="150"/>
      <c r="CQ74" s="150"/>
      <c r="CR74" s="150"/>
      <c r="CS74" s="150"/>
      <c r="CT74" s="150"/>
    </row>
    <row r="75" spans="1:98" s="11" customFormat="1" ht="12.75" customHeight="1">
      <c r="A75" s="310"/>
      <c r="B75" s="308" t="str">
        <f>Parameters!Q74</f>
        <v>N79</v>
      </c>
      <c r="C75" s="309"/>
      <c r="D75" s="495" t="str">
        <f>Parameters!S74</f>
        <v>Travel agency, tour operator reservation service and related activities</v>
      </c>
      <c r="E75" s="496"/>
      <c r="F75" s="224"/>
      <c r="G75" s="379"/>
      <c r="H75" s="225"/>
      <c r="I75" s="379"/>
      <c r="J75" s="225"/>
      <c r="K75" s="379"/>
      <c r="L75" s="225"/>
      <c r="M75" s="379"/>
      <c r="N75" s="225"/>
      <c r="O75" s="379"/>
      <c r="P75" s="225"/>
      <c r="Q75" s="379"/>
      <c r="R75" s="225"/>
      <c r="S75" s="379"/>
      <c r="T75" s="225"/>
      <c r="U75" s="379"/>
      <c r="V75" s="225"/>
      <c r="W75" s="379"/>
      <c r="X75" s="225"/>
      <c r="Y75" s="379"/>
      <c r="Z75" s="225"/>
      <c r="AA75" s="379"/>
      <c r="AB75" s="225"/>
      <c r="AC75" s="379"/>
      <c r="AD75" s="225"/>
      <c r="AE75" s="379"/>
      <c r="AF75" s="165">
        <f>+'CO2'!AF75+char!$C$4*N2O!AF75+char!$C$5*SF6_NF3!AF75+char!$C$6*'CH4'!AF75+char!$C$7*HFC!AF75+char!$C$8*PFC!AF75</f>
        <v>6.3643870116000008</v>
      </c>
      <c r="AG75" s="379">
        <f>+'CO2'!AG75+char!$C$4*N2O!AG75+char!$C$5*SF6_NF3!AG75+char!$C$6*'CH4'!AG75+char!$C$7*HFC!AG75+char!$C$8*PFC!AG75</f>
        <v>0</v>
      </c>
      <c r="AH75" s="165">
        <f>+'CO2'!AH75+char!$C$4*N2O!AH75+char!$C$5*SF6_NF3!AH75+char!$C$6*'CH4'!AH75+char!$C$7*HFC!AH75+char!$C$8*PFC!AH75</f>
        <v>6.0402786169000002</v>
      </c>
      <c r="AI75" s="379">
        <f>+'CO2'!AI75+char!$C$4*N2O!AI75+char!$C$5*SF6_NF3!AI75+char!$C$6*'CH4'!AI75+char!$C$7*HFC!AI75+char!$C$8*PFC!AI75</f>
        <v>0</v>
      </c>
      <c r="AJ75" s="165">
        <f>+'CO2'!AJ75+char!$C$4*N2O!AJ75+char!$C$5*SF6_NF3!AJ75+char!$C$6*'CH4'!AJ75+char!$C$7*HFC!AJ75+char!$C$8*PFC!AJ75</f>
        <v>7.7408944671999995</v>
      </c>
      <c r="AK75" s="379">
        <f>+'CO2'!AK75+char!$C$4*N2O!AK75+char!$C$5*SF6_NF3!AK75+char!$C$6*'CH4'!AK75+char!$C$7*HFC!AK75+char!$C$8*PFC!AK75</f>
        <v>0</v>
      </c>
      <c r="AL75" s="165">
        <f>+'CO2'!AL75+char!$C$4*N2O!AL75+char!$C$5*SF6_NF3!AL75+char!$C$6*'CH4'!AL75+char!$C$7*HFC!AL75+char!$C$8*PFC!AL75</f>
        <v>7.4624351008000005</v>
      </c>
      <c r="AM75" s="379">
        <f>+'CO2'!AM75+char!$C$4*N2O!AM75+char!$C$5*SF6_NF3!AM75+char!$C$6*'CH4'!AM75+char!$C$7*HFC!AM75+char!$C$8*PFC!AM75</f>
        <v>0</v>
      </c>
      <c r="AN75" s="165">
        <f>+'CO2'!AN75+char!$C$4*N2O!AN75+char!$C$5*SF6_NF3!AN75+char!$C$6*'CH4'!AN75+char!$C$7*HFC!AN75+char!$C$8*PFC!AN75</f>
        <v>8.7609271207999999</v>
      </c>
      <c r="AO75" s="379">
        <f>+'CO2'!AO75+char!$C$4*N2O!AO75+char!$C$5*SF6_NF3!AO75+char!$C$6*'CH4'!AO75+char!$C$7*HFC!AO75+char!$C$8*PFC!AO75</f>
        <v>0</v>
      </c>
      <c r="AP75" s="165">
        <f>+'CO2'!AP75+char!$C$4*N2O!AP75+char!$C$5*SF6_NF3!AP75+char!$C$6*'CH4'!AP75+char!$C$7*HFC!AP75+char!$C$8*PFC!AP75</f>
        <v>9.3942142203000003</v>
      </c>
      <c r="AQ75" s="379">
        <f>+'CO2'!AQ75+char!$C$4*N2O!AQ75+char!$C$5*SF6_NF3!AQ75+char!$C$6*'CH4'!AQ75+char!$C$7*HFC!AQ75+char!$C$8*PFC!AQ75</f>
        <v>0</v>
      </c>
      <c r="AR75" s="165">
        <f>+'CO2'!AR75+char!$C$4*N2O!AR75+char!$C$5*SF6_NF3!AR75+char!$C$6*'CH4'!AR75+char!$C$7*HFC!AR75+char!$C$8*PFC!AR75</f>
        <v>6.9373454838999997</v>
      </c>
      <c r="AS75" s="379">
        <f>+'CO2'!AS75+char!$C$4*N2O!AS75+char!$C$5*SF6_NF3!AS75+char!$C$6*'CH4'!AS75+char!$C$7*HFC!AS75+char!$C$8*PFC!AS75</f>
        <v>0</v>
      </c>
      <c r="AT75" s="165">
        <f>+'CO2'!AT75+char!$C$4*N2O!AT75+char!$C$5*SF6_NF3!AT75+char!$C$6*'CH4'!AT75+char!$C$7*HFC!AT75+char!$C$8*PFC!AT75</f>
        <v>9.8439256971000013</v>
      </c>
      <c r="AU75" s="379">
        <f>+'CO2'!AU75+char!$C$4*N2O!AU75+char!$C$5*SF6_NF3!AU75+char!$C$6*'CH4'!AU75+char!$C$7*HFC!AU75+char!$C$8*PFC!AU75</f>
        <v>0</v>
      </c>
      <c r="AV75" s="165">
        <f>+'CO2'!AV75+char!$C$4*N2O!AV75+char!$C$5*SF6_NF3!AV75+char!$C$6*'CH4'!AV75+char!$C$7*HFC!AV75+char!$C$8*PFC!AV75</f>
        <v>11.449059809800001</v>
      </c>
      <c r="AW75" s="379">
        <f>+'CO2'!AW75+char!$C$4*N2O!AW75+char!$C$5*SF6_NF3!AW75+char!$C$6*'CH4'!AW75+char!$C$7*HFC!AW75+char!$C$8*PFC!AW75</f>
        <v>0</v>
      </c>
      <c r="AX75" s="165">
        <f>+'CO2'!AX75+char!$C$4*N2O!AX75+char!$C$5*SF6_NF3!AX75+char!$C$6*'CH4'!AX75+char!$C$7*HFC!AX75+char!$C$8*PFC!AX75</f>
        <v>7.7441856909000002</v>
      </c>
      <c r="AY75" s="379">
        <f>+'CO2'!AY75+char!$C$4*N2O!AY75+char!$C$5*SF6_NF3!AY75+char!$C$6*'CH4'!AY75+char!$C$7*HFC!AY75+char!$C$8*PFC!AY75</f>
        <v>0</v>
      </c>
      <c r="AZ75" s="165">
        <f>+'CO2'!AZ75+char!$C$4*N2O!AZ75+char!$C$5*SF6_NF3!AZ75+char!$C$6*'CH4'!AZ75+char!$C$7*HFC!AZ75+char!$C$8*PFC!AZ75</f>
        <v>7.8611783414999996</v>
      </c>
      <c r="BA75" s="379">
        <f>+'CO2'!BA75+char!$C$4*N2O!BA75+char!$C$5*SF6_NF3!BA75+char!$C$6*'CH4'!BA75+char!$C$7*HFC!BA75+char!$C$8*PFC!BA75</f>
        <v>0</v>
      </c>
      <c r="BB75" s="165">
        <f>+'CO2'!BB75+char!$C$4*N2O!BB75+char!$C$5*SF6_NF3!BB75+char!$C$6*'CH4'!BB75+char!$C$7*HFC!BB75+char!$C$8*PFC!BB75</f>
        <v>8.1589238161999997</v>
      </c>
      <c r="BC75" s="379">
        <f>+'CO2'!BC75+char!$C$4*N2O!BC75+char!$C$5*SF6_NF3!BC75+char!$C$6*'CH4'!BC75+char!$C$7*HFC!BC75+char!$C$8*PFC!BC75</f>
        <v>0</v>
      </c>
      <c r="BD75" s="165">
        <f>+'CO2'!BD75+char!$C$4*N2O!BD75+char!$C$5*SF6_NF3!BD75+char!$C$6*'CH4'!BD75+char!$C$7*HFC!BD75+char!$C$8*PFC!BD75</f>
        <v>6.6746753046</v>
      </c>
      <c r="BE75" s="379">
        <f>+'CO2'!BE75+char!$C$4*N2O!BE75+char!$C$5*SF6_NF3!BE75+char!$C$6*'CH4'!BE75+char!$C$7*HFC!BE75+char!$C$8*PFC!BE75</f>
        <v>0</v>
      </c>
      <c r="BF75" s="165">
        <f>+'CO2'!BF75+char!$C$4*N2O!BF75+char!$C$5*SF6_NF3!BF75+char!$C$6*'CH4'!BF75+char!$C$7*HFC!BF75+char!$C$8*PFC!BF75</f>
        <v>5.4050782427000001</v>
      </c>
      <c r="BG75" s="379"/>
      <c r="BH75" s="225"/>
      <c r="BI75" s="184"/>
      <c r="CJ75" s="150"/>
      <c r="CK75" s="150"/>
      <c r="CL75" s="150"/>
      <c r="CM75" s="151" t="s">
        <v>1043</v>
      </c>
      <c r="CN75" s="150" t="s">
        <v>1130</v>
      </c>
      <c r="CO75" s="150"/>
      <c r="CP75" s="150"/>
      <c r="CQ75" s="150"/>
      <c r="CR75" s="150"/>
      <c r="CS75" s="150"/>
      <c r="CT75" s="150"/>
    </row>
    <row r="76" spans="1:98" s="11" customFormat="1">
      <c r="A76" s="310"/>
      <c r="B76" s="308" t="str">
        <f>Parameters!Q75</f>
        <v>N80-N82</v>
      </c>
      <c r="C76" s="309"/>
      <c r="D76" s="495" t="str">
        <f>Parameters!S75</f>
        <v>Security and investigation, service and landscape, office administrative and support activities</v>
      </c>
      <c r="E76" s="497"/>
      <c r="F76" s="224"/>
      <c r="G76" s="379"/>
      <c r="H76" s="225"/>
      <c r="I76" s="379"/>
      <c r="J76" s="225"/>
      <c r="K76" s="379"/>
      <c r="L76" s="225"/>
      <c r="M76" s="379"/>
      <c r="N76" s="225"/>
      <c r="O76" s="379"/>
      <c r="P76" s="225"/>
      <c r="Q76" s="379"/>
      <c r="R76" s="225"/>
      <c r="S76" s="379"/>
      <c r="T76" s="225"/>
      <c r="U76" s="379"/>
      <c r="V76" s="225"/>
      <c r="W76" s="379"/>
      <c r="X76" s="225"/>
      <c r="Y76" s="379"/>
      <c r="Z76" s="225"/>
      <c r="AA76" s="379"/>
      <c r="AB76" s="225"/>
      <c r="AC76" s="379"/>
      <c r="AD76" s="225"/>
      <c r="AE76" s="379"/>
      <c r="AF76" s="165">
        <f>+'CO2'!AF76+char!$C$4*N2O!AF76+char!$C$5*SF6_NF3!AF76+char!$C$6*'CH4'!AF76+char!$C$7*HFC!AF76+char!$C$8*PFC!AF76</f>
        <v>97.907607279199993</v>
      </c>
      <c r="AG76" s="379">
        <f>+'CO2'!AG76+char!$C$4*N2O!AG76+char!$C$5*SF6_NF3!AG76+char!$C$6*'CH4'!AG76+char!$C$7*HFC!AG76+char!$C$8*PFC!AG76</f>
        <v>0</v>
      </c>
      <c r="AH76" s="165">
        <f>+'CO2'!AH76+char!$C$4*N2O!AH76+char!$C$5*SF6_NF3!AH76+char!$C$6*'CH4'!AH76+char!$C$7*HFC!AH76+char!$C$8*PFC!AH76</f>
        <v>98.546323941699995</v>
      </c>
      <c r="AI76" s="379">
        <f>+'CO2'!AI76+char!$C$4*N2O!AI76+char!$C$5*SF6_NF3!AI76+char!$C$6*'CH4'!AI76+char!$C$7*HFC!AI76+char!$C$8*PFC!AI76</f>
        <v>0</v>
      </c>
      <c r="AJ76" s="165">
        <f>+'CO2'!AJ76+char!$C$4*N2O!AJ76+char!$C$5*SF6_NF3!AJ76+char!$C$6*'CH4'!AJ76+char!$C$7*HFC!AJ76+char!$C$8*PFC!AJ76</f>
        <v>114.77265176600001</v>
      </c>
      <c r="AK76" s="379">
        <f>+'CO2'!AK76+char!$C$4*N2O!AK76+char!$C$5*SF6_NF3!AK76+char!$C$6*'CH4'!AK76+char!$C$7*HFC!AK76+char!$C$8*PFC!AK76</f>
        <v>0</v>
      </c>
      <c r="AL76" s="165">
        <f>+'CO2'!AL76+char!$C$4*N2O!AL76+char!$C$5*SF6_NF3!AL76+char!$C$6*'CH4'!AL76+char!$C$7*HFC!AL76+char!$C$8*PFC!AL76</f>
        <v>134.874758367</v>
      </c>
      <c r="AM76" s="379">
        <f>+'CO2'!AM76+char!$C$4*N2O!AM76+char!$C$5*SF6_NF3!AM76+char!$C$6*'CH4'!AM76+char!$C$7*HFC!AM76+char!$C$8*PFC!AM76</f>
        <v>0</v>
      </c>
      <c r="AN76" s="165">
        <f>+'CO2'!AN76+char!$C$4*N2O!AN76+char!$C$5*SF6_NF3!AN76+char!$C$6*'CH4'!AN76+char!$C$7*HFC!AN76+char!$C$8*PFC!AN76</f>
        <v>124.3087603827</v>
      </c>
      <c r="AO76" s="379">
        <f>+'CO2'!AO76+char!$C$4*N2O!AO76+char!$C$5*SF6_NF3!AO76+char!$C$6*'CH4'!AO76+char!$C$7*HFC!AO76+char!$C$8*PFC!AO76</f>
        <v>0</v>
      </c>
      <c r="AP76" s="165">
        <f>+'CO2'!AP76+char!$C$4*N2O!AP76+char!$C$5*SF6_NF3!AP76+char!$C$6*'CH4'!AP76+char!$C$7*HFC!AP76+char!$C$8*PFC!AP76</f>
        <v>128.36683142449999</v>
      </c>
      <c r="AQ76" s="379">
        <f>+'CO2'!AQ76+char!$C$4*N2O!AQ76+char!$C$5*SF6_NF3!AQ76+char!$C$6*'CH4'!AQ76+char!$C$7*HFC!AQ76+char!$C$8*PFC!AQ76</f>
        <v>0</v>
      </c>
      <c r="AR76" s="165">
        <f>+'CO2'!AR76+char!$C$4*N2O!AR76+char!$C$5*SF6_NF3!AR76+char!$C$6*'CH4'!AR76+char!$C$7*HFC!AR76+char!$C$8*PFC!AR76</f>
        <v>122.36194936960001</v>
      </c>
      <c r="AS76" s="379">
        <f>+'CO2'!AS76+char!$C$4*N2O!AS76+char!$C$5*SF6_NF3!AS76+char!$C$6*'CH4'!AS76+char!$C$7*HFC!AS76+char!$C$8*PFC!AS76</f>
        <v>0</v>
      </c>
      <c r="AT76" s="165">
        <f>+'CO2'!AT76+char!$C$4*N2O!AT76+char!$C$5*SF6_NF3!AT76+char!$C$6*'CH4'!AT76+char!$C$7*HFC!AT76+char!$C$8*PFC!AT76</f>
        <v>122.38670178709999</v>
      </c>
      <c r="AU76" s="379">
        <f>+'CO2'!AU76+char!$C$4*N2O!AU76+char!$C$5*SF6_NF3!AU76+char!$C$6*'CH4'!AU76+char!$C$7*HFC!AU76+char!$C$8*PFC!AU76</f>
        <v>0</v>
      </c>
      <c r="AV76" s="165">
        <f>+'CO2'!AV76+char!$C$4*N2O!AV76+char!$C$5*SF6_NF3!AV76+char!$C$6*'CH4'!AV76+char!$C$7*HFC!AV76+char!$C$8*PFC!AV76</f>
        <v>128.42021122239998</v>
      </c>
      <c r="AW76" s="379">
        <f>+'CO2'!AW76+char!$C$4*N2O!AW76+char!$C$5*SF6_NF3!AW76+char!$C$6*'CH4'!AW76+char!$C$7*HFC!AW76+char!$C$8*PFC!AW76</f>
        <v>0</v>
      </c>
      <c r="AX76" s="165">
        <f>+'CO2'!AX76+char!$C$4*N2O!AX76+char!$C$5*SF6_NF3!AX76+char!$C$6*'CH4'!AX76+char!$C$7*HFC!AX76+char!$C$8*PFC!AX76</f>
        <v>124.04772328809999</v>
      </c>
      <c r="AY76" s="379">
        <f>+'CO2'!AY76+char!$C$4*N2O!AY76+char!$C$5*SF6_NF3!AY76+char!$C$6*'CH4'!AY76+char!$C$7*HFC!AY76+char!$C$8*PFC!AY76</f>
        <v>0</v>
      </c>
      <c r="AZ76" s="165">
        <f>+'CO2'!AZ76+char!$C$4*N2O!AZ76+char!$C$5*SF6_NF3!AZ76+char!$C$6*'CH4'!AZ76+char!$C$7*HFC!AZ76+char!$C$8*PFC!AZ76</f>
        <v>128.07821135079999</v>
      </c>
      <c r="BA76" s="379">
        <f>+'CO2'!BA76+char!$C$4*N2O!BA76+char!$C$5*SF6_NF3!BA76+char!$C$6*'CH4'!BA76+char!$C$7*HFC!BA76+char!$C$8*PFC!BA76</f>
        <v>0</v>
      </c>
      <c r="BB76" s="165">
        <f>+'CO2'!BB76+char!$C$4*N2O!BB76+char!$C$5*SF6_NF3!BB76+char!$C$6*'CH4'!BB76+char!$C$7*HFC!BB76+char!$C$8*PFC!BB76</f>
        <v>118.20180617160001</v>
      </c>
      <c r="BC76" s="379">
        <f>+'CO2'!BC76+char!$C$4*N2O!BC76+char!$C$5*SF6_NF3!BC76+char!$C$6*'CH4'!BC76+char!$C$7*HFC!BC76+char!$C$8*PFC!BC76</f>
        <v>0</v>
      </c>
      <c r="BD76" s="165">
        <f>+'CO2'!BD76+char!$C$4*N2O!BD76+char!$C$5*SF6_NF3!BD76+char!$C$6*'CH4'!BD76+char!$C$7*HFC!BD76+char!$C$8*PFC!BD76</f>
        <v>104.6501865094</v>
      </c>
      <c r="BE76" s="379">
        <f>+'CO2'!BE76+char!$C$4*N2O!BE76+char!$C$5*SF6_NF3!BE76+char!$C$6*'CH4'!BE76+char!$C$7*HFC!BE76+char!$C$8*PFC!BE76</f>
        <v>0</v>
      </c>
      <c r="BF76" s="165">
        <f>+'CO2'!BF76+char!$C$4*N2O!BF76+char!$C$5*SF6_NF3!BF76+char!$C$6*'CH4'!BF76+char!$C$7*HFC!BF76+char!$C$8*PFC!BF76</f>
        <v>111.85462808929999</v>
      </c>
      <c r="BG76" s="379"/>
      <c r="BH76" s="225"/>
      <c r="BI76" s="184"/>
      <c r="CJ76" s="150"/>
      <c r="CK76" s="150"/>
      <c r="CL76" s="150"/>
      <c r="CM76" s="151" t="s">
        <v>1143</v>
      </c>
      <c r="CN76" s="150" t="s">
        <v>1130</v>
      </c>
      <c r="CO76" s="150"/>
      <c r="CP76" s="150"/>
      <c r="CQ76" s="150"/>
      <c r="CR76" s="150"/>
      <c r="CS76" s="150"/>
      <c r="CT76" s="150"/>
    </row>
    <row r="77" spans="1:98" s="11" customFormat="1" ht="12.75" customHeight="1">
      <c r="A77" s="25"/>
      <c r="B77" s="87" t="str">
        <f>Parameters!Q76</f>
        <v>O</v>
      </c>
      <c r="C77" s="88"/>
      <c r="D77" s="498" t="str">
        <f>Parameters!S76</f>
        <v>Public administration and defence; compulsory social security</v>
      </c>
      <c r="E77" s="499"/>
      <c r="F77" s="222"/>
      <c r="G77" s="379"/>
      <c r="H77" s="223"/>
      <c r="I77" s="379"/>
      <c r="J77" s="223"/>
      <c r="K77" s="379"/>
      <c r="L77" s="223"/>
      <c r="M77" s="379"/>
      <c r="N77" s="223"/>
      <c r="O77" s="379"/>
      <c r="P77" s="223"/>
      <c r="Q77" s="379"/>
      <c r="R77" s="223"/>
      <c r="S77" s="379"/>
      <c r="T77" s="223"/>
      <c r="U77" s="379"/>
      <c r="V77" s="223"/>
      <c r="W77" s="379"/>
      <c r="X77" s="223"/>
      <c r="Y77" s="379"/>
      <c r="Z77" s="223"/>
      <c r="AA77" s="379"/>
      <c r="AB77" s="223"/>
      <c r="AC77" s="379"/>
      <c r="AD77" s="223"/>
      <c r="AE77" s="379"/>
      <c r="AF77" s="164">
        <f>+'CO2'!AF77+char!$C$4*N2O!AF77+char!$C$5*SF6_NF3!AF77+char!$C$6*'CH4'!AF77+char!$C$7*HFC!AF77+char!$C$8*PFC!AF77</f>
        <v>487.02267068200001</v>
      </c>
      <c r="AG77" s="379">
        <f>+'CO2'!AG77+char!$C$4*N2O!AG77+char!$C$5*SF6_NF3!AG77+char!$C$6*'CH4'!AG77+char!$C$7*HFC!AG77+char!$C$8*PFC!AG77</f>
        <v>0</v>
      </c>
      <c r="AH77" s="164">
        <f>+'CO2'!AH77+char!$C$4*N2O!AH77+char!$C$5*SF6_NF3!AH77+char!$C$6*'CH4'!AH77+char!$C$7*HFC!AH77+char!$C$8*PFC!AH77</f>
        <v>614.30185749889995</v>
      </c>
      <c r="AI77" s="379">
        <f>+'CO2'!AI77+char!$C$4*N2O!AI77+char!$C$5*SF6_NF3!AI77+char!$C$6*'CH4'!AI77+char!$C$7*HFC!AI77+char!$C$8*PFC!AI77</f>
        <v>0</v>
      </c>
      <c r="AJ77" s="164">
        <f>+'CO2'!AJ77+char!$C$4*N2O!AJ77+char!$C$5*SF6_NF3!AJ77+char!$C$6*'CH4'!AJ77+char!$C$7*HFC!AJ77+char!$C$8*PFC!AJ77</f>
        <v>459.45845226529997</v>
      </c>
      <c r="AK77" s="379">
        <f>+'CO2'!AK77+char!$C$4*N2O!AK77+char!$C$5*SF6_NF3!AK77+char!$C$6*'CH4'!AK77+char!$C$7*HFC!AK77+char!$C$8*PFC!AK77</f>
        <v>0</v>
      </c>
      <c r="AL77" s="164">
        <f>+'CO2'!AL77+char!$C$4*N2O!AL77+char!$C$5*SF6_NF3!AL77+char!$C$6*'CH4'!AL77+char!$C$7*HFC!AL77+char!$C$8*PFC!AL77</f>
        <v>438.53083565220004</v>
      </c>
      <c r="AM77" s="379">
        <f>+'CO2'!AM77+char!$C$4*N2O!AM77+char!$C$5*SF6_NF3!AM77+char!$C$6*'CH4'!AM77+char!$C$7*HFC!AM77+char!$C$8*PFC!AM77</f>
        <v>0</v>
      </c>
      <c r="AN77" s="164">
        <f>+'CO2'!AN77+char!$C$4*N2O!AN77+char!$C$5*SF6_NF3!AN77+char!$C$6*'CH4'!AN77+char!$C$7*HFC!AN77+char!$C$8*PFC!AN77</f>
        <v>391.10204319370001</v>
      </c>
      <c r="AO77" s="379">
        <f>+'CO2'!AO77+char!$C$4*N2O!AO77+char!$C$5*SF6_NF3!AO77+char!$C$6*'CH4'!AO77+char!$C$7*HFC!AO77+char!$C$8*PFC!AO77</f>
        <v>0</v>
      </c>
      <c r="AP77" s="164">
        <f>+'CO2'!AP77+char!$C$4*N2O!AP77+char!$C$5*SF6_NF3!AP77+char!$C$6*'CH4'!AP77+char!$C$7*HFC!AP77+char!$C$8*PFC!AP77</f>
        <v>422.23508895160006</v>
      </c>
      <c r="AQ77" s="379">
        <f>+'CO2'!AQ77+char!$C$4*N2O!AQ77+char!$C$5*SF6_NF3!AQ77+char!$C$6*'CH4'!AQ77+char!$C$7*HFC!AQ77+char!$C$8*PFC!AQ77</f>
        <v>0</v>
      </c>
      <c r="AR77" s="164">
        <f>+'CO2'!AR77+char!$C$4*N2O!AR77+char!$C$5*SF6_NF3!AR77+char!$C$6*'CH4'!AR77+char!$C$7*HFC!AR77+char!$C$8*PFC!AR77</f>
        <v>379.2155368526</v>
      </c>
      <c r="AS77" s="379">
        <f>+'CO2'!AS77+char!$C$4*N2O!AS77+char!$C$5*SF6_NF3!AS77+char!$C$6*'CH4'!AS77+char!$C$7*HFC!AS77+char!$C$8*PFC!AS77</f>
        <v>0</v>
      </c>
      <c r="AT77" s="164">
        <f>+'CO2'!AT77+char!$C$4*N2O!AT77+char!$C$5*SF6_NF3!AT77+char!$C$6*'CH4'!AT77+char!$C$7*HFC!AT77+char!$C$8*PFC!AT77</f>
        <v>300.88009669190001</v>
      </c>
      <c r="AU77" s="379">
        <f>+'CO2'!AU77+char!$C$4*N2O!AU77+char!$C$5*SF6_NF3!AU77+char!$C$6*'CH4'!AU77+char!$C$7*HFC!AU77+char!$C$8*PFC!AU77</f>
        <v>0</v>
      </c>
      <c r="AV77" s="164">
        <f>+'CO2'!AV77+char!$C$4*N2O!AV77+char!$C$5*SF6_NF3!AV77+char!$C$6*'CH4'!AV77+char!$C$7*HFC!AV77+char!$C$8*PFC!AV77</f>
        <v>298.32622431049998</v>
      </c>
      <c r="AW77" s="379">
        <f>+'CO2'!AW77+char!$C$4*N2O!AW77+char!$C$5*SF6_NF3!AW77+char!$C$6*'CH4'!AW77+char!$C$7*HFC!AW77+char!$C$8*PFC!AW77</f>
        <v>0</v>
      </c>
      <c r="AX77" s="164">
        <f>+'CO2'!AX77+char!$C$4*N2O!AX77+char!$C$5*SF6_NF3!AX77+char!$C$6*'CH4'!AX77+char!$C$7*HFC!AX77+char!$C$8*PFC!AX77</f>
        <v>295.45192305180001</v>
      </c>
      <c r="AY77" s="379">
        <f>+'CO2'!AY77+char!$C$4*N2O!AY77+char!$C$5*SF6_NF3!AY77+char!$C$6*'CH4'!AY77+char!$C$7*HFC!AY77+char!$C$8*PFC!AY77</f>
        <v>0</v>
      </c>
      <c r="AZ77" s="164">
        <f>+'CO2'!AZ77+char!$C$4*N2O!AZ77+char!$C$5*SF6_NF3!AZ77+char!$C$6*'CH4'!AZ77+char!$C$7*HFC!AZ77+char!$C$8*PFC!AZ77</f>
        <v>245.34344816639998</v>
      </c>
      <c r="BA77" s="379">
        <f>+'CO2'!BA77+char!$C$4*N2O!BA77+char!$C$5*SF6_NF3!BA77+char!$C$6*'CH4'!BA77+char!$C$7*HFC!BA77+char!$C$8*PFC!BA77</f>
        <v>0</v>
      </c>
      <c r="BB77" s="164">
        <f>+'CO2'!BB77+char!$C$4*N2O!BB77+char!$C$5*SF6_NF3!BB77+char!$C$6*'CH4'!BB77+char!$C$7*HFC!BB77+char!$C$8*PFC!BB77</f>
        <v>207.62412365389997</v>
      </c>
      <c r="BC77" s="379">
        <f>+'CO2'!BC77+char!$C$4*N2O!BC77+char!$C$5*SF6_NF3!BC77+char!$C$6*'CH4'!BC77+char!$C$7*HFC!BC77+char!$C$8*PFC!BC77</f>
        <v>0</v>
      </c>
      <c r="BD77" s="164">
        <f>+'CO2'!BD77+char!$C$4*N2O!BD77+char!$C$5*SF6_NF3!BD77+char!$C$6*'CH4'!BD77+char!$C$7*HFC!BD77+char!$C$8*PFC!BD77</f>
        <v>177.93202216039998</v>
      </c>
      <c r="BE77" s="379">
        <f>+'CO2'!BE77+char!$C$4*N2O!BE77+char!$C$5*SF6_NF3!BE77+char!$C$6*'CH4'!BE77+char!$C$7*HFC!BE77+char!$C$8*PFC!BE77</f>
        <v>0</v>
      </c>
      <c r="BF77" s="164">
        <f>+'CO2'!BF77+char!$C$4*N2O!BF77+char!$C$5*SF6_NF3!BF77+char!$C$6*'CH4'!BF77+char!$C$7*HFC!BF77+char!$C$8*PFC!BF77</f>
        <v>190.03044230169999</v>
      </c>
      <c r="BG77" s="379"/>
      <c r="BH77" s="223"/>
      <c r="BI77" s="184"/>
      <c r="CJ77" s="150"/>
      <c r="CK77" s="150"/>
      <c r="CL77" s="150"/>
      <c r="CM77" s="151" t="s">
        <v>1051</v>
      </c>
      <c r="CN77" s="150" t="s">
        <v>1130</v>
      </c>
      <c r="CO77" s="150"/>
      <c r="CP77" s="150"/>
      <c r="CQ77" s="150"/>
      <c r="CR77" s="150"/>
      <c r="CS77" s="150"/>
      <c r="CT77" s="150"/>
    </row>
    <row r="78" spans="1:98" s="11" customFormat="1" ht="12.75" customHeight="1">
      <c r="A78" s="25"/>
      <c r="B78" s="87" t="str">
        <f>Parameters!Q77</f>
        <v>P</v>
      </c>
      <c r="C78" s="88"/>
      <c r="D78" s="498" t="str">
        <f>Parameters!S77</f>
        <v>Education</v>
      </c>
      <c r="E78" s="499"/>
      <c r="F78" s="222"/>
      <c r="G78" s="379"/>
      <c r="H78" s="223"/>
      <c r="I78" s="379"/>
      <c r="J78" s="223"/>
      <c r="K78" s="379"/>
      <c r="L78" s="223"/>
      <c r="M78" s="379"/>
      <c r="N78" s="223"/>
      <c r="O78" s="379"/>
      <c r="P78" s="223"/>
      <c r="Q78" s="379"/>
      <c r="R78" s="223"/>
      <c r="S78" s="379"/>
      <c r="T78" s="223"/>
      <c r="U78" s="379"/>
      <c r="V78" s="223"/>
      <c r="W78" s="379"/>
      <c r="X78" s="223"/>
      <c r="Y78" s="379"/>
      <c r="Z78" s="223"/>
      <c r="AA78" s="379"/>
      <c r="AB78" s="223"/>
      <c r="AC78" s="379"/>
      <c r="AD78" s="223"/>
      <c r="AE78" s="379"/>
      <c r="AF78" s="164">
        <f>+'CO2'!AF78+char!$C$4*N2O!AF78+char!$C$5*SF6_NF3!AF78+char!$C$6*'CH4'!AF78+char!$C$7*HFC!AF78+char!$C$8*PFC!AF78</f>
        <v>19.6260216029</v>
      </c>
      <c r="AG78" s="379">
        <f>+'CO2'!AG78+char!$C$4*N2O!AG78+char!$C$5*SF6_NF3!AG78+char!$C$6*'CH4'!AG78+char!$C$7*HFC!AG78+char!$C$8*PFC!AG78</f>
        <v>0</v>
      </c>
      <c r="AH78" s="164">
        <f>+'CO2'!AH78+char!$C$4*N2O!AH78+char!$C$5*SF6_NF3!AH78+char!$C$6*'CH4'!AH78+char!$C$7*HFC!AH78+char!$C$8*PFC!AH78</f>
        <v>24.996847582899999</v>
      </c>
      <c r="AI78" s="379">
        <f>+'CO2'!AI78+char!$C$4*N2O!AI78+char!$C$5*SF6_NF3!AI78+char!$C$6*'CH4'!AI78+char!$C$7*HFC!AI78+char!$C$8*PFC!AI78</f>
        <v>0</v>
      </c>
      <c r="AJ78" s="164">
        <f>+'CO2'!AJ78+char!$C$4*N2O!AJ78+char!$C$5*SF6_NF3!AJ78+char!$C$6*'CH4'!AJ78+char!$C$7*HFC!AJ78+char!$C$8*PFC!AJ78</f>
        <v>35.682061783500004</v>
      </c>
      <c r="AK78" s="379">
        <f>+'CO2'!AK78+char!$C$4*N2O!AK78+char!$C$5*SF6_NF3!AK78+char!$C$6*'CH4'!AK78+char!$C$7*HFC!AK78+char!$C$8*PFC!AK78</f>
        <v>0</v>
      </c>
      <c r="AL78" s="164">
        <f>+'CO2'!AL78+char!$C$4*N2O!AL78+char!$C$5*SF6_NF3!AL78+char!$C$6*'CH4'!AL78+char!$C$7*HFC!AL78+char!$C$8*PFC!AL78</f>
        <v>28.576943816300002</v>
      </c>
      <c r="AM78" s="379">
        <f>+'CO2'!AM78+char!$C$4*N2O!AM78+char!$C$5*SF6_NF3!AM78+char!$C$6*'CH4'!AM78+char!$C$7*HFC!AM78+char!$C$8*PFC!AM78</f>
        <v>0</v>
      </c>
      <c r="AN78" s="164">
        <f>+'CO2'!AN78+char!$C$4*N2O!AN78+char!$C$5*SF6_NF3!AN78+char!$C$6*'CH4'!AN78+char!$C$7*HFC!AN78+char!$C$8*PFC!AN78</f>
        <v>31.424418284199994</v>
      </c>
      <c r="AO78" s="379">
        <f>+'CO2'!AO78+char!$C$4*N2O!AO78+char!$C$5*SF6_NF3!AO78+char!$C$6*'CH4'!AO78+char!$C$7*HFC!AO78+char!$C$8*PFC!AO78</f>
        <v>0</v>
      </c>
      <c r="AP78" s="164">
        <f>+'CO2'!AP78+char!$C$4*N2O!AP78+char!$C$5*SF6_NF3!AP78+char!$C$6*'CH4'!AP78+char!$C$7*HFC!AP78+char!$C$8*PFC!AP78</f>
        <v>29.788675229100001</v>
      </c>
      <c r="AQ78" s="379">
        <f>+'CO2'!AQ78+char!$C$4*N2O!AQ78+char!$C$5*SF6_NF3!AQ78+char!$C$6*'CH4'!AQ78+char!$C$7*HFC!AQ78+char!$C$8*PFC!AQ78</f>
        <v>0</v>
      </c>
      <c r="AR78" s="164">
        <f>+'CO2'!AR78+char!$C$4*N2O!AR78+char!$C$5*SF6_NF3!AR78+char!$C$6*'CH4'!AR78+char!$C$7*HFC!AR78+char!$C$8*PFC!AR78</f>
        <v>28.051714054400001</v>
      </c>
      <c r="AS78" s="379">
        <f>+'CO2'!AS78+char!$C$4*N2O!AS78+char!$C$5*SF6_NF3!AS78+char!$C$6*'CH4'!AS78+char!$C$7*HFC!AS78+char!$C$8*PFC!AS78</f>
        <v>0</v>
      </c>
      <c r="AT78" s="164">
        <f>+'CO2'!AT78+char!$C$4*N2O!AT78+char!$C$5*SF6_NF3!AT78+char!$C$6*'CH4'!AT78+char!$C$7*HFC!AT78+char!$C$8*PFC!AT78</f>
        <v>28.225248184000002</v>
      </c>
      <c r="AU78" s="379">
        <f>+'CO2'!AU78+char!$C$4*N2O!AU78+char!$C$5*SF6_NF3!AU78+char!$C$6*'CH4'!AU78+char!$C$7*HFC!AU78+char!$C$8*PFC!AU78</f>
        <v>0</v>
      </c>
      <c r="AV78" s="164">
        <f>+'CO2'!AV78+char!$C$4*N2O!AV78+char!$C$5*SF6_NF3!AV78+char!$C$6*'CH4'!AV78+char!$C$7*HFC!AV78+char!$C$8*PFC!AV78</f>
        <v>31.751036378300004</v>
      </c>
      <c r="AW78" s="379">
        <f>+'CO2'!AW78+char!$C$4*N2O!AW78+char!$C$5*SF6_NF3!AW78+char!$C$6*'CH4'!AW78+char!$C$7*HFC!AW78+char!$C$8*PFC!AW78</f>
        <v>0</v>
      </c>
      <c r="AX78" s="164">
        <f>+'CO2'!AX78+char!$C$4*N2O!AX78+char!$C$5*SF6_NF3!AX78+char!$C$6*'CH4'!AX78+char!$C$7*HFC!AX78+char!$C$8*PFC!AX78</f>
        <v>26.3887762353</v>
      </c>
      <c r="AY78" s="379">
        <f>+'CO2'!AY78+char!$C$4*N2O!AY78+char!$C$5*SF6_NF3!AY78+char!$C$6*'CH4'!AY78+char!$C$7*HFC!AY78+char!$C$8*PFC!AY78</f>
        <v>0</v>
      </c>
      <c r="AZ78" s="164">
        <f>+'CO2'!AZ78+char!$C$4*N2O!AZ78+char!$C$5*SF6_NF3!AZ78+char!$C$6*'CH4'!AZ78+char!$C$7*HFC!AZ78+char!$C$8*PFC!AZ78</f>
        <v>25.337428989399999</v>
      </c>
      <c r="BA78" s="379">
        <f>+'CO2'!BA78+char!$C$4*N2O!BA78+char!$C$5*SF6_NF3!BA78+char!$C$6*'CH4'!BA78+char!$C$7*HFC!BA78+char!$C$8*PFC!BA78</f>
        <v>0</v>
      </c>
      <c r="BB78" s="164">
        <f>+'CO2'!BB78+char!$C$4*N2O!BB78+char!$C$5*SF6_NF3!BB78+char!$C$6*'CH4'!BB78+char!$C$7*HFC!BB78+char!$C$8*PFC!BB78</f>
        <v>22.438508402099998</v>
      </c>
      <c r="BC78" s="379">
        <f>+'CO2'!BC78+char!$C$4*N2O!BC78+char!$C$5*SF6_NF3!BC78+char!$C$6*'CH4'!BC78+char!$C$7*HFC!BC78+char!$C$8*PFC!BC78</f>
        <v>0</v>
      </c>
      <c r="BD78" s="164">
        <f>+'CO2'!BD78+char!$C$4*N2O!BD78+char!$C$5*SF6_NF3!BD78+char!$C$6*'CH4'!BD78+char!$C$7*HFC!BD78+char!$C$8*PFC!BD78</f>
        <v>20.316560450099999</v>
      </c>
      <c r="BE78" s="379">
        <f>+'CO2'!BE78+char!$C$4*N2O!BE78+char!$C$5*SF6_NF3!BE78+char!$C$6*'CH4'!BE78+char!$C$7*HFC!BE78+char!$C$8*PFC!BE78</f>
        <v>0</v>
      </c>
      <c r="BF78" s="164">
        <f>+'CO2'!BF78+char!$C$4*N2O!BF78+char!$C$5*SF6_NF3!BF78+char!$C$6*'CH4'!BF78+char!$C$7*HFC!BF78+char!$C$8*PFC!BF78</f>
        <v>57.330410586900001</v>
      </c>
      <c r="BG78" s="379"/>
      <c r="BH78" s="223"/>
      <c r="BI78" s="184"/>
      <c r="CJ78" s="150"/>
      <c r="CK78" s="150"/>
      <c r="CL78" s="150"/>
      <c r="CM78" s="151" t="s">
        <v>271</v>
      </c>
      <c r="CN78" s="150" t="s">
        <v>1130</v>
      </c>
      <c r="CO78" s="150"/>
      <c r="CP78" s="150"/>
      <c r="CQ78" s="150"/>
      <c r="CR78" s="150"/>
      <c r="CS78" s="150"/>
      <c r="CT78" s="150"/>
    </row>
    <row r="79" spans="1:98" s="11" customFormat="1" ht="12.75" customHeight="1">
      <c r="A79" s="25"/>
      <c r="B79" s="87" t="str">
        <f>Parameters!Q78</f>
        <v>Q</v>
      </c>
      <c r="C79" s="88"/>
      <c r="D79" s="498" t="str">
        <f>Parameters!S78</f>
        <v>Human health and social work activities</v>
      </c>
      <c r="E79" s="499"/>
      <c r="F79" s="222"/>
      <c r="G79" s="379"/>
      <c r="H79" s="223"/>
      <c r="I79" s="379"/>
      <c r="J79" s="223"/>
      <c r="K79" s="379"/>
      <c r="L79" s="223"/>
      <c r="M79" s="379"/>
      <c r="N79" s="223"/>
      <c r="O79" s="379"/>
      <c r="P79" s="223"/>
      <c r="Q79" s="379"/>
      <c r="R79" s="223"/>
      <c r="S79" s="379"/>
      <c r="T79" s="223"/>
      <c r="U79" s="379"/>
      <c r="V79" s="223"/>
      <c r="W79" s="379"/>
      <c r="X79" s="223"/>
      <c r="Y79" s="379"/>
      <c r="Z79" s="223"/>
      <c r="AA79" s="379"/>
      <c r="AB79" s="223"/>
      <c r="AC79" s="379"/>
      <c r="AD79" s="223"/>
      <c r="AE79" s="379"/>
      <c r="AF79" s="164">
        <f>+'CO2'!AF79+char!$C$4*N2O!AF79+char!$C$5*SF6_NF3!AF79+char!$C$6*'CH4'!AF79+char!$C$7*HFC!AF79+char!$C$8*PFC!AF79</f>
        <v>139.17020771400001</v>
      </c>
      <c r="AG79" s="379">
        <f>+'CO2'!AG79+char!$C$4*N2O!AG79+char!$C$5*SF6_NF3!AG79+char!$C$6*'CH4'!AG79+char!$C$7*HFC!AG79+char!$C$8*PFC!AG79</f>
        <v>0</v>
      </c>
      <c r="AH79" s="164">
        <f>+'CO2'!AH79+char!$C$4*N2O!AH79+char!$C$5*SF6_NF3!AH79+char!$C$6*'CH4'!AH79+char!$C$7*HFC!AH79+char!$C$8*PFC!AH79</f>
        <v>154.34752958350001</v>
      </c>
      <c r="AI79" s="379">
        <f>+'CO2'!AI79+char!$C$4*N2O!AI79+char!$C$5*SF6_NF3!AI79+char!$C$6*'CH4'!AI79+char!$C$7*HFC!AI79+char!$C$8*PFC!AI79</f>
        <v>0</v>
      </c>
      <c r="AJ79" s="164">
        <f>+'CO2'!AJ79+char!$C$4*N2O!AJ79+char!$C$5*SF6_NF3!AJ79+char!$C$6*'CH4'!AJ79+char!$C$7*HFC!AJ79+char!$C$8*PFC!AJ79</f>
        <v>162.39137990990002</v>
      </c>
      <c r="AK79" s="379">
        <f>+'CO2'!AK79+char!$C$4*N2O!AK79+char!$C$5*SF6_NF3!AK79+char!$C$6*'CH4'!AK79+char!$C$7*HFC!AK79+char!$C$8*PFC!AK79</f>
        <v>0</v>
      </c>
      <c r="AL79" s="164">
        <f>+'CO2'!AL79+char!$C$4*N2O!AL79+char!$C$5*SF6_NF3!AL79+char!$C$6*'CH4'!AL79+char!$C$7*HFC!AL79+char!$C$8*PFC!AL79</f>
        <v>143.87075287179999</v>
      </c>
      <c r="AM79" s="379">
        <f>+'CO2'!AM79+char!$C$4*N2O!AM79+char!$C$5*SF6_NF3!AM79+char!$C$6*'CH4'!AM79+char!$C$7*HFC!AM79+char!$C$8*PFC!AM79</f>
        <v>0</v>
      </c>
      <c r="AN79" s="164">
        <f>+'CO2'!AN79+char!$C$4*N2O!AN79+char!$C$5*SF6_NF3!AN79+char!$C$6*'CH4'!AN79+char!$C$7*HFC!AN79+char!$C$8*PFC!AN79</f>
        <v>137.03603165639998</v>
      </c>
      <c r="AO79" s="379">
        <f>+'CO2'!AO79+char!$C$4*N2O!AO79+char!$C$5*SF6_NF3!AO79+char!$C$6*'CH4'!AO79+char!$C$7*HFC!AO79+char!$C$8*PFC!AO79</f>
        <v>0</v>
      </c>
      <c r="AP79" s="164">
        <f>+'CO2'!AP79+char!$C$4*N2O!AP79+char!$C$5*SF6_NF3!AP79+char!$C$6*'CH4'!AP79+char!$C$7*HFC!AP79+char!$C$8*PFC!AP79</f>
        <v>134.33096763949999</v>
      </c>
      <c r="AQ79" s="379">
        <f>+'CO2'!AQ79+char!$C$4*N2O!AQ79+char!$C$5*SF6_NF3!AQ79+char!$C$6*'CH4'!AQ79+char!$C$7*HFC!AQ79+char!$C$8*PFC!AQ79</f>
        <v>0</v>
      </c>
      <c r="AR79" s="164">
        <f>+'CO2'!AR79+char!$C$4*N2O!AR79+char!$C$5*SF6_NF3!AR79+char!$C$6*'CH4'!AR79+char!$C$7*HFC!AR79+char!$C$8*PFC!AR79</f>
        <v>117.94215917030002</v>
      </c>
      <c r="AS79" s="379">
        <f>+'CO2'!AS79+char!$C$4*N2O!AS79+char!$C$5*SF6_NF3!AS79+char!$C$6*'CH4'!AS79+char!$C$7*HFC!AS79+char!$C$8*PFC!AS79</f>
        <v>0</v>
      </c>
      <c r="AT79" s="164">
        <f>+'CO2'!AT79+char!$C$4*N2O!AT79+char!$C$5*SF6_NF3!AT79+char!$C$6*'CH4'!AT79+char!$C$7*HFC!AT79+char!$C$8*PFC!AT79</f>
        <v>123.8583777418</v>
      </c>
      <c r="AU79" s="379">
        <f>+'CO2'!AU79+char!$C$4*N2O!AU79+char!$C$5*SF6_NF3!AU79+char!$C$6*'CH4'!AU79+char!$C$7*HFC!AU79+char!$C$8*PFC!AU79</f>
        <v>0</v>
      </c>
      <c r="AV79" s="164">
        <f>+'CO2'!AV79+char!$C$4*N2O!AV79+char!$C$5*SF6_NF3!AV79+char!$C$6*'CH4'!AV79+char!$C$7*HFC!AV79+char!$C$8*PFC!AV79</f>
        <v>123.38117409219998</v>
      </c>
      <c r="AW79" s="379">
        <f>+'CO2'!AW79+char!$C$4*N2O!AW79+char!$C$5*SF6_NF3!AW79+char!$C$6*'CH4'!AW79+char!$C$7*HFC!AW79+char!$C$8*PFC!AW79</f>
        <v>0</v>
      </c>
      <c r="AX79" s="164">
        <f>+'CO2'!AX79+char!$C$4*N2O!AX79+char!$C$5*SF6_NF3!AX79+char!$C$6*'CH4'!AX79+char!$C$7*HFC!AX79+char!$C$8*PFC!AX79</f>
        <v>118.658738355</v>
      </c>
      <c r="AY79" s="379">
        <f>+'CO2'!AY79+char!$C$4*N2O!AY79+char!$C$5*SF6_NF3!AY79+char!$C$6*'CH4'!AY79+char!$C$7*HFC!AY79+char!$C$8*PFC!AY79</f>
        <v>0</v>
      </c>
      <c r="AZ79" s="164">
        <f>+'CO2'!AZ79+char!$C$4*N2O!AZ79+char!$C$5*SF6_NF3!AZ79+char!$C$6*'CH4'!AZ79+char!$C$7*HFC!AZ79+char!$C$8*PFC!AZ79</f>
        <v>103.0172160452</v>
      </c>
      <c r="BA79" s="379">
        <f>+'CO2'!BA79+char!$C$4*N2O!BA79+char!$C$5*SF6_NF3!BA79+char!$C$6*'CH4'!BA79+char!$C$7*HFC!BA79+char!$C$8*PFC!BA79</f>
        <v>0</v>
      </c>
      <c r="BB79" s="164">
        <f>+'CO2'!BB79+char!$C$4*N2O!BB79+char!$C$5*SF6_NF3!BB79+char!$C$6*'CH4'!BB79+char!$C$7*HFC!BB79+char!$C$8*PFC!BB79</f>
        <v>98.974181759400011</v>
      </c>
      <c r="BC79" s="379">
        <f>+'CO2'!BC79+char!$C$4*N2O!BC79+char!$C$5*SF6_NF3!BC79+char!$C$6*'CH4'!BC79+char!$C$7*HFC!BC79+char!$C$8*PFC!BC79</f>
        <v>0</v>
      </c>
      <c r="BD79" s="164">
        <f>+'CO2'!BD79+char!$C$4*N2O!BD79+char!$C$5*SF6_NF3!BD79+char!$C$6*'CH4'!BD79+char!$C$7*HFC!BD79+char!$C$8*PFC!BD79</f>
        <v>93.47519750810001</v>
      </c>
      <c r="BE79" s="379">
        <f>+'CO2'!BE79+char!$C$4*N2O!BE79+char!$C$5*SF6_NF3!BE79+char!$C$6*'CH4'!BE79+char!$C$7*HFC!BE79+char!$C$8*PFC!BE79</f>
        <v>0</v>
      </c>
      <c r="BF79" s="164">
        <f>+'CO2'!BF79+char!$C$4*N2O!BF79+char!$C$5*SF6_NF3!BF79+char!$C$6*'CH4'!BF79+char!$C$7*HFC!BF79+char!$C$8*PFC!BF79</f>
        <v>120.5089331097</v>
      </c>
      <c r="BG79" s="379"/>
      <c r="BH79" s="223"/>
      <c r="BI79" s="184"/>
      <c r="CJ79" s="150"/>
      <c r="CK79" s="150"/>
      <c r="CL79" s="150"/>
      <c r="CM79" s="151" t="s">
        <v>1059</v>
      </c>
      <c r="CN79" s="150" t="s">
        <v>1130</v>
      </c>
      <c r="CO79" s="150"/>
      <c r="CP79" s="150"/>
      <c r="CQ79" s="150"/>
      <c r="CR79" s="150"/>
      <c r="CS79" s="150"/>
      <c r="CT79" s="150"/>
    </row>
    <row r="80" spans="1:98" s="11" customFormat="1" ht="12.75" customHeight="1">
      <c r="A80" s="310"/>
      <c r="B80" s="308" t="str">
        <f>Parameters!Q79</f>
        <v>Q86</v>
      </c>
      <c r="C80" s="309"/>
      <c r="D80" s="495" t="str">
        <f>Parameters!S79</f>
        <v>Human health activities</v>
      </c>
      <c r="E80" s="497"/>
      <c r="F80" s="224"/>
      <c r="G80" s="379"/>
      <c r="H80" s="225"/>
      <c r="I80" s="379"/>
      <c r="J80" s="225"/>
      <c r="K80" s="379"/>
      <c r="L80" s="225"/>
      <c r="M80" s="379"/>
      <c r="N80" s="225"/>
      <c r="O80" s="379"/>
      <c r="P80" s="225"/>
      <c r="Q80" s="379"/>
      <c r="R80" s="225"/>
      <c r="S80" s="379"/>
      <c r="T80" s="225"/>
      <c r="U80" s="379"/>
      <c r="V80" s="225"/>
      <c r="W80" s="379"/>
      <c r="X80" s="225"/>
      <c r="Y80" s="379"/>
      <c r="Z80" s="225"/>
      <c r="AA80" s="379"/>
      <c r="AB80" s="225"/>
      <c r="AC80" s="379"/>
      <c r="AD80" s="225"/>
      <c r="AE80" s="379"/>
      <c r="AF80" s="165">
        <f>+'CO2'!AF80+char!$C$4*N2O!AF80+char!$C$5*SF6_NF3!AF80+char!$C$6*'CH4'!AF80+char!$C$7*HFC!AF80+char!$C$8*PFC!AF80</f>
        <v>77.53591328249999</v>
      </c>
      <c r="AG80" s="379">
        <f>+'CO2'!AG80+char!$C$4*N2O!AG80+char!$C$5*SF6_NF3!AG80+char!$C$6*'CH4'!AG80+char!$C$7*HFC!AG80+char!$C$8*PFC!AG80</f>
        <v>0</v>
      </c>
      <c r="AH80" s="165">
        <f>+'CO2'!AH80+char!$C$4*N2O!AH80+char!$C$5*SF6_NF3!AH80+char!$C$6*'CH4'!AH80+char!$C$7*HFC!AH80+char!$C$8*PFC!AH80</f>
        <v>95.401291729799993</v>
      </c>
      <c r="AI80" s="379">
        <f>+'CO2'!AI80+char!$C$4*N2O!AI80+char!$C$5*SF6_NF3!AI80+char!$C$6*'CH4'!AI80+char!$C$7*HFC!AI80+char!$C$8*PFC!AI80</f>
        <v>0</v>
      </c>
      <c r="AJ80" s="165">
        <f>+'CO2'!AJ80+char!$C$4*N2O!AJ80+char!$C$5*SF6_NF3!AJ80+char!$C$6*'CH4'!AJ80+char!$C$7*HFC!AJ80+char!$C$8*PFC!AJ80</f>
        <v>127.2583526793</v>
      </c>
      <c r="AK80" s="379">
        <f>+'CO2'!AK80+char!$C$4*N2O!AK80+char!$C$5*SF6_NF3!AK80+char!$C$6*'CH4'!AK80+char!$C$7*HFC!AK80+char!$C$8*PFC!AK80</f>
        <v>0</v>
      </c>
      <c r="AL80" s="165">
        <f>+'CO2'!AL80+char!$C$4*N2O!AL80+char!$C$5*SF6_NF3!AL80+char!$C$6*'CH4'!AL80+char!$C$7*HFC!AL80+char!$C$8*PFC!AL80</f>
        <v>103.18592263629999</v>
      </c>
      <c r="AM80" s="379">
        <f>+'CO2'!AM80+char!$C$4*N2O!AM80+char!$C$5*SF6_NF3!AM80+char!$C$6*'CH4'!AM80+char!$C$7*HFC!AM80+char!$C$8*PFC!AM80</f>
        <v>0</v>
      </c>
      <c r="AN80" s="165">
        <f>+'CO2'!AN80+char!$C$4*N2O!AN80+char!$C$5*SF6_NF3!AN80+char!$C$6*'CH4'!AN80+char!$C$7*HFC!AN80+char!$C$8*PFC!AN80</f>
        <v>95.428100667300001</v>
      </c>
      <c r="AO80" s="379">
        <f>+'CO2'!AO80+char!$C$4*N2O!AO80+char!$C$5*SF6_NF3!AO80+char!$C$6*'CH4'!AO80+char!$C$7*HFC!AO80+char!$C$8*PFC!AO80</f>
        <v>0</v>
      </c>
      <c r="AP80" s="165">
        <f>+'CO2'!AP80+char!$C$4*N2O!AP80+char!$C$5*SF6_NF3!AP80+char!$C$6*'CH4'!AP80+char!$C$7*HFC!AP80+char!$C$8*PFC!AP80</f>
        <v>91.538219022500002</v>
      </c>
      <c r="AQ80" s="379">
        <f>+'CO2'!AQ80+char!$C$4*N2O!AQ80+char!$C$5*SF6_NF3!AQ80+char!$C$6*'CH4'!AQ80+char!$C$7*HFC!AQ80+char!$C$8*PFC!AQ80</f>
        <v>0</v>
      </c>
      <c r="AR80" s="165">
        <f>+'CO2'!AR80+char!$C$4*N2O!AR80+char!$C$5*SF6_NF3!AR80+char!$C$6*'CH4'!AR80+char!$C$7*HFC!AR80+char!$C$8*PFC!AR80</f>
        <v>77.007927836100009</v>
      </c>
      <c r="AS80" s="379">
        <f>+'CO2'!AS80+char!$C$4*N2O!AS80+char!$C$5*SF6_NF3!AS80+char!$C$6*'CH4'!AS80+char!$C$7*HFC!AS80+char!$C$8*PFC!AS80</f>
        <v>0</v>
      </c>
      <c r="AT80" s="165">
        <f>+'CO2'!AT80+char!$C$4*N2O!AT80+char!$C$5*SF6_NF3!AT80+char!$C$6*'CH4'!AT80+char!$C$7*HFC!AT80+char!$C$8*PFC!AT80</f>
        <v>84.866645924300002</v>
      </c>
      <c r="AU80" s="379">
        <f>+'CO2'!AU80+char!$C$4*N2O!AU80+char!$C$5*SF6_NF3!AU80+char!$C$6*'CH4'!AU80+char!$C$7*HFC!AU80+char!$C$8*PFC!AU80</f>
        <v>0</v>
      </c>
      <c r="AV80" s="165">
        <f>+'CO2'!AV80+char!$C$4*N2O!AV80+char!$C$5*SF6_NF3!AV80+char!$C$6*'CH4'!AV80+char!$C$7*HFC!AV80+char!$C$8*PFC!AV80</f>
        <v>94.455787412700005</v>
      </c>
      <c r="AW80" s="379">
        <f>+'CO2'!AW80+char!$C$4*N2O!AW80+char!$C$5*SF6_NF3!AW80+char!$C$6*'CH4'!AW80+char!$C$7*HFC!AW80+char!$C$8*PFC!AW80</f>
        <v>0</v>
      </c>
      <c r="AX80" s="165">
        <f>+'CO2'!AX80+char!$C$4*N2O!AX80+char!$C$5*SF6_NF3!AX80+char!$C$6*'CH4'!AX80+char!$C$7*HFC!AX80+char!$C$8*PFC!AX80</f>
        <v>91.240983371400006</v>
      </c>
      <c r="AY80" s="379">
        <f>+'CO2'!AY80+char!$C$4*N2O!AY80+char!$C$5*SF6_NF3!AY80+char!$C$6*'CH4'!AY80+char!$C$7*HFC!AY80+char!$C$8*PFC!AY80</f>
        <v>0</v>
      </c>
      <c r="AZ80" s="165">
        <f>+'CO2'!AZ80+char!$C$4*N2O!AZ80+char!$C$5*SF6_NF3!AZ80+char!$C$6*'CH4'!AZ80+char!$C$7*HFC!AZ80+char!$C$8*PFC!AZ80</f>
        <v>80.446815782000016</v>
      </c>
      <c r="BA80" s="379">
        <f>+'CO2'!BA80+char!$C$4*N2O!BA80+char!$C$5*SF6_NF3!BA80+char!$C$6*'CH4'!BA80+char!$C$7*HFC!BA80+char!$C$8*PFC!BA80</f>
        <v>0</v>
      </c>
      <c r="BB80" s="165">
        <f>+'CO2'!BB80+char!$C$4*N2O!BB80+char!$C$5*SF6_NF3!BB80+char!$C$6*'CH4'!BB80+char!$C$7*HFC!BB80+char!$C$8*PFC!BB80</f>
        <v>78.655754207200005</v>
      </c>
      <c r="BC80" s="379">
        <f>+'CO2'!BC80+char!$C$4*N2O!BC80+char!$C$5*SF6_NF3!BC80+char!$C$6*'CH4'!BC80+char!$C$7*HFC!BC80+char!$C$8*PFC!BC80</f>
        <v>0</v>
      </c>
      <c r="BD80" s="165">
        <f>+'CO2'!BD80+char!$C$4*N2O!BD80+char!$C$5*SF6_NF3!BD80+char!$C$6*'CH4'!BD80+char!$C$7*HFC!BD80+char!$C$8*PFC!BD80</f>
        <v>76.1738421843</v>
      </c>
      <c r="BE80" s="379">
        <f>+'CO2'!BE80+char!$C$4*N2O!BE80+char!$C$5*SF6_NF3!BE80+char!$C$6*'CH4'!BE80+char!$C$7*HFC!BE80+char!$C$8*PFC!BE80</f>
        <v>0</v>
      </c>
      <c r="BF80" s="165">
        <f>+'CO2'!BF80+char!$C$4*N2O!BF80+char!$C$5*SF6_NF3!BF80+char!$C$6*'CH4'!BF80+char!$C$7*HFC!BF80+char!$C$8*PFC!BF80</f>
        <v>77.137395695999999</v>
      </c>
      <c r="BG80" s="379"/>
      <c r="BH80" s="225"/>
      <c r="BI80" s="184"/>
      <c r="CJ80" s="150"/>
      <c r="CK80" s="150"/>
      <c r="CL80" s="150"/>
      <c r="CM80" s="151" t="s">
        <v>1063</v>
      </c>
      <c r="CN80" s="150" t="s">
        <v>1130</v>
      </c>
      <c r="CO80" s="150"/>
      <c r="CP80" s="150"/>
      <c r="CQ80" s="150"/>
      <c r="CR80" s="150"/>
      <c r="CS80" s="150"/>
      <c r="CT80" s="150"/>
    </row>
    <row r="81" spans="1:98" s="11" customFormat="1" ht="12.75" customHeight="1">
      <c r="A81" s="310"/>
      <c r="B81" s="308" t="str">
        <f>Parameters!Q80</f>
        <v>Q87_Q88</v>
      </c>
      <c r="C81" s="309"/>
      <c r="D81" s="495" t="str">
        <f>Parameters!S80</f>
        <v>Residential care activities and social work activities without accommodation</v>
      </c>
      <c r="E81" s="497"/>
      <c r="F81" s="224"/>
      <c r="G81" s="379"/>
      <c r="H81" s="225"/>
      <c r="I81" s="379"/>
      <c r="J81" s="225"/>
      <c r="K81" s="379"/>
      <c r="L81" s="225"/>
      <c r="M81" s="379"/>
      <c r="N81" s="225"/>
      <c r="O81" s="379"/>
      <c r="P81" s="225"/>
      <c r="Q81" s="379"/>
      <c r="R81" s="225"/>
      <c r="S81" s="379"/>
      <c r="T81" s="225"/>
      <c r="U81" s="379"/>
      <c r="V81" s="225"/>
      <c r="W81" s="379"/>
      <c r="X81" s="225"/>
      <c r="Y81" s="379"/>
      <c r="Z81" s="225"/>
      <c r="AA81" s="379"/>
      <c r="AB81" s="225"/>
      <c r="AC81" s="379"/>
      <c r="AD81" s="225"/>
      <c r="AE81" s="379"/>
      <c r="AF81" s="165">
        <f>+'CO2'!AF81+char!$C$4*N2O!AF81+char!$C$5*SF6_NF3!AF81+char!$C$6*'CH4'!AF81+char!$C$7*HFC!AF81+char!$C$8*PFC!AF81</f>
        <v>61.634294431599997</v>
      </c>
      <c r="AG81" s="379">
        <f>+'CO2'!AG81+char!$C$4*N2O!AG81+char!$C$5*SF6_NF3!AG81+char!$C$6*'CH4'!AG81+char!$C$7*HFC!AG81+char!$C$8*PFC!AG81</f>
        <v>0</v>
      </c>
      <c r="AH81" s="165">
        <f>+'CO2'!AH81+char!$C$4*N2O!AH81+char!$C$5*SF6_NF3!AH81+char!$C$6*'CH4'!AH81+char!$C$7*HFC!AH81+char!$C$8*PFC!AH81</f>
        <v>58.9462378538</v>
      </c>
      <c r="AI81" s="379">
        <f>+'CO2'!AI81+char!$C$4*N2O!AI81+char!$C$5*SF6_NF3!AI81+char!$C$6*'CH4'!AI81+char!$C$7*HFC!AI81+char!$C$8*PFC!AI81</f>
        <v>0</v>
      </c>
      <c r="AJ81" s="165">
        <f>+'CO2'!AJ81+char!$C$4*N2O!AJ81+char!$C$5*SF6_NF3!AJ81+char!$C$6*'CH4'!AJ81+char!$C$7*HFC!AJ81+char!$C$8*PFC!AJ81</f>
        <v>35.133027254300004</v>
      </c>
      <c r="AK81" s="379">
        <f>+'CO2'!AK81+char!$C$4*N2O!AK81+char!$C$5*SF6_NF3!AK81+char!$C$6*'CH4'!AK81+char!$C$7*HFC!AK81+char!$C$8*PFC!AK81</f>
        <v>0</v>
      </c>
      <c r="AL81" s="165">
        <f>+'CO2'!AL81+char!$C$4*N2O!AL81+char!$C$5*SF6_NF3!AL81+char!$C$6*'CH4'!AL81+char!$C$7*HFC!AL81+char!$C$8*PFC!AL81</f>
        <v>40.684830235500002</v>
      </c>
      <c r="AM81" s="379">
        <f>+'CO2'!AM81+char!$C$4*N2O!AM81+char!$C$5*SF6_NF3!AM81+char!$C$6*'CH4'!AM81+char!$C$7*HFC!AM81+char!$C$8*PFC!AM81</f>
        <v>0</v>
      </c>
      <c r="AN81" s="165">
        <f>+'CO2'!AN81+char!$C$4*N2O!AN81+char!$C$5*SF6_NF3!AN81+char!$C$6*'CH4'!AN81+char!$C$7*HFC!AN81+char!$C$8*PFC!AN81</f>
        <v>41.607931018400002</v>
      </c>
      <c r="AO81" s="379">
        <f>+'CO2'!AO81+char!$C$4*N2O!AO81+char!$C$5*SF6_NF3!AO81+char!$C$6*'CH4'!AO81+char!$C$7*HFC!AO81+char!$C$8*PFC!AO81</f>
        <v>0</v>
      </c>
      <c r="AP81" s="165">
        <f>+'CO2'!AP81+char!$C$4*N2O!AP81+char!$C$5*SF6_NF3!AP81+char!$C$6*'CH4'!AP81+char!$C$7*HFC!AP81+char!$C$8*PFC!AP81</f>
        <v>42.792748643499998</v>
      </c>
      <c r="AQ81" s="379">
        <f>+'CO2'!AQ81+char!$C$4*N2O!AQ81+char!$C$5*SF6_NF3!AQ81+char!$C$6*'CH4'!AQ81+char!$C$7*HFC!AQ81+char!$C$8*PFC!AQ81</f>
        <v>0</v>
      </c>
      <c r="AR81" s="165">
        <f>+'CO2'!AR81+char!$C$4*N2O!AR81+char!$C$5*SF6_NF3!AR81+char!$C$6*'CH4'!AR81+char!$C$7*HFC!AR81+char!$C$8*PFC!AR81</f>
        <v>40.9342313342</v>
      </c>
      <c r="AS81" s="379">
        <f>+'CO2'!AS81+char!$C$4*N2O!AS81+char!$C$5*SF6_NF3!AS81+char!$C$6*'CH4'!AS81+char!$C$7*HFC!AS81+char!$C$8*PFC!AS81</f>
        <v>0</v>
      </c>
      <c r="AT81" s="165">
        <f>+'CO2'!AT81+char!$C$4*N2O!AT81+char!$C$5*SF6_NF3!AT81+char!$C$6*'CH4'!AT81+char!$C$7*HFC!AT81+char!$C$8*PFC!AT81</f>
        <v>38.991731817499996</v>
      </c>
      <c r="AU81" s="379">
        <f>+'CO2'!AU81+char!$C$4*N2O!AU81+char!$C$5*SF6_NF3!AU81+char!$C$6*'CH4'!AU81+char!$C$7*HFC!AU81+char!$C$8*PFC!AU81</f>
        <v>0</v>
      </c>
      <c r="AV81" s="165">
        <f>+'CO2'!AV81+char!$C$4*N2O!AV81+char!$C$5*SF6_NF3!AV81+char!$C$6*'CH4'!AV81+char!$C$7*HFC!AV81+char!$C$8*PFC!AV81</f>
        <v>28.925386706000001</v>
      </c>
      <c r="AW81" s="379">
        <f>+'CO2'!AW81+char!$C$4*N2O!AW81+char!$C$5*SF6_NF3!AW81+char!$C$6*'CH4'!AW81+char!$C$7*HFC!AW81+char!$C$8*PFC!AW81</f>
        <v>0</v>
      </c>
      <c r="AX81" s="165">
        <f>+'CO2'!AX81+char!$C$4*N2O!AX81+char!$C$5*SF6_NF3!AX81+char!$C$6*'CH4'!AX81+char!$C$7*HFC!AX81+char!$C$8*PFC!AX81</f>
        <v>27.417754983500004</v>
      </c>
      <c r="AY81" s="379">
        <f>+'CO2'!AY81+char!$C$4*N2O!AY81+char!$C$5*SF6_NF3!AY81+char!$C$6*'CH4'!AY81+char!$C$7*HFC!AY81+char!$C$8*PFC!AY81</f>
        <v>0</v>
      </c>
      <c r="AZ81" s="165">
        <f>+'CO2'!AZ81+char!$C$4*N2O!AZ81+char!$C$5*SF6_NF3!AZ81+char!$C$6*'CH4'!AZ81+char!$C$7*HFC!AZ81+char!$C$8*PFC!AZ81</f>
        <v>22.5704001633</v>
      </c>
      <c r="BA81" s="379">
        <f>+'CO2'!BA81+char!$C$4*N2O!BA81+char!$C$5*SF6_NF3!BA81+char!$C$6*'CH4'!BA81+char!$C$7*HFC!BA81+char!$C$8*PFC!BA81</f>
        <v>0</v>
      </c>
      <c r="BB81" s="165">
        <f>+'CO2'!BB81+char!$C$4*N2O!BB81+char!$C$5*SF6_NF3!BB81+char!$C$6*'CH4'!BB81+char!$C$7*HFC!BB81+char!$C$8*PFC!BB81</f>
        <v>20.318427552199999</v>
      </c>
      <c r="BC81" s="379">
        <f>+'CO2'!BC81+char!$C$4*N2O!BC81+char!$C$5*SF6_NF3!BC81+char!$C$6*'CH4'!BC81+char!$C$7*HFC!BC81+char!$C$8*PFC!BC81</f>
        <v>0</v>
      </c>
      <c r="BD81" s="165">
        <f>+'CO2'!BD81+char!$C$4*N2O!BD81+char!$C$5*SF6_NF3!BD81+char!$C$6*'CH4'!BD81+char!$C$7*HFC!BD81+char!$C$8*PFC!BD81</f>
        <v>17.301355326500001</v>
      </c>
      <c r="BE81" s="379">
        <f>+'CO2'!BE81+char!$C$4*N2O!BE81+char!$C$5*SF6_NF3!BE81+char!$C$6*'CH4'!BE81+char!$C$7*HFC!BE81+char!$C$8*PFC!BE81</f>
        <v>0</v>
      </c>
      <c r="BF81" s="165">
        <f>+'CO2'!BF81+char!$C$4*N2O!BF81+char!$C$5*SF6_NF3!BF81+char!$C$6*'CH4'!BF81+char!$C$7*HFC!BF81+char!$C$8*PFC!BF81</f>
        <v>43.371537413699997</v>
      </c>
      <c r="BG81" s="379"/>
      <c r="BH81" s="225"/>
      <c r="BI81" s="184"/>
      <c r="CJ81" s="150"/>
      <c r="CK81" s="150"/>
      <c r="CL81" s="150"/>
      <c r="CM81" s="151" t="s">
        <v>1144</v>
      </c>
      <c r="CN81" s="150" t="s">
        <v>1130</v>
      </c>
      <c r="CO81" s="150"/>
      <c r="CP81" s="150"/>
      <c r="CQ81" s="150"/>
      <c r="CR81" s="150"/>
      <c r="CS81" s="150"/>
      <c r="CT81" s="150"/>
    </row>
    <row r="82" spans="1:98" s="11" customFormat="1" ht="12.75" customHeight="1">
      <c r="A82" s="25"/>
      <c r="B82" s="87" t="str">
        <f>Parameters!Q81</f>
        <v>R</v>
      </c>
      <c r="C82" s="88"/>
      <c r="D82" s="498" t="str">
        <f>Parameters!S81</f>
        <v>Arts, entertainment and recreation</v>
      </c>
      <c r="E82" s="499"/>
      <c r="F82" s="222"/>
      <c r="G82" s="379"/>
      <c r="H82" s="223"/>
      <c r="I82" s="379"/>
      <c r="J82" s="223"/>
      <c r="K82" s="379"/>
      <c r="L82" s="223"/>
      <c r="M82" s="379"/>
      <c r="N82" s="223"/>
      <c r="O82" s="379"/>
      <c r="P82" s="223"/>
      <c r="Q82" s="379"/>
      <c r="R82" s="223"/>
      <c r="S82" s="379"/>
      <c r="T82" s="223"/>
      <c r="U82" s="379"/>
      <c r="V82" s="223"/>
      <c r="W82" s="379"/>
      <c r="X82" s="223"/>
      <c r="Y82" s="379"/>
      <c r="Z82" s="223"/>
      <c r="AA82" s="379"/>
      <c r="AB82" s="223"/>
      <c r="AC82" s="379"/>
      <c r="AD82" s="223"/>
      <c r="AE82" s="379"/>
      <c r="AF82" s="164">
        <f>+'CO2'!AF82+char!$C$4*N2O!AF82+char!$C$5*SF6_NF3!AF82+char!$C$6*'CH4'!AF82+char!$C$7*HFC!AF82+char!$C$8*PFC!AF82</f>
        <v>34.568568579200004</v>
      </c>
      <c r="AG82" s="379">
        <f>+'CO2'!AG82+char!$C$4*N2O!AG82+char!$C$5*SF6_NF3!AG82+char!$C$6*'CH4'!AG82+char!$C$7*HFC!AG82+char!$C$8*PFC!AG82</f>
        <v>0</v>
      </c>
      <c r="AH82" s="164">
        <f>+'CO2'!AH82+char!$C$4*N2O!AH82+char!$C$5*SF6_NF3!AH82+char!$C$6*'CH4'!AH82+char!$C$7*HFC!AH82+char!$C$8*PFC!AH82</f>
        <v>35.502700388100003</v>
      </c>
      <c r="AI82" s="379">
        <f>+'CO2'!AI82+char!$C$4*N2O!AI82+char!$C$5*SF6_NF3!AI82+char!$C$6*'CH4'!AI82+char!$C$7*HFC!AI82+char!$C$8*PFC!AI82</f>
        <v>0</v>
      </c>
      <c r="AJ82" s="164">
        <f>+'CO2'!AJ82+char!$C$4*N2O!AJ82+char!$C$5*SF6_NF3!AJ82+char!$C$6*'CH4'!AJ82+char!$C$7*HFC!AJ82+char!$C$8*PFC!AJ82</f>
        <v>46.594695784599999</v>
      </c>
      <c r="AK82" s="379">
        <f>+'CO2'!AK82+char!$C$4*N2O!AK82+char!$C$5*SF6_NF3!AK82+char!$C$6*'CH4'!AK82+char!$C$7*HFC!AK82+char!$C$8*PFC!AK82</f>
        <v>0</v>
      </c>
      <c r="AL82" s="164">
        <f>+'CO2'!AL82+char!$C$4*N2O!AL82+char!$C$5*SF6_NF3!AL82+char!$C$6*'CH4'!AL82+char!$C$7*HFC!AL82+char!$C$8*PFC!AL82</f>
        <v>40.838385539900003</v>
      </c>
      <c r="AM82" s="379">
        <f>+'CO2'!AM82+char!$C$4*N2O!AM82+char!$C$5*SF6_NF3!AM82+char!$C$6*'CH4'!AM82+char!$C$7*HFC!AM82+char!$C$8*PFC!AM82</f>
        <v>0</v>
      </c>
      <c r="AN82" s="164">
        <f>+'CO2'!AN82+char!$C$4*N2O!AN82+char!$C$5*SF6_NF3!AN82+char!$C$6*'CH4'!AN82+char!$C$7*HFC!AN82+char!$C$8*PFC!AN82</f>
        <v>36.098515231200004</v>
      </c>
      <c r="AO82" s="379">
        <f>+'CO2'!AO82+char!$C$4*N2O!AO82+char!$C$5*SF6_NF3!AO82+char!$C$6*'CH4'!AO82+char!$C$7*HFC!AO82+char!$C$8*PFC!AO82</f>
        <v>0</v>
      </c>
      <c r="AP82" s="164">
        <f>+'CO2'!AP82+char!$C$4*N2O!AP82+char!$C$5*SF6_NF3!AP82+char!$C$6*'CH4'!AP82+char!$C$7*HFC!AP82+char!$C$8*PFC!AP82</f>
        <v>37.044393799599995</v>
      </c>
      <c r="AQ82" s="379">
        <f>+'CO2'!AQ82+char!$C$4*N2O!AQ82+char!$C$5*SF6_NF3!AQ82+char!$C$6*'CH4'!AQ82+char!$C$7*HFC!AQ82+char!$C$8*PFC!AQ82</f>
        <v>0</v>
      </c>
      <c r="AR82" s="164">
        <f>+'CO2'!AR82+char!$C$4*N2O!AR82+char!$C$5*SF6_NF3!AR82+char!$C$6*'CH4'!AR82+char!$C$7*HFC!AR82+char!$C$8*PFC!AR82</f>
        <v>32.7991897072</v>
      </c>
      <c r="AS82" s="379">
        <f>+'CO2'!AS82+char!$C$4*N2O!AS82+char!$C$5*SF6_NF3!AS82+char!$C$6*'CH4'!AS82+char!$C$7*HFC!AS82+char!$C$8*PFC!AS82</f>
        <v>0</v>
      </c>
      <c r="AT82" s="164">
        <f>+'CO2'!AT82+char!$C$4*N2O!AT82+char!$C$5*SF6_NF3!AT82+char!$C$6*'CH4'!AT82+char!$C$7*HFC!AT82+char!$C$8*PFC!AT82</f>
        <v>33.655935703300003</v>
      </c>
      <c r="AU82" s="379">
        <f>+'CO2'!AU82+char!$C$4*N2O!AU82+char!$C$5*SF6_NF3!AU82+char!$C$6*'CH4'!AU82+char!$C$7*HFC!AU82+char!$C$8*PFC!AU82</f>
        <v>0</v>
      </c>
      <c r="AV82" s="164">
        <f>+'CO2'!AV82+char!$C$4*N2O!AV82+char!$C$5*SF6_NF3!AV82+char!$C$6*'CH4'!AV82+char!$C$7*HFC!AV82+char!$C$8*PFC!AV82</f>
        <v>37.572065459299999</v>
      </c>
      <c r="AW82" s="379">
        <f>+'CO2'!AW82+char!$C$4*N2O!AW82+char!$C$5*SF6_NF3!AW82+char!$C$6*'CH4'!AW82+char!$C$7*HFC!AW82+char!$C$8*PFC!AW82</f>
        <v>0</v>
      </c>
      <c r="AX82" s="164">
        <f>+'CO2'!AX82+char!$C$4*N2O!AX82+char!$C$5*SF6_NF3!AX82+char!$C$6*'CH4'!AX82+char!$C$7*HFC!AX82+char!$C$8*PFC!AX82</f>
        <v>41.678725371100001</v>
      </c>
      <c r="AY82" s="379">
        <f>+'CO2'!AY82+char!$C$4*N2O!AY82+char!$C$5*SF6_NF3!AY82+char!$C$6*'CH4'!AY82+char!$C$7*HFC!AY82+char!$C$8*PFC!AY82</f>
        <v>0</v>
      </c>
      <c r="AZ82" s="164">
        <f>+'CO2'!AZ82+char!$C$4*N2O!AZ82+char!$C$5*SF6_NF3!AZ82+char!$C$6*'CH4'!AZ82+char!$C$7*HFC!AZ82+char!$C$8*PFC!AZ82</f>
        <v>42.317135956099996</v>
      </c>
      <c r="BA82" s="379">
        <f>+'CO2'!BA82+char!$C$4*N2O!BA82+char!$C$5*SF6_NF3!BA82+char!$C$6*'CH4'!BA82+char!$C$7*HFC!BA82+char!$C$8*PFC!BA82</f>
        <v>0</v>
      </c>
      <c r="BB82" s="164">
        <f>+'CO2'!BB82+char!$C$4*N2O!BB82+char!$C$5*SF6_NF3!BB82+char!$C$6*'CH4'!BB82+char!$C$7*HFC!BB82+char!$C$8*PFC!BB82</f>
        <v>36.1546305524</v>
      </c>
      <c r="BC82" s="379">
        <f>+'CO2'!BC82+char!$C$4*N2O!BC82+char!$C$5*SF6_NF3!BC82+char!$C$6*'CH4'!BC82+char!$C$7*HFC!BC82+char!$C$8*PFC!BC82</f>
        <v>0</v>
      </c>
      <c r="BD82" s="164">
        <f>+'CO2'!BD82+char!$C$4*N2O!BD82+char!$C$5*SF6_NF3!BD82+char!$C$6*'CH4'!BD82+char!$C$7*HFC!BD82+char!$C$8*PFC!BD82</f>
        <v>29.102962258700003</v>
      </c>
      <c r="BE82" s="379">
        <f>+'CO2'!BE82+char!$C$4*N2O!BE82+char!$C$5*SF6_NF3!BE82+char!$C$6*'CH4'!BE82+char!$C$7*HFC!BE82+char!$C$8*PFC!BE82</f>
        <v>0</v>
      </c>
      <c r="BF82" s="164">
        <f>+'CO2'!BF82+char!$C$4*N2O!BF82+char!$C$5*SF6_NF3!BF82+char!$C$6*'CH4'!BF82+char!$C$7*HFC!BF82+char!$C$8*PFC!BF82</f>
        <v>44.472722590100005</v>
      </c>
      <c r="BG82" s="379"/>
      <c r="BH82" s="223"/>
      <c r="BI82" s="184"/>
      <c r="CJ82" s="150"/>
      <c r="CK82" s="150"/>
      <c r="CL82" s="150"/>
      <c r="CM82" s="151" t="s">
        <v>1070</v>
      </c>
      <c r="CN82" s="150" t="s">
        <v>1130</v>
      </c>
      <c r="CO82" s="150"/>
      <c r="CP82" s="150"/>
      <c r="CQ82" s="150"/>
      <c r="CR82" s="150"/>
      <c r="CS82" s="150"/>
      <c r="CT82" s="150"/>
    </row>
    <row r="83" spans="1:98" s="11" customFormat="1" ht="25.5" customHeight="1">
      <c r="A83" s="310"/>
      <c r="B83" s="308" t="str">
        <f>Parameters!Q82</f>
        <v>R90-R92</v>
      </c>
      <c r="C83" s="309"/>
      <c r="D83" s="495" t="str">
        <f>Parameters!S82</f>
        <v>Creative, arts and entertainment activities; libraries, archives, museums and other cultural activities; gambling and betting activities</v>
      </c>
      <c r="E83" s="497"/>
      <c r="F83" s="224"/>
      <c r="G83" s="379"/>
      <c r="H83" s="225"/>
      <c r="I83" s="379"/>
      <c r="J83" s="225"/>
      <c r="K83" s="379"/>
      <c r="L83" s="225"/>
      <c r="M83" s="379"/>
      <c r="N83" s="225"/>
      <c r="O83" s="379"/>
      <c r="P83" s="225"/>
      <c r="Q83" s="379"/>
      <c r="R83" s="225"/>
      <c r="S83" s="379"/>
      <c r="T83" s="225"/>
      <c r="U83" s="379"/>
      <c r="V83" s="225"/>
      <c r="W83" s="379"/>
      <c r="X83" s="225"/>
      <c r="Y83" s="379"/>
      <c r="Z83" s="225"/>
      <c r="AA83" s="379"/>
      <c r="AB83" s="225"/>
      <c r="AC83" s="379"/>
      <c r="AD83" s="225"/>
      <c r="AE83" s="379"/>
      <c r="AF83" s="165">
        <f>+'CO2'!AF83+char!$C$4*N2O!AF83+char!$C$5*SF6_NF3!AF83+char!$C$6*'CH4'!AF83+char!$C$7*HFC!AF83+char!$C$8*PFC!AF83</f>
        <v>1.2306690447999999</v>
      </c>
      <c r="AG83" s="379">
        <f>+'CO2'!AG83+char!$C$4*N2O!AG83+char!$C$5*SF6_NF3!AG83+char!$C$6*'CH4'!AG83+char!$C$7*HFC!AG83+char!$C$8*PFC!AG83</f>
        <v>0</v>
      </c>
      <c r="AH83" s="165">
        <f>+'CO2'!AH83+char!$C$4*N2O!AH83+char!$C$5*SF6_NF3!AH83+char!$C$6*'CH4'!AH83+char!$C$7*HFC!AH83+char!$C$8*PFC!AH83</f>
        <v>1.5630667844000001</v>
      </c>
      <c r="AI83" s="379">
        <f>+'CO2'!AI83+char!$C$4*N2O!AI83+char!$C$5*SF6_NF3!AI83+char!$C$6*'CH4'!AI83+char!$C$7*HFC!AI83+char!$C$8*PFC!AI83</f>
        <v>0</v>
      </c>
      <c r="AJ83" s="165">
        <f>+'CO2'!AJ83+char!$C$4*N2O!AJ83+char!$C$5*SF6_NF3!AJ83+char!$C$6*'CH4'!AJ83+char!$C$7*HFC!AJ83+char!$C$8*PFC!AJ83</f>
        <v>5.8964348475000001</v>
      </c>
      <c r="AK83" s="379">
        <f>+'CO2'!AK83+char!$C$4*N2O!AK83+char!$C$5*SF6_NF3!AK83+char!$C$6*'CH4'!AK83+char!$C$7*HFC!AK83+char!$C$8*PFC!AK83</f>
        <v>0</v>
      </c>
      <c r="AL83" s="165">
        <f>+'CO2'!AL83+char!$C$4*N2O!AL83+char!$C$5*SF6_NF3!AL83+char!$C$6*'CH4'!AL83+char!$C$7*HFC!AL83+char!$C$8*PFC!AL83</f>
        <v>5.6101557518999998</v>
      </c>
      <c r="AM83" s="379">
        <f>+'CO2'!AM83+char!$C$4*N2O!AM83+char!$C$5*SF6_NF3!AM83+char!$C$6*'CH4'!AM83+char!$C$7*HFC!AM83+char!$C$8*PFC!AM83</f>
        <v>0</v>
      </c>
      <c r="AN83" s="165">
        <f>+'CO2'!AN83+char!$C$4*N2O!AN83+char!$C$5*SF6_NF3!AN83+char!$C$6*'CH4'!AN83+char!$C$7*HFC!AN83+char!$C$8*PFC!AN83</f>
        <v>3.3581828958000002</v>
      </c>
      <c r="AO83" s="379">
        <f>+'CO2'!AO83+char!$C$4*N2O!AO83+char!$C$5*SF6_NF3!AO83+char!$C$6*'CH4'!AO83+char!$C$7*HFC!AO83+char!$C$8*PFC!AO83</f>
        <v>0</v>
      </c>
      <c r="AP83" s="165">
        <f>+'CO2'!AP83+char!$C$4*N2O!AP83+char!$C$5*SF6_NF3!AP83+char!$C$6*'CH4'!AP83+char!$C$7*HFC!AP83+char!$C$8*PFC!AP83</f>
        <v>2.8900064510999997</v>
      </c>
      <c r="AQ83" s="379">
        <f>+'CO2'!AQ83+char!$C$4*N2O!AQ83+char!$C$5*SF6_NF3!AQ83+char!$C$6*'CH4'!AQ83+char!$C$7*HFC!AQ83+char!$C$8*PFC!AQ83</f>
        <v>0</v>
      </c>
      <c r="AR83" s="165">
        <f>+'CO2'!AR83+char!$C$4*N2O!AR83+char!$C$5*SF6_NF3!AR83+char!$C$6*'CH4'!AR83+char!$C$7*HFC!AR83+char!$C$8*PFC!AR83</f>
        <v>2.1119314410999999</v>
      </c>
      <c r="AS83" s="379">
        <f>+'CO2'!AS83+char!$C$4*N2O!AS83+char!$C$5*SF6_NF3!AS83+char!$C$6*'CH4'!AS83+char!$C$7*HFC!AS83+char!$C$8*PFC!AS83</f>
        <v>0</v>
      </c>
      <c r="AT83" s="165">
        <f>+'CO2'!AT83+char!$C$4*N2O!AT83+char!$C$5*SF6_NF3!AT83+char!$C$6*'CH4'!AT83+char!$C$7*HFC!AT83+char!$C$8*PFC!AT83</f>
        <v>3.2923098873000001</v>
      </c>
      <c r="AU83" s="379">
        <f>+'CO2'!AU83+char!$C$4*N2O!AU83+char!$C$5*SF6_NF3!AU83+char!$C$6*'CH4'!AU83+char!$C$7*HFC!AU83+char!$C$8*PFC!AU83</f>
        <v>0</v>
      </c>
      <c r="AV83" s="165">
        <f>+'CO2'!AV83+char!$C$4*N2O!AV83+char!$C$5*SF6_NF3!AV83+char!$C$6*'CH4'!AV83+char!$C$7*HFC!AV83+char!$C$8*PFC!AV83</f>
        <v>2.5720930482000002</v>
      </c>
      <c r="AW83" s="379">
        <f>+'CO2'!AW83+char!$C$4*N2O!AW83+char!$C$5*SF6_NF3!AW83+char!$C$6*'CH4'!AW83+char!$C$7*HFC!AW83+char!$C$8*PFC!AW83</f>
        <v>0</v>
      </c>
      <c r="AX83" s="165">
        <f>+'CO2'!AX83+char!$C$4*N2O!AX83+char!$C$5*SF6_NF3!AX83+char!$C$6*'CH4'!AX83+char!$C$7*HFC!AX83+char!$C$8*PFC!AX83</f>
        <v>6.1540333645</v>
      </c>
      <c r="AY83" s="379">
        <f>+'CO2'!AY83+char!$C$4*N2O!AY83+char!$C$5*SF6_NF3!AY83+char!$C$6*'CH4'!AY83+char!$C$7*HFC!AY83+char!$C$8*PFC!AY83</f>
        <v>0</v>
      </c>
      <c r="AZ83" s="165">
        <f>+'CO2'!AZ83+char!$C$4*N2O!AZ83+char!$C$5*SF6_NF3!AZ83+char!$C$6*'CH4'!AZ83+char!$C$7*HFC!AZ83+char!$C$8*PFC!AZ83</f>
        <v>2.3883580535000002</v>
      </c>
      <c r="BA83" s="379">
        <f>+'CO2'!BA83+char!$C$4*N2O!BA83+char!$C$5*SF6_NF3!BA83+char!$C$6*'CH4'!BA83+char!$C$7*HFC!BA83+char!$C$8*PFC!BA83</f>
        <v>0</v>
      </c>
      <c r="BB83" s="165">
        <f>+'CO2'!BB83+char!$C$4*N2O!BB83+char!$C$5*SF6_NF3!BB83+char!$C$6*'CH4'!BB83+char!$C$7*HFC!BB83+char!$C$8*PFC!BB83</f>
        <v>1.6529691456</v>
      </c>
      <c r="BC83" s="379">
        <f>+'CO2'!BC83+char!$C$4*N2O!BC83+char!$C$5*SF6_NF3!BC83+char!$C$6*'CH4'!BC83+char!$C$7*HFC!BC83+char!$C$8*PFC!BC83</f>
        <v>0</v>
      </c>
      <c r="BD83" s="165">
        <f>+'CO2'!BD83+char!$C$4*N2O!BD83+char!$C$5*SF6_NF3!BD83+char!$C$6*'CH4'!BD83+char!$C$7*HFC!BD83+char!$C$8*PFC!BD83</f>
        <v>1.1434596678</v>
      </c>
      <c r="BE83" s="379">
        <f>+'CO2'!BE83+char!$C$4*N2O!BE83+char!$C$5*SF6_NF3!BE83+char!$C$6*'CH4'!BE83+char!$C$7*HFC!BE83+char!$C$8*PFC!BE83</f>
        <v>0</v>
      </c>
      <c r="BF83" s="165">
        <f>+'CO2'!BF83+char!$C$4*N2O!BF83+char!$C$5*SF6_NF3!BF83+char!$C$6*'CH4'!BF83+char!$C$7*HFC!BF83+char!$C$8*PFC!BF83</f>
        <v>6.8193127306000001</v>
      </c>
      <c r="BG83" s="379"/>
      <c r="BH83" s="225"/>
      <c r="BI83" s="184"/>
      <c r="CJ83" s="150"/>
      <c r="CK83" s="150"/>
      <c r="CL83" s="150"/>
      <c r="CM83" s="151" t="s">
        <v>1145</v>
      </c>
      <c r="CN83" s="150" t="s">
        <v>1130</v>
      </c>
      <c r="CO83" s="150"/>
      <c r="CP83" s="150"/>
      <c r="CQ83" s="150"/>
      <c r="CR83" s="150"/>
      <c r="CS83" s="150"/>
      <c r="CT83" s="150"/>
    </row>
    <row r="84" spans="1:98" s="11" customFormat="1" ht="12.75" customHeight="1">
      <c r="A84" s="310"/>
      <c r="B84" s="308" t="str">
        <f>Parameters!Q83</f>
        <v>R93</v>
      </c>
      <c r="C84" s="309"/>
      <c r="D84" s="495" t="str">
        <f>Parameters!S83</f>
        <v>Sports activities and amusement and recreation activities</v>
      </c>
      <c r="E84" s="497"/>
      <c r="F84" s="224"/>
      <c r="G84" s="379"/>
      <c r="H84" s="225"/>
      <c r="I84" s="379"/>
      <c r="J84" s="225"/>
      <c r="K84" s="379"/>
      <c r="L84" s="225"/>
      <c r="M84" s="379"/>
      <c r="N84" s="225"/>
      <c r="O84" s="379"/>
      <c r="P84" s="225"/>
      <c r="Q84" s="379"/>
      <c r="R84" s="225"/>
      <c r="S84" s="379"/>
      <c r="T84" s="225"/>
      <c r="U84" s="379"/>
      <c r="V84" s="225"/>
      <c r="W84" s="379"/>
      <c r="X84" s="225"/>
      <c r="Y84" s="379"/>
      <c r="Z84" s="225"/>
      <c r="AA84" s="379"/>
      <c r="AB84" s="225"/>
      <c r="AC84" s="379"/>
      <c r="AD84" s="225"/>
      <c r="AE84" s="379"/>
      <c r="AF84" s="165">
        <f>+'CO2'!AF84+char!$C$4*N2O!AF84+char!$C$5*SF6_NF3!AF84+char!$C$6*'CH4'!AF84+char!$C$7*HFC!AF84+char!$C$8*PFC!AF84</f>
        <v>33.337899534399995</v>
      </c>
      <c r="AG84" s="379">
        <f>+'CO2'!AG84+char!$C$4*N2O!AG84+char!$C$5*SF6_NF3!AG84+char!$C$6*'CH4'!AG84+char!$C$7*HFC!AG84+char!$C$8*PFC!AG84</f>
        <v>0</v>
      </c>
      <c r="AH84" s="165">
        <f>+'CO2'!AH84+char!$C$4*N2O!AH84+char!$C$5*SF6_NF3!AH84+char!$C$6*'CH4'!AH84+char!$C$7*HFC!AH84+char!$C$8*PFC!AH84</f>
        <v>33.939633603700003</v>
      </c>
      <c r="AI84" s="379">
        <f>+'CO2'!AI84+char!$C$4*N2O!AI84+char!$C$5*SF6_NF3!AI84+char!$C$6*'CH4'!AI84+char!$C$7*HFC!AI84+char!$C$8*PFC!AI84</f>
        <v>0</v>
      </c>
      <c r="AJ84" s="165">
        <f>+'CO2'!AJ84+char!$C$4*N2O!AJ84+char!$C$5*SF6_NF3!AJ84+char!$C$6*'CH4'!AJ84+char!$C$7*HFC!AJ84+char!$C$8*PFC!AJ84</f>
        <v>40.698260937100002</v>
      </c>
      <c r="AK84" s="379">
        <f>+'CO2'!AK84+char!$C$4*N2O!AK84+char!$C$5*SF6_NF3!AK84+char!$C$6*'CH4'!AK84+char!$C$7*HFC!AK84+char!$C$8*PFC!AK84</f>
        <v>0</v>
      </c>
      <c r="AL84" s="165">
        <f>+'CO2'!AL84+char!$C$4*N2O!AL84+char!$C$5*SF6_NF3!AL84+char!$C$6*'CH4'!AL84+char!$C$7*HFC!AL84+char!$C$8*PFC!AL84</f>
        <v>35.228229788000007</v>
      </c>
      <c r="AM84" s="379">
        <f>+'CO2'!AM84+char!$C$4*N2O!AM84+char!$C$5*SF6_NF3!AM84+char!$C$6*'CH4'!AM84+char!$C$7*HFC!AM84+char!$C$8*PFC!AM84</f>
        <v>0</v>
      </c>
      <c r="AN84" s="165">
        <f>+'CO2'!AN84+char!$C$4*N2O!AN84+char!$C$5*SF6_NF3!AN84+char!$C$6*'CH4'!AN84+char!$C$7*HFC!AN84+char!$C$8*PFC!AN84</f>
        <v>32.740332335400005</v>
      </c>
      <c r="AO84" s="379">
        <f>+'CO2'!AO84+char!$C$4*N2O!AO84+char!$C$5*SF6_NF3!AO84+char!$C$6*'CH4'!AO84+char!$C$7*HFC!AO84+char!$C$8*PFC!AO84</f>
        <v>0</v>
      </c>
      <c r="AP84" s="165">
        <f>+'CO2'!AP84+char!$C$4*N2O!AP84+char!$C$5*SF6_NF3!AP84+char!$C$6*'CH4'!AP84+char!$C$7*HFC!AP84+char!$C$8*PFC!AP84</f>
        <v>34.154387451300003</v>
      </c>
      <c r="AQ84" s="379">
        <f>+'CO2'!AQ84+char!$C$4*N2O!AQ84+char!$C$5*SF6_NF3!AQ84+char!$C$6*'CH4'!AQ84+char!$C$7*HFC!AQ84+char!$C$8*PFC!AQ84</f>
        <v>0</v>
      </c>
      <c r="AR84" s="165">
        <f>+'CO2'!AR84+char!$C$4*N2O!AR84+char!$C$5*SF6_NF3!AR84+char!$C$6*'CH4'!AR84+char!$C$7*HFC!AR84+char!$C$8*PFC!AR84</f>
        <v>30.687258266100002</v>
      </c>
      <c r="AS84" s="379">
        <f>+'CO2'!AS84+char!$C$4*N2O!AS84+char!$C$5*SF6_NF3!AS84+char!$C$6*'CH4'!AS84+char!$C$7*HFC!AS84+char!$C$8*PFC!AS84</f>
        <v>0</v>
      </c>
      <c r="AT84" s="165">
        <f>+'CO2'!AT84+char!$C$4*N2O!AT84+char!$C$5*SF6_NF3!AT84+char!$C$6*'CH4'!AT84+char!$C$7*HFC!AT84+char!$C$8*PFC!AT84</f>
        <v>30.363625716000005</v>
      </c>
      <c r="AU84" s="379">
        <f>+'CO2'!AU84+char!$C$4*N2O!AU84+char!$C$5*SF6_NF3!AU84+char!$C$6*'CH4'!AU84+char!$C$7*HFC!AU84+char!$C$8*PFC!AU84</f>
        <v>0</v>
      </c>
      <c r="AV84" s="165">
        <f>+'CO2'!AV84+char!$C$4*N2O!AV84+char!$C$5*SF6_NF3!AV84+char!$C$6*'CH4'!AV84+char!$C$7*HFC!AV84+char!$C$8*PFC!AV84</f>
        <v>34.999972384599999</v>
      </c>
      <c r="AW84" s="379">
        <f>+'CO2'!AW84+char!$C$4*N2O!AW84+char!$C$5*SF6_NF3!AW84+char!$C$6*'CH4'!AW84+char!$C$7*HFC!AW84+char!$C$8*PFC!AW84</f>
        <v>0</v>
      </c>
      <c r="AX84" s="165">
        <f>+'CO2'!AX84+char!$C$4*N2O!AX84+char!$C$5*SF6_NF3!AX84+char!$C$6*'CH4'!AX84+char!$C$7*HFC!AX84+char!$C$8*PFC!AX84</f>
        <v>35.524691906600005</v>
      </c>
      <c r="AY84" s="379">
        <f>+'CO2'!AY84+char!$C$4*N2O!AY84+char!$C$5*SF6_NF3!AY84+char!$C$6*'CH4'!AY84+char!$C$7*HFC!AY84+char!$C$8*PFC!AY84</f>
        <v>0</v>
      </c>
      <c r="AZ84" s="165">
        <f>+'CO2'!AZ84+char!$C$4*N2O!AZ84+char!$C$5*SF6_NF3!AZ84+char!$C$6*'CH4'!AZ84+char!$C$7*HFC!AZ84+char!$C$8*PFC!AZ84</f>
        <v>39.928777902599997</v>
      </c>
      <c r="BA84" s="379">
        <f>+'CO2'!BA84+char!$C$4*N2O!BA84+char!$C$5*SF6_NF3!BA84+char!$C$6*'CH4'!BA84+char!$C$7*HFC!BA84+char!$C$8*PFC!BA84</f>
        <v>0</v>
      </c>
      <c r="BB84" s="165">
        <f>+'CO2'!BB84+char!$C$4*N2O!BB84+char!$C$5*SF6_NF3!BB84+char!$C$6*'CH4'!BB84+char!$C$7*HFC!BB84+char!$C$8*PFC!BB84</f>
        <v>34.501661404000004</v>
      </c>
      <c r="BC84" s="379">
        <f>+'CO2'!BC84+char!$C$4*N2O!BC84+char!$C$5*SF6_NF3!BC84+char!$C$6*'CH4'!BC84+char!$C$7*HFC!BC84+char!$C$8*PFC!BC84</f>
        <v>0</v>
      </c>
      <c r="BD84" s="165">
        <f>+'CO2'!BD84+char!$C$4*N2O!BD84+char!$C$5*SF6_NF3!BD84+char!$C$6*'CH4'!BD84+char!$C$7*HFC!BD84+char!$C$8*PFC!BD84</f>
        <v>27.9595024909</v>
      </c>
      <c r="BE84" s="379">
        <f>+'CO2'!BE84+char!$C$4*N2O!BE84+char!$C$5*SF6_NF3!BE84+char!$C$6*'CH4'!BE84+char!$C$7*HFC!BE84+char!$C$8*PFC!BE84</f>
        <v>0</v>
      </c>
      <c r="BF84" s="165">
        <f>+'CO2'!BF84+char!$C$4*N2O!BF84+char!$C$5*SF6_NF3!BF84+char!$C$6*'CH4'!BF84+char!$C$7*HFC!BF84+char!$C$8*PFC!BF84</f>
        <v>37.653409859500002</v>
      </c>
      <c r="BG84" s="379"/>
      <c r="BH84" s="225"/>
      <c r="BI84" s="184"/>
      <c r="CJ84" s="150"/>
      <c r="CK84" s="150"/>
      <c r="CL84" s="150"/>
      <c r="CM84" s="151" t="s">
        <v>1074</v>
      </c>
      <c r="CN84" s="150" t="s">
        <v>1130</v>
      </c>
      <c r="CO84" s="150"/>
      <c r="CP84" s="150"/>
      <c r="CQ84" s="150"/>
      <c r="CR84" s="150"/>
      <c r="CS84" s="150"/>
      <c r="CT84" s="150"/>
    </row>
    <row r="85" spans="1:98" s="11" customFormat="1" ht="12.75" customHeight="1">
      <c r="A85" s="25"/>
      <c r="B85" s="87" t="str">
        <f>Parameters!Q84</f>
        <v>S</v>
      </c>
      <c r="C85" s="88"/>
      <c r="D85" s="498" t="str">
        <f>Parameters!S84</f>
        <v>Other service activities</v>
      </c>
      <c r="E85" s="499"/>
      <c r="F85" s="222"/>
      <c r="G85" s="379"/>
      <c r="H85" s="223"/>
      <c r="I85" s="379"/>
      <c r="J85" s="223"/>
      <c r="K85" s="379"/>
      <c r="L85" s="223"/>
      <c r="M85" s="379"/>
      <c r="N85" s="223"/>
      <c r="O85" s="379"/>
      <c r="P85" s="223"/>
      <c r="Q85" s="379"/>
      <c r="R85" s="223"/>
      <c r="S85" s="379"/>
      <c r="T85" s="223"/>
      <c r="U85" s="379"/>
      <c r="V85" s="223"/>
      <c r="W85" s="379"/>
      <c r="X85" s="223"/>
      <c r="Y85" s="379"/>
      <c r="Z85" s="223"/>
      <c r="AA85" s="379"/>
      <c r="AB85" s="223"/>
      <c r="AC85" s="379"/>
      <c r="AD85" s="223"/>
      <c r="AE85" s="379"/>
      <c r="AF85" s="164">
        <f>+'CO2'!AF85+char!$C$4*N2O!AF85+char!$C$5*SF6_NF3!AF85+char!$C$6*'CH4'!AF85+char!$C$7*HFC!AF85+char!$C$8*PFC!AF85</f>
        <v>36.533069121099999</v>
      </c>
      <c r="AG85" s="379">
        <f>+'CO2'!AG85+char!$C$4*N2O!AG85+char!$C$5*SF6_NF3!AG85+char!$C$6*'CH4'!AG85+char!$C$7*HFC!AG85+char!$C$8*PFC!AG85</f>
        <v>0</v>
      </c>
      <c r="AH85" s="164">
        <f>+'CO2'!AH85+char!$C$4*N2O!AH85+char!$C$5*SF6_NF3!AH85+char!$C$6*'CH4'!AH85+char!$C$7*HFC!AH85+char!$C$8*PFC!AH85</f>
        <v>38.952713539299992</v>
      </c>
      <c r="AI85" s="379">
        <f>+'CO2'!AI85+char!$C$4*N2O!AI85+char!$C$5*SF6_NF3!AI85+char!$C$6*'CH4'!AI85+char!$C$7*HFC!AI85+char!$C$8*PFC!AI85</f>
        <v>0</v>
      </c>
      <c r="AJ85" s="164">
        <f>+'CO2'!AJ85+char!$C$4*N2O!AJ85+char!$C$5*SF6_NF3!AJ85+char!$C$6*'CH4'!AJ85+char!$C$7*HFC!AJ85+char!$C$8*PFC!AJ85</f>
        <v>76.62801772249999</v>
      </c>
      <c r="AK85" s="379">
        <f>+'CO2'!AK85+char!$C$4*N2O!AK85+char!$C$5*SF6_NF3!AK85+char!$C$6*'CH4'!AK85+char!$C$7*HFC!AK85+char!$C$8*PFC!AK85</f>
        <v>0</v>
      </c>
      <c r="AL85" s="164">
        <f>+'CO2'!AL85+char!$C$4*N2O!AL85+char!$C$5*SF6_NF3!AL85+char!$C$6*'CH4'!AL85+char!$C$7*HFC!AL85+char!$C$8*PFC!AL85</f>
        <v>61.097946572799998</v>
      </c>
      <c r="AM85" s="379">
        <f>+'CO2'!AM85+char!$C$4*N2O!AM85+char!$C$5*SF6_NF3!AM85+char!$C$6*'CH4'!AM85+char!$C$7*HFC!AM85+char!$C$8*PFC!AM85</f>
        <v>0</v>
      </c>
      <c r="AN85" s="164">
        <f>+'CO2'!AN85+char!$C$4*N2O!AN85+char!$C$5*SF6_NF3!AN85+char!$C$6*'CH4'!AN85+char!$C$7*HFC!AN85+char!$C$8*PFC!AN85</f>
        <v>53.928754028299998</v>
      </c>
      <c r="AO85" s="379">
        <f>+'CO2'!AO85+char!$C$4*N2O!AO85+char!$C$5*SF6_NF3!AO85+char!$C$6*'CH4'!AO85+char!$C$7*HFC!AO85+char!$C$8*PFC!AO85</f>
        <v>0</v>
      </c>
      <c r="AP85" s="164">
        <f>+'CO2'!AP85+char!$C$4*N2O!AP85+char!$C$5*SF6_NF3!AP85+char!$C$6*'CH4'!AP85+char!$C$7*HFC!AP85+char!$C$8*PFC!AP85</f>
        <v>62.926377538300002</v>
      </c>
      <c r="AQ85" s="379">
        <f>+'CO2'!AQ85+char!$C$4*N2O!AQ85+char!$C$5*SF6_NF3!AQ85+char!$C$6*'CH4'!AQ85+char!$C$7*HFC!AQ85+char!$C$8*PFC!AQ85</f>
        <v>0</v>
      </c>
      <c r="AR85" s="164">
        <f>+'CO2'!AR85+char!$C$4*N2O!AR85+char!$C$5*SF6_NF3!AR85+char!$C$6*'CH4'!AR85+char!$C$7*HFC!AR85+char!$C$8*PFC!AR85</f>
        <v>65.570592439500004</v>
      </c>
      <c r="AS85" s="379">
        <f>+'CO2'!AS85+char!$C$4*N2O!AS85+char!$C$5*SF6_NF3!AS85+char!$C$6*'CH4'!AS85+char!$C$7*HFC!AS85+char!$C$8*PFC!AS85</f>
        <v>0</v>
      </c>
      <c r="AT85" s="164">
        <f>+'CO2'!AT85+char!$C$4*N2O!AT85+char!$C$5*SF6_NF3!AT85+char!$C$6*'CH4'!AT85+char!$C$7*HFC!AT85+char!$C$8*PFC!AT85</f>
        <v>54.007542098900004</v>
      </c>
      <c r="AU85" s="379">
        <f>+'CO2'!AU85+char!$C$4*N2O!AU85+char!$C$5*SF6_NF3!AU85+char!$C$6*'CH4'!AU85+char!$C$7*HFC!AU85+char!$C$8*PFC!AU85</f>
        <v>0</v>
      </c>
      <c r="AV85" s="164">
        <f>+'CO2'!AV85+char!$C$4*N2O!AV85+char!$C$5*SF6_NF3!AV85+char!$C$6*'CH4'!AV85+char!$C$7*HFC!AV85+char!$C$8*PFC!AV85</f>
        <v>62.728779377499997</v>
      </c>
      <c r="AW85" s="379">
        <f>+'CO2'!AW85+char!$C$4*N2O!AW85+char!$C$5*SF6_NF3!AW85+char!$C$6*'CH4'!AW85+char!$C$7*HFC!AW85+char!$C$8*PFC!AW85</f>
        <v>0</v>
      </c>
      <c r="AX85" s="164">
        <f>+'CO2'!AX85+char!$C$4*N2O!AX85+char!$C$5*SF6_NF3!AX85+char!$C$6*'CH4'!AX85+char!$C$7*HFC!AX85+char!$C$8*PFC!AX85</f>
        <v>49.089310308400002</v>
      </c>
      <c r="AY85" s="379">
        <f>+'CO2'!AY85+char!$C$4*N2O!AY85+char!$C$5*SF6_NF3!AY85+char!$C$6*'CH4'!AY85+char!$C$7*HFC!AY85+char!$C$8*PFC!AY85</f>
        <v>0</v>
      </c>
      <c r="AZ85" s="164">
        <f>+'CO2'!AZ85+char!$C$4*N2O!AZ85+char!$C$5*SF6_NF3!AZ85+char!$C$6*'CH4'!AZ85+char!$C$7*HFC!AZ85+char!$C$8*PFC!AZ85</f>
        <v>49.695373143699996</v>
      </c>
      <c r="BA85" s="379">
        <f>+'CO2'!BA85+char!$C$4*N2O!BA85+char!$C$5*SF6_NF3!BA85+char!$C$6*'CH4'!BA85+char!$C$7*HFC!BA85+char!$C$8*PFC!BA85</f>
        <v>0</v>
      </c>
      <c r="BB85" s="164">
        <f>+'CO2'!BB85+char!$C$4*N2O!BB85+char!$C$5*SF6_NF3!BB85+char!$C$6*'CH4'!BB85+char!$C$7*HFC!BB85+char!$C$8*PFC!BB85</f>
        <v>42.796973234700005</v>
      </c>
      <c r="BC85" s="379">
        <f>+'CO2'!BC85+char!$C$4*N2O!BC85+char!$C$5*SF6_NF3!BC85+char!$C$6*'CH4'!BC85+char!$C$7*HFC!BC85+char!$C$8*PFC!BC85</f>
        <v>0</v>
      </c>
      <c r="BD85" s="164">
        <f>+'CO2'!BD85+char!$C$4*N2O!BD85+char!$C$5*SF6_NF3!BD85+char!$C$6*'CH4'!BD85+char!$C$7*HFC!BD85+char!$C$8*PFC!BD85</f>
        <v>44.068212690400003</v>
      </c>
      <c r="BE85" s="379">
        <f>+'CO2'!BE85+char!$C$4*N2O!BE85+char!$C$5*SF6_NF3!BE85+char!$C$6*'CH4'!BE85+char!$C$7*HFC!BE85+char!$C$8*PFC!BE85</f>
        <v>0</v>
      </c>
      <c r="BF85" s="164">
        <f>+'CO2'!BF85+char!$C$4*N2O!BF85+char!$C$5*SF6_NF3!BF85+char!$C$6*'CH4'!BF85+char!$C$7*HFC!BF85+char!$C$8*PFC!BF85</f>
        <v>45.965199784600003</v>
      </c>
      <c r="BG85" s="379"/>
      <c r="BH85" s="223"/>
      <c r="BI85" s="184"/>
      <c r="CJ85" s="150"/>
      <c r="CK85" s="150"/>
      <c r="CL85" s="150"/>
      <c r="CM85" s="151" t="s">
        <v>1076</v>
      </c>
      <c r="CN85" s="150" t="s">
        <v>1130</v>
      </c>
      <c r="CO85" s="150"/>
      <c r="CP85" s="150"/>
      <c r="CQ85" s="150"/>
      <c r="CR85" s="150"/>
      <c r="CS85" s="150"/>
      <c r="CT85" s="150"/>
    </row>
    <row r="86" spans="1:98" s="10" customFormat="1" ht="12.75" customHeight="1">
      <c r="A86" s="310"/>
      <c r="B86" s="308" t="str">
        <f>Parameters!Q85</f>
        <v>S94</v>
      </c>
      <c r="C86" s="309"/>
      <c r="D86" s="495" t="str">
        <f>Parameters!S85</f>
        <v>Activities of membership organisations</v>
      </c>
      <c r="E86" s="496"/>
      <c r="F86" s="224"/>
      <c r="G86" s="379"/>
      <c r="H86" s="225"/>
      <c r="I86" s="379"/>
      <c r="J86" s="225"/>
      <c r="K86" s="379"/>
      <c r="L86" s="225"/>
      <c r="M86" s="379"/>
      <c r="N86" s="225"/>
      <c r="O86" s="379"/>
      <c r="P86" s="225"/>
      <c r="Q86" s="379"/>
      <c r="R86" s="225"/>
      <c r="S86" s="379"/>
      <c r="T86" s="225"/>
      <c r="U86" s="379"/>
      <c r="V86" s="225"/>
      <c r="W86" s="379"/>
      <c r="X86" s="225"/>
      <c r="Y86" s="379"/>
      <c r="Z86" s="225"/>
      <c r="AA86" s="379"/>
      <c r="AB86" s="225"/>
      <c r="AC86" s="379"/>
      <c r="AD86" s="225"/>
      <c r="AE86" s="379"/>
      <c r="AF86" s="165">
        <f>+'CO2'!AF86+char!$C$4*N2O!AF86+char!$C$5*SF6_NF3!AF86+char!$C$6*'CH4'!AF86+char!$C$7*HFC!AF86+char!$C$8*PFC!AF86</f>
        <v>3.0518267053999999</v>
      </c>
      <c r="AG86" s="379">
        <f>+'CO2'!AG86+char!$C$4*N2O!AG86+char!$C$5*SF6_NF3!AG86+char!$C$6*'CH4'!AG86+char!$C$7*HFC!AG86+char!$C$8*PFC!AG86</f>
        <v>0</v>
      </c>
      <c r="AH86" s="165">
        <f>+'CO2'!AH86+char!$C$4*N2O!AH86+char!$C$5*SF6_NF3!AH86+char!$C$6*'CH4'!AH86+char!$C$7*HFC!AH86+char!$C$8*PFC!AH86</f>
        <v>4.1641220432999999</v>
      </c>
      <c r="AI86" s="379">
        <f>+'CO2'!AI86+char!$C$4*N2O!AI86+char!$C$5*SF6_NF3!AI86+char!$C$6*'CH4'!AI86+char!$C$7*HFC!AI86+char!$C$8*PFC!AI86</f>
        <v>0</v>
      </c>
      <c r="AJ86" s="165">
        <f>+'CO2'!AJ86+char!$C$4*N2O!AJ86+char!$C$5*SF6_NF3!AJ86+char!$C$6*'CH4'!AJ86+char!$C$7*HFC!AJ86+char!$C$8*PFC!AJ86</f>
        <v>8.1305900475000001</v>
      </c>
      <c r="AK86" s="379">
        <f>+'CO2'!AK86+char!$C$4*N2O!AK86+char!$C$5*SF6_NF3!AK86+char!$C$6*'CH4'!AK86+char!$C$7*HFC!AK86+char!$C$8*PFC!AK86</f>
        <v>0</v>
      </c>
      <c r="AL86" s="165">
        <f>+'CO2'!AL86+char!$C$4*N2O!AL86+char!$C$5*SF6_NF3!AL86+char!$C$6*'CH4'!AL86+char!$C$7*HFC!AL86+char!$C$8*PFC!AL86</f>
        <v>5.0254128682000001</v>
      </c>
      <c r="AM86" s="379">
        <f>+'CO2'!AM86+char!$C$4*N2O!AM86+char!$C$5*SF6_NF3!AM86+char!$C$6*'CH4'!AM86+char!$C$7*HFC!AM86+char!$C$8*PFC!AM86</f>
        <v>0</v>
      </c>
      <c r="AN86" s="165">
        <f>+'CO2'!AN86+char!$C$4*N2O!AN86+char!$C$5*SF6_NF3!AN86+char!$C$6*'CH4'!AN86+char!$C$7*HFC!AN86+char!$C$8*PFC!AN86</f>
        <v>4.4403212956999996</v>
      </c>
      <c r="AO86" s="379">
        <f>+'CO2'!AO86+char!$C$4*N2O!AO86+char!$C$5*SF6_NF3!AO86+char!$C$6*'CH4'!AO86+char!$C$7*HFC!AO86+char!$C$8*PFC!AO86</f>
        <v>0</v>
      </c>
      <c r="AP86" s="165">
        <f>+'CO2'!AP86+char!$C$4*N2O!AP86+char!$C$5*SF6_NF3!AP86+char!$C$6*'CH4'!AP86+char!$C$7*HFC!AP86+char!$C$8*PFC!AP86</f>
        <v>3.9613298612999999</v>
      </c>
      <c r="AQ86" s="379">
        <f>+'CO2'!AQ86+char!$C$4*N2O!AQ86+char!$C$5*SF6_NF3!AQ86+char!$C$6*'CH4'!AQ86+char!$C$7*HFC!AQ86+char!$C$8*PFC!AQ86</f>
        <v>0</v>
      </c>
      <c r="AR86" s="165">
        <f>+'CO2'!AR86+char!$C$4*N2O!AR86+char!$C$5*SF6_NF3!AR86+char!$C$6*'CH4'!AR86+char!$C$7*HFC!AR86+char!$C$8*PFC!AR86</f>
        <v>2.7642686476000002</v>
      </c>
      <c r="AS86" s="379">
        <f>+'CO2'!AS86+char!$C$4*N2O!AS86+char!$C$5*SF6_NF3!AS86+char!$C$6*'CH4'!AS86+char!$C$7*HFC!AS86+char!$C$8*PFC!AS86</f>
        <v>0</v>
      </c>
      <c r="AT86" s="165">
        <f>+'CO2'!AT86+char!$C$4*N2O!AT86+char!$C$5*SF6_NF3!AT86+char!$C$6*'CH4'!AT86+char!$C$7*HFC!AT86+char!$C$8*PFC!AT86</f>
        <v>2.5194109352000003</v>
      </c>
      <c r="AU86" s="379">
        <f>+'CO2'!AU86+char!$C$4*N2O!AU86+char!$C$5*SF6_NF3!AU86+char!$C$6*'CH4'!AU86+char!$C$7*HFC!AU86+char!$C$8*PFC!AU86</f>
        <v>0</v>
      </c>
      <c r="AV86" s="165">
        <f>+'CO2'!AV86+char!$C$4*N2O!AV86+char!$C$5*SF6_NF3!AV86+char!$C$6*'CH4'!AV86+char!$C$7*HFC!AV86+char!$C$8*PFC!AV86</f>
        <v>2.6948071597999999</v>
      </c>
      <c r="AW86" s="379">
        <f>+'CO2'!AW86+char!$C$4*N2O!AW86+char!$C$5*SF6_NF3!AW86+char!$C$6*'CH4'!AW86+char!$C$7*HFC!AW86+char!$C$8*PFC!AW86</f>
        <v>0</v>
      </c>
      <c r="AX86" s="165">
        <f>+'CO2'!AX86+char!$C$4*N2O!AX86+char!$C$5*SF6_NF3!AX86+char!$C$6*'CH4'!AX86+char!$C$7*HFC!AX86+char!$C$8*PFC!AX86</f>
        <v>2.3362335800000005</v>
      </c>
      <c r="AY86" s="379">
        <f>+'CO2'!AY86+char!$C$4*N2O!AY86+char!$C$5*SF6_NF3!AY86+char!$C$6*'CH4'!AY86+char!$C$7*HFC!AY86+char!$C$8*PFC!AY86</f>
        <v>0</v>
      </c>
      <c r="AZ86" s="165">
        <f>+'CO2'!AZ86+char!$C$4*N2O!AZ86+char!$C$5*SF6_NF3!AZ86+char!$C$6*'CH4'!AZ86+char!$C$7*HFC!AZ86+char!$C$8*PFC!AZ86</f>
        <v>2.1281953582999997</v>
      </c>
      <c r="BA86" s="379">
        <f>+'CO2'!BA86+char!$C$4*N2O!BA86+char!$C$5*SF6_NF3!BA86+char!$C$6*'CH4'!BA86+char!$C$7*HFC!BA86+char!$C$8*PFC!BA86</f>
        <v>0</v>
      </c>
      <c r="BB86" s="165">
        <f>+'CO2'!BB86+char!$C$4*N2O!BB86+char!$C$5*SF6_NF3!BB86+char!$C$6*'CH4'!BB86+char!$C$7*HFC!BB86+char!$C$8*PFC!BB86</f>
        <v>1.5837158131999998</v>
      </c>
      <c r="BC86" s="379">
        <f>+'CO2'!BC86+char!$C$4*N2O!BC86+char!$C$5*SF6_NF3!BC86+char!$C$6*'CH4'!BC86+char!$C$7*HFC!BC86+char!$C$8*PFC!BC86</f>
        <v>0</v>
      </c>
      <c r="BD86" s="165">
        <f>+'CO2'!BD86+char!$C$4*N2O!BD86+char!$C$5*SF6_NF3!BD86+char!$C$6*'CH4'!BD86+char!$C$7*HFC!BD86+char!$C$8*PFC!BD86</f>
        <v>0.73921008079999995</v>
      </c>
      <c r="BE86" s="379">
        <f>+'CO2'!BE86+char!$C$4*N2O!BE86+char!$C$5*SF6_NF3!BE86+char!$C$6*'CH4'!BE86+char!$C$7*HFC!BE86+char!$C$8*PFC!BE86</f>
        <v>0</v>
      </c>
      <c r="BF86" s="165">
        <f>+'CO2'!BF86+char!$C$4*N2O!BF86+char!$C$5*SF6_NF3!BF86+char!$C$6*'CH4'!BF86+char!$C$7*HFC!BF86+char!$C$8*PFC!BF86</f>
        <v>1.3685300508</v>
      </c>
      <c r="BG86" s="379"/>
      <c r="BH86" s="225"/>
      <c r="BI86" s="184"/>
      <c r="CJ86" s="150"/>
      <c r="CK86" s="150"/>
      <c r="CL86" s="150"/>
      <c r="CM86" s="151" t="s">
        <v>1078</v>
      </c>
      <c r="CN86" s="150" t="s">
        <v>1130</v>
      </c>
      <c r="CO86" s="150"/>
      <c r="CP86" s="150"/>
      <c r="CQ86" s="150"/>
      <c r="CR86" s="150"/>
      <c r="CS86" s="150"/>
      <c r="CT86" s="150"/>
    </row>
    <row r="87" spans="1:98" s="10" customFormat="1" ht="12.75" customHeight="1">
      <c r="A87" s="310"/>
      <c r="B87" s="308" t="str">
        <f>Parameters!Q86</f>
        <v>S95</v>
      </c>
      <c r="C87" s="309"/>
      <c r="D87" s="495" t="str">
        <f>Parameters!S86</f>
        <v>Repair of computers and personal and household goods</v>
      </c>
      <c r="E87" s="497"/>
      <c r="F87" s="224"/>
      <c r="G87" s="379"/>
      <c r="H87" s="225"/>
      <c r="I87" s="379"/>
      <c r="J87" s="225"/>
      <c r="K87" s="379"/>
      <c r="L87" s="225"/>
      <c r="M87" s="379"/>
      <c r="N87" s="225"/>
      <c r="O87" s="379"/>
      <c r="P87" s="225"/>
      <c r="Q87" s="379"/>
      <c r="R87" s="225"/>
      <c r="S87" s="379"/>
      <c r="T87" s="225"/>
      <c r="U87" s="379"/>
      <c r="V87" s="225"/>
      <c r="W87" s="379"/>
      <c r="X87" s="225"/>
      <c r="Y87" s="379"/>
      <c r="Z87" s="225"/>
      <c r="AA87" s="379"/>
      <c r="AB87" s="225"/>
      <c r="AC87" s="379"/>
      <c r="AD87" s="225"/>
      <c r="AE87" s="379"/>
      <c r="AF87" s="165">
        <f>+'CO2'!AF87+char!$C$4*N2O!AF87+char!$C$5*SF6_NF3!AF87+char!$C$6*'CH4'!AF87+char!$C$7*HFC!AF87+char!$C$8*PFC!AF87</f>
        <v>3.4960870884000004</v>
      </c>
      <c r="AG87" s="379">
        <f>+'CO2'!AG87+char!$C$4*N2O!AG87+char!$C$5*SF6_NF3!AG87+char!$C$6*'CH4'!AG87+char!$C$7*HFC!AG87+char!$C$8*PFC!AG87</f>
        <v>0</v>
      </c>
      <c r="AH87" s="165">
        <f>+'CO2'!AH87+char!$C$4*N2O!AH87+char!$C$5*SF6_NF3!AH87+char!$C$6*'CH4'!AH87+char!$C$7*HFC!AH87+char!$C$8*PFC!AH87</f>
        <v>3.3442208891000003</v>
      </c>
      <c r="AI87" s="379">
        <f>+'CO2'!AI87+char!$C$4*N2O!AI87+char!$C$5*SF6_NF3!AI87+char!$C$6*'CH4'!AI87+char!$C$7*HFC!AI87+char!$C$8*PFC!AI87</f>
        <v>0</v>
      </c>
      <c r="AJ87" s="165">
        <f>+'CO2'!AJ87+char!$C$4*N2O!AJ87+char!$C$5*SF6_NF3!AJ87+char!$C$6*'CH4'!AJ87+char!$C$7*HFC!AJ87+char!$C$8*PFC!AJ87</f>
        <v>4.0668715386000009</v>
      </c>
      <c r="AK87" s="379">
        <f>+'CO2'!AK87+char!$C$4*N2O!AK87+char!$C$5*SF6_NF3!AK87+char!$C$6*'CH4'!AK87+char!$C$7*HFC!AK87+char!$C$8*PFC!AK87</f>
        <v>0</v>
      </c>
      <c r="AL87" s="165">
        <f>+'CO2'!AL87+char!$C$4*N2O!AL87+char!$C$5*SF6_NF3!AL87+char!$C$6*'CH4'!AL87+char!$C$7*HFC!AL87+char!$C$8*PFC!AL87</f>
        <v>3.8690570258000001</v>
      </c>
      <c r="AM87" s="379">
        <f>+'CO2'!AM87+char!$C$4*N2O!AM87+char!$C$5*SF6_NF3!AM87+char!$C$6*'CH4'!AM87+char!$C$7*HFC!AM87+char!$C$8*PFC!AM87</f>
        <v>0</v>
      </c>
      <c r="AN87" s="165">
        <f>+'CO2'!AN87+char!$C$4*N2O!AN87+char!$C$5*SF6_NF3!AN87+char!$C$6*'CH4'!AN87+char!$C$7*HFC!AN87+char!$C$8*PFC!AN87</f>
        <v>4.1969429195000005</v>
      </c>
      <c r="AO87" s="379">
        <f>+'CO2'!AO87+char!$C$4*N2O!AO87+char!$C$5*SF6_NF3!AO87+char!$C$6*'CH4'!AO87+char!$C$7*HFC!AO87+char!$C$8*PFC!AO87</f>
        <v>0</v>
      </c>
      <c r="AP87" s="165">
        <f>+'CO2'!AP87+char!$C$4*N2O!AP87+char!$C$5*SF6_NF3!AP87+char!$C$6*'CH4'!AP87+char!$C$7*HFC!AP87+char!$C$8*PFC!AP87</f>
        <v>4.3271766867999997</v>
      </c>
      <c r="AQ87" s="379">
        <f>+'CO2'!AQ87+char!$C$4*N2O!AQ87+char!$C$5*SF6_NF3!AQ87+char!$C$6*'CH4'!AQ87+char!$C$7*HFC!AQ87+char!$C$8*PFC!AQ87</f>
        <v>0</v>
      </c>
      <c r="AR87" s="165">
        <f>+'CO2'!AR87+char!$C$4*N2O!AR87+char!$C$5*SF6_NF3!AR87+char!$C$6*'CH4'!AR87+char!$C$7*HFC!AR87+char!$C$8*PFC!AR87</f>
        <v>4.1611464302000005</v>
      </c>
      <c r="AS87" s="379">
        <f>+'CO2'!AS87+char!$C$4*N2O!AS87+char!$C$5*SF6_NF3!AS87+char!$C$6*'CH4'!AS87+char!$C$7*HFC!AS87+char!$C$8*PFC!AS87</f>
        <v>0</v>
      </c>
      <c r="AT87" s="165">
        <f>+'CO2'!AT87+char!$C$4*N2O!AT87+char!$C$5*SF6_NF3!AT87+char!$C$6*'CH4'!AT87+char!$C$7*HFC!AT87+char!$C$8*PFC!AT87</f>
        <v>4.5849140364999998</v>
      </c>
      <c r="AU87" s="379">
        <f>+'CO2'!AU87+char!$C$4*N2O!AU87+char!$C$5*SF6_NF3!AU87+char!$C$6*'CH4'!AU87+char!$C$7*HFC!AU87+char!$C$8*PFC!AU87</f>
        <v>0</v>
      </c>
      <c r="AV87" s="165">
        <f>+'CO2'!AV87+char!$C$4*N2O!AV87+char!$C$5*SF6_NF3!AV87+char!$C$6*'CH4'!AV87+char!$C$7*HFC!AV87+char!$C$8*PFC!AV87</f>
        <v>5.9513100567999997</v>
      </c>
      <c r="AW87" s="379">
        <f>+'CO2'!AW87+char!$C$4*N2O!AW87+char!$C$5*SF6_NF3!AW87+char!$C$6*'CH4'!AW87+char!$C$7*HFC!AW87+char!$C$8*PFC!AW87</f>
        <v>0</v>
      </c>
      <c r="AX87" s="165">
        <f>+'CO2'!AX87+char!$C$4*N2O!AX87+char!$C$5*SF6_NF3!AX87+char!$C$6*'CH4'!AX87+char!$C$7*HFC!AX87+char!$C$8*PFC!AX87</f>
        <v>5.1304178431</v>
      </c>
      <c r="AY87" s="379">
        <f>+'CO2'!AY87+char!$C$4*N2O!AY87+char!$C$5*SF6_NF3!AY87+char!$C$6*'CH4'!AY87+char!$C$7*HFC!AY87+char!$C$8*PFC!AY87</f>
        <v>0</v>
      </c>
      <c r="AZ87" s="165">
        <f>+'CO2'!AZ87+char!$C$4*N2O!AZ87+char!$C$5*SF6_NF3!AZ87+char!$C$6*'CH4'!AZ87+char!$C$7*HFC!AZ87+char!$C$8*PFC!AZ87</f>
        <v>5.2374882124999997</v>
      </c>
      <c r="BA87" s="379">
        <f>+'CO2'!BA87+char!$C$4*N2O!BA87+char!$C$5*SF6_NF3!BA87+char!$C$6*'CH4'!BA87+char!$C$7*HFC!BA87+char!$C$8*PFC!BA87</f>
        <v>0</v>
      </c>
      <c r="BB87" s="165">
        <f>+'CO2'!BB87+char!$C$4*N2O!BB87+char!$C$5*SF6_NF3!BB87+char!$C$6*'CH4'!BB87+char!$C$7*HFC!BB87+char!$C$8*PFC!BB87</f>
        <v>5.2341491862999998</v>
      </c>
      <c r="BC87" s="379">
        <f>+'CO2'!BC87+char!$C$4*N2O!BC87+char!$C$5*SF6_NF3!BC87+char!$C$6*'CH4'!BC87+char!$C$7*HFC!BC87+char!$C$8*PFC!BC87</f>
        <v>0</v>
      </c>
      <c r="BD87" s="165">
        <f>+'CO2'!BD87+char!$C$4*N2O!BD87+char!$C$5*SF6_NF3!BD87+char!$C$6*'CH4'!BD87+char!$C$7*HFC!BD87+char!$C$8*PFC!BD87</f>
        <v>6.7581614668000007</v>
      </c>
      <c r="BE87" s="379">
        <f>+'CO2'!BE87+char!$C$4*N2O!BE87+char!$C$5*SF6_NF3!BE87+char!$C$6*'CH4'!BE87+char!$C$7*HFC!BE87+char!$C$8*PFC!BE87</f>
        <v>0</v>
      </c>
      <c r="BF87" s="165">
        <f>+'CO2'!BF87+char!$C$4*N2O!BF87+char!$C$5*SF6_NF3!BF87+char!$C$6*'CH4'!BF87+char!$C$7*HFC!BF87+char!$C$8*PFC!BF87</f>
        <v>4.6403024350999997</v>
      </c>
      <c r="BG87" s="379"/>
      <c r="BH87" s="225"/>
      <c r="BI87" s="184"/>
      <c r="CJ87" s="150"/>
      <c r="CK87" s="150"/>
      <c r="CL87" s="150"/>
      <c r="CM87" s="151" t="s">
        <v>1080</v>
      </c>
      <c r="CN87" s="150" t="s">
        <v>1130</v>
      </c>
      <c r="CO87" s="150"/>
      <c r="CP87" s="150"/>
      <c r="CQ87" s="150"/>
      <c r="CR87" s="150"/>
      <c r="CS87" s="150"/>
      <c r="CT87" s="150"/>
    </row>
    <row r="88" spans="1:98" s="10" customFormat="1" ht="12.75" customHeight="1">
      <c r="A88" s="310"/>
      <c r="B88" s="308" t="str">
        <f>Parameters!Q87</f>
        <v>S96</v>
      </c>
      <c r="C88" s="309"/>
      <c r="D88" s="495" t="str">
        <f>Parameters!S87</f>
        <v>Other personal service activities</v>
      </c>
      <c r="E88" s="497"/>
      <c r="F88" s="224"/>
      <c r="G88" s="379"/>
      <c r="H88" s="225"/>
      <c r="I88" s="379"/>
      <c r="J88" s="225"/>
      <c r="K88" s="379"/>
      <c r="L88" s="225"/>
      <c r="M88" s="379"/>
      <c r="N88" s="225"/>
      <c r="O88" s="379"/>
      <c r="P88" s="225"/>
      <c r="Q88" s="379"/>
      <c r="R88" s="225"/>
      <c r="S88" s="379"/>
      <c r="T88" s="225"/>
      <c r="U88" s="379"/>
      <c r="V88" s="225"/>
      <c r="W88" s="379"/>
      <c r="X88" s="225"/>
      <c r="Y88" s="379"/>
      <c r="Z88" s="225"/>
      <c r="AA88" s="379"/>
      <c r="AB88" s="225"/>
      <c r="AC88" s="379"/>
      <c r="AD88" s="225"/>
      <c r="AE88" s="379"/>
      <c r="AF88" s="165">
        <f>+'CO2'!AF88+char!$C$4*N2O!AF88+char!$C$5*SF6_NF3!AF88+char!$C$6*'CH4'!AF88+char!$C$7*HFC!AF88+char!$C$8*PFC!AF88</f>
        <v>29.9851554273</v>
      </c>
      <c r="AG88" s="379">
        <f>+'CO2'!AG88+char!$C$4*N2O!AG88+char!$C$5*SF6_NF3!AG88+char!$C$6*'CH4'!AG88+char!$C$7*HFC!AG88+char!$C$8*PFC!AG88</f>
        <v>0</v>
      </c>
      <c r="AH88" s="165">
        <f>+'CO2'!AH88+char!$C$4*N2O!AH88+char!$C$5*SF6_NF3!AH88+char!$C$6*'CH4'!AH88+char!$C$7*HFC!AH88+char!$C$8*PFC!AH88</f>
        <v>31.4443706042</v>
      </c>
      <c r="AI88" s="379">
        <f>+'CO2'!AI88+char!$C$4*N2O!AI88+char!$C$5*SF6_NF3!AI88+char!$C$6*'CH4'!AI88+char!$C$7*HFC!AI88+char!$C$8*PFC!AI88</f>
        <v>0</v>
      </c>
      <c r="AJ88" s="165">
        <f>+'CO2'!AJ88+char!$C$4*N2O!AJ88+char!$C$5*SF6_NF3!AJ88+char!$C$6*'CH4'!AJ88+char!$C$7*HFC!AJ88+char!$C$8*PFC!AJ88</f>
        <v>64.430556036400006</v>
      </c>
      <c r="AK88" s="379">
        <f>+'CO2'!AK88+char!$C$4*N2O!AK88+char!$C$5*SF6_NF3!AK88+char!$C$6*'CH4'!AK88+char!$C$7*HFC!AK88+char!$C$8*PFC!AK88</f>
        <v>0</v>
      </c>
      <c r="AL88" s="165">
        <f>+'CO2'!AL88+char!$C$4*N2O!AL88+char!$C$5*SF6_NF3!AL88+char!$C$6*'CH4'!AL88+char!$C$7*HFC!AL88+char!$C$8*PFC!AL88</f>
        <v>52.203476681700003</v>
      </c>
      <c r="AM88" s="379">
        <f>+'CO2'!AM88+char!$C$4*N2O!AM88+char!$C$5*SF6_NF3!AM88+char!$C$6*'CH4'!AM88+char!$C$7*HFC!AM88+char!$C$8*PFC!AM88</f>
        <v>0</v>
      </c>
      <c r="AN88" s="165">
        <f>+'CO2'!AN88+char!$C$4*N2O!AN88+char!$C$5*SF6_NF3!AN88+char!$C$6*'CH4'!AN88+char!$C$7*HFC!AN88+char!$C$8*PFC!AN88</f>
        <v>45.291489913199996</v>
      </c>
      <c r="AO88" s="379">
        <f>+'CO2'!AO88+char!$C$4*N2O!AO88+char!$C$5*SF6_NF3!AO88+char!$C$6*'CH4'!AO88+char!$C$7*HFC!AO88+char!$C$8*PFC!AO88</f>
        <v>0</v>
      </c>
      <c r="AP88" s="165">
        <f>+'CO2'!AP88+char!$C$4*N2O!AP88+char!$C$5*SF6_NF3!AP88+char!$C$6*'CH4'!AP88+char!$C$7*HFC!AP88+char!$C$8*PFC!AP88</f>
        <v>54.637870987399999</v>
      </c>
      <c r="AQ88" s="379">
        <f>+'CO2'!AQ88+char!$C$4*N2O!AQ88+char!$C$5*SF6_NF3!AQ88+char!$C$6*'CH4'!AQ88+char!$C$7*HFC!AQ88+char!$C$8*PFC!AQ88</f>
        <v>0</v>
      </c>
      <c r="AR88" s="165">
        <f>+'CO2'!AR88+char!$C$4*N2O!AR88+char!$C$5*SF6_NF3!AR88+char!$C$6*'CH4'!AR88+char!$C$7*HFC!AR88+char!$C$8*PFC!AR88</f>
        <v>58.645177335199996</v>
      </c>
      <c r="AS88" s="379">
        <f>+'CO2'!AS88+char!$C$4*N2O!AS88+char!$C$5*SF6_NF3!AS88+char!$C$6*'CH4'!AS88+char!$C$7*HFC!AS88+char!$C$8*PFC!AS88</f>
        <v>0</v>
      </c>
      <c r="AT88" s="165">
        <f>+'CO2'!AT88+char!$C$4*N2O!AT88+char!$C$5*SF6_NF3!AT88+char!$C$6*'CH4'!AT88+char!$C$7*HFC!AT88+char!$C$8*PFC!AT88</f>
        <v>46.903217127199994</v>
      </c>
      <c r="AU88" s="379">
        <f>+'CO2'!AU88+char!$C$4*N2O!AU88+char!$C$5*SF6_NF3!AU88+char!$C$6*'CH4'!AU88+char!$C$7*HFC!AU88+char!$C$8*PFC!AU88</f>
        <v>0</v>
      </c>
      <c r="AV88" s="165">
        <f>+'CO2'!AV88+char!$C$4*N2O!AV88+char!$C$5*SF6_NF3!AV88+char!$C$6*'CH4'!AV88+char!$C$7*HFC!AV88+char!$C$8*PFC!AV88</f>
        <v>54.082662287400005</v>
      </c>
      <c r="AW88" s="379">
        <f>+'CO2'!AW88+char!$C$4*N2O!AW88+char!$C$5*SF6_NF3!AW88+char!$C$6*'CH4'!AW88+char!$C$7*HFC!AW88+char!$C$8*PFC!AW88</f>
        <v>0</v>
      </c>
      <c r="AX88" s="165">
        <f>+'CO2'!AX88+char!$C$4*N2O!AX88+char!$C$5*SF6_NF3!AX88+char!$C$6*'CH4'!AX88+char!$C$7*HFC!AX88+char!$C$8*PFC!AX88</f>
        <v>41.622658885299991</v>
      </c>
      <c r="AY88" s="379">
        <f>+'CO2'!AY88+char!$C$4*N2O!AY88+char!$C$5*SF6_NF3!AY88+char!$C$6*'CH4'!AY88+char!$C$7*HFC!AY88+char!$C$8*PFC!AY88</f>
        <v>0</v>
      </c>
      <c r="AZ88" s="165">
        <f>+'CO2'!AZ88+char!$C$4*N2O!AZ88+char!$C$5*SF6_NF3!AZ88+char!$C$6*'CH4'!AZ88+char!$C$7*HFC!AZ88+char!$C$8*PFC!AZ88</f>
        <v>42.329689570099994</v>
      </c>
      <c r="BA88" s="379">
        <f>+'CO2'!BA88+char!$C$4*N2O!BA88+char!$C$5*SF6_NF3!BA88+char!$C$6*'CH4'!BA88+char!$C$7*HFC!BA88+char!$C$8*PFC!BA88</f>
        <v>0</v>
      </c>
      <c r="BB88" s="165">
        <f>+'CO2'!BB88+char!$C$4*N2O!BB88+char!$C$5*SF6_NF3!BB88+char!$C$6*'CH4'!BB88+char!$C$7*HFC!BB88+char!$C$8*PFC!BB88</f>
        <v>35.979108235200002</v>
      </c>
      <c r="BC88" s="379">
        <f>+'CO2'!BC88+char!$C$4*N2O!BC88+char!$C$5*SF6_NF3!BC88+char!$C$6*'CH4'!BC88+char!$C$7*HFC!BC88+char!$C$8*PFC!BC88</f>
        <v>0</v>
      </c>
      <c r="BD88" s="165">
        <f>+'CO2'!BD88+char!$C$4*N2O!BD88+char!$C$5*SF6_NF3!BD88+char!$C$6*'CH4'!BD88+char!$C$7*HFC!BD88+char!$C$8*PFC!BD88</f>
        <v>36.570841142799999</v>
      </c>
      <c r="BE88" s="379">
        <f>+'CO2'!BE88+char!$C$4*N2O!BE88+char!$C$5*SF6_NF3!BE88+char!$C$6*'CH4'!BE88+char!$C$7*HFC!BE88+char!$C$8*PFC!BE88</f>
        <v>0</v>
      </c>
      <c r="BF88" s="165">
        <f>+'CO2'!BF88+char!$C$4*N2O!BF88+char!$C$5*SF6_NF3!BF88+char!$C$6*'CH4'!BF88+char!$C$7*HFC!BF88+char!$C$8*PFC!BF88</f>
        <v>39.956367295900009</v>
      </c>
      <c r="BG88" s="379"/>
      <c r="BH88" s="225"/>
      <c r="BI88" s="184"/>
      <c r="CJ88" s="150"/>
      <c r="CK88" s="150"/>
      <c r="CL88" s="150"/>
      <c r="CM88" s="151" t="s">
        <v>1082</v>
      </c>
      <c r="CN88" s="150" t="s">
        <v>1130</v>
      </c>
      <c r="CO88" s="150"/>
      <c r="CP88" s="150"/>
      <c r="CQ88" s="150"/>
      <c r="CR88" s="150"/>
      <c r="CS88" s="150"/>
      <c r="CT88" s="150"/>
    </row>
    <row r="89" spans="1:98" s="10" customFormat="1" ht="30.75" customHeight="1">
      <c r="A89" s="25"/>
      <c r="B89" s="87" t="str">
        <f>Parameters!Q88</f>
        <v>T</v>
      </c>
      <c r="C89" s="88"/>
      <c r="D89" s="498" t="str">
        <f>Parameters!S88</f>
        <v>Activities of households as employers; undifferentiated goods- and services-producing activities of households for own use</v>
      </c>
      <c r="E89" s="499"/>
      <c r="F89" s="222"/>
      <c r="G89" s="379"/>
      <c r="H89" s="231"/>
      <c r="I89" s="379"/>
      <c r="J89" s="231"/>
      <c r="K89" s="379"/>
      <c r="L89" s="231"/>
      <c r="M89" s="379"/>
      <c r="N89" s="231"/>
      <c r="O89" s="379"/>
      <c r="P89" s="231"/>
      <c r="Q89" s="379"/>
      <c r="R89" s="231"/>
      <c r="S89" s="379"/>
      <c r="T89" s="231"/>
      <c r="U89" s="379"/>
      <c r="V89" s="231"/>
      <c r="W89" s="379"/>
      <c r="X89" s="231"/>
      <c r="Y89" s="379"/>
      <c r="Z89" s="231"/>
      <c r="AA89" s="379"/>
      <c r="AB89" s="231"/>
      <c r="AC89" s="379"/>
      <c r="AD89" s="231"/>
      <c r="AE89" s="379"/>
      <c r="AF89" s="169">
        <f>+'CO2'!AF89+char!$C$4*N2O!AF89+char!$C$5*SF6_NF3!AF89+char!$C$6*'CH4'!AF89+char!$C$7*HFC!AF89+char!$C$8*PFC!AF89</f>
        <v>0.75269743439999992</v>
      </c>
      <c r="AG89" s="379">
        <f>+'CO2'!AG89+char!$C$4*N2O!AG89+char!$C$5*SF6_NF3!AG89+char!$C$6*'CH4'!AG89+char!$C$7*HFC!AG89+char!$C$8*PFC!AG89</f>
        <v>0</v>
      </c>
      <c r="AH89" s="169">
        <f>+'CO2'!AH89+char!$C$4*N2O!AH89+char!$C$5*SF6_NF3!AH89+char!$C$6*'CH4'!AH89+char!$C$7*HFC!AH89+char!$C$8*PFC!AH89</f>
        <v>1.5160267792</v>
      </c>
      <c r="AI89" s="379">
        <f>+'CO2'!AI89+char!$C$4*N2O!AI89+char!$C$5*SF6_NF3!AI89+char!$C$6*'CH4'!AI89+char!$C$7*HFC!AI89+char!$C$8*PFC!AI89</f>
        <v>0</v>
      </c>
      <c r="AJ89" s="169">
        <f>+'CO2'!AJ89+char!$C$4*N2O!AJ89+char!$C$5*SF6_NF3!AJ89+char!$C$6*'CH4'!AJ89+char!$C$7*HFC!AJ89+char!$C$8*PFC!AJ89</f>
        <v>3.7089835864</v>
      </c>
      <c r="AK89" s="379">
        <f>+'CO2'!AK89+char!$C$4*N2O!AK89+char!$C$5*SF6_NF3!AK89+char!$C$6*'CH4'!AK89+char!$C$7*HFC!AK89+char!$C$8*PFC!AK89</f>
        <v>0</v>
      </c>
      <c r="AL89" s="169">
        <f>+'CO2'!AL89+char!$C$4*N2O!AL89+char!$C$5*SF6_NF3!AL89+char!$C$6*'CH4'!AL89+char!$C$7*HFC!AL89+char!$C$8*PFC!AL89</f>
        <v>1.6514318616999999</v>
      </c>
      <c r="AM89" s="379">
        <f>+'CO2'!AM89+char!$C$4*N2O!AM89+char!$C$5*SF6_NF3!AM89+char!$C$6*'CH4'!AM89+char!$C$7*HFC!AM89+char!$C$8*PFC!AM89</f>
        <v>0</v>
      </c>
      <c r="AN89" s="169">
        <f>+'CO2'!AN89+char!$C$4*N2O!AN89+char!$C$5*SF6_NF3!AN89+char!$C$6*'CH4'!AN89+char!$C$7*HFC!AN89+char!$C$8*PFC!AN89</f>
        <v>1.0750467061</v>
      </c>
      <c r="AO89" s="379">
        <f>+'CO2'!AO89+char!$C$4*N2O!AO89+char!$C$5*SF6_NF3!AO89+char!$C$6*'CH4'!AO89+char!$C$7*HFC!AO89+char!$C$8*PFC!AO89</f>
        <v>0</v>
      </c>
      <c r="AP89" s="169">
        <f>+'CO2'!AP89+char!$C$4*N2O!AP89+char!$C$5*SF6_NF3!AP89+char!$C$6*'CH4'!AP89+char!$C$7*HFC!AP89+char!$C$8*PFC!AP89</f>
        <v>1.0755072519</v>
      </c>
      <c r="AQ89" s="379">
        <f>+'CO2'!AQ89+char!$C$4*N2O!AQ89+char!$C$5*SF6_NF3!AQ89+char!$C$6*'CH4'!AQ89+char!$C$7*HFC!AQ89+char!$C$8*PFC!AQ89</f>
        <v>0</v>
      </c>
      <c r="AR89" s="169">
        <f>+'CO2'!AR89+char!$C$4*N2O!AR89+char!$C$5*SF6_NF3!AR89+char!$C$6*'CH4'!AR89+char!$C$7*HFC!AR89+char!$C$8*PFC!AR89</f>
        <v>1.1861411582999999</v>
      </c>
      <c r="AS89" s="379">
        <f>+'CO2'!AS89+char!$C$4*N2O!AS89+char!$C$5*SF6_NF3!AS89+char!$C$6*'CH4'!AS89+char!$C$7*HFC!AS89+char!$C$8*PFC!AS89</f>
        <v>0</v>
      </c>
      <c r="AT89" s="169">
        <f>+'CO2'!AT89+char!$C$4*N2O!AT89+char!$C$5*SF6_NF3!AT89+char!$C$6*'CH4'!AT89+char!$C$7*HFC!AT89+char!$C$8*PFC!AT89</f>
        <v>0.95354156699999992</v>
      </c>
      <c r="AU89" s="379">
        <f>+'CO2'!AU89+char!$C$4*N2O!AU89+char!$C$5*SF6_NF3!AU89+char!$C$6*'CH4'!AU89+char!$C$7*HFC!AU89+char!$C$8*PFC!AU89</f>
        <v>0</v>
      </c>
      <c r="AV89" s="164">
        <f>+'CO2'!AV89+char!$C$4*N2O!AV89+char!$C$5*SF6_NF3!AV89+char!$C$6*'CH4'!AV89+char!$C$7*HFC!AV89+char!$C$8*PFC!AV89</f>
        <v>0.87790564840000007</v>
      </c>
      <c r="AW89" s="379">
        <f>+'CO2'!AW89+char!$C$4*N2O!AW89+char!$C$5*SF6_NF3!AW89+char!$C$6*'CH4'!AW89+char!$C$7*HFC!AW89+char!$C$8*PFC!AW89</f>
        <v>0</v>
      </c>
      <c r="AX89" s="164">
        <f>+'CO2'!AX89+char!$C$4*N2O!AX89+char!$C$5*SF6_NF3!AX89+char!$C$6*'CH4'!AX89+char!$C$7*HFC!AX89+char!$C$8*PFC!AX89</f>
        <v>0.63480849340000001</v>
      </c>
      <c r="AY89" s="379">
        <f>+'CO2'!AY89+char!$C$4*N2O!AY89+char!$C$5*SF6_NF3!AY89+char!$C$6*'CH4'!AY89+char!$C$7*HFC!AY89+char!$C$8*PFC!AY89</f>
        <v>0</v>
      </c>
      <c r="AZ89" s="164">
        <f>+'CO2'!AZ89+char!$C$4*N2O!AZ89+char!$C$5*SF6_NF3!AZ89+char!$C$6*'CH4'!AZ89+char!$C$7*HFC!AZ89+char!$C$8*PFC!AZ89</f>
        <v>0.61898400919999996</v>
      </c>
      <c r="BA89" s="379">
        <f>+'CO2'!BA89+char!$C$4*N2O!BA89+char!$C$5*SF6_NF3!BA89+char!$C$6*'CH4'!BA89+char!$C$7*HFC!BA89+char!$C$8*PFC!BA89</f>
        <v>0</v>
      </c>
      <c r="BB89" s="164">
        <f>+'CO2'!BB89+char!$C$4*N2O!BB89+char!$C$5*SF6_NF3!BB89+char!$C$6*'CH4'!BB89+char!$C$7*HFC!BB89+char!$C$8*PFC!BB89</f>
        <v>0.27034846849999994</v>
      </c>
      <c r="BC89" s="379">
        <f>+'CO2'!BC89+char!$C$4*N2O!BC89+char!$C$5*SF6_NF3!BC89+char!$C$6*'CH4'!BC89+char!$C$7*HFC!BC89+char!$C$8*PFC!BC89</f>
        <v>0</v>
      </c>
      <c r="BD89" s="164">
        <f>+'CO2'!BD89+char!$C$4*N2O!BD89+char!$C$5*SF6_NF3!BD89+char!$C$6*'CH4'!BD89+char!$C$7*HFC!BD89+char!$C$8*PFC!BD89</f>
        <v>0.19256935370000003</v>
      </c>
      <c r="BE89" s="379">
        <f>+'CO2'!BE89+char!$C$4*N2O!BE89+char!$C$5*SF6_NF3!BE89+char!$C$6*'CH4'!BE89+char!$C$7*HFC!BE89+char!$C$8*PFC!BE89</f>
        <v>0</v>
      </c>
      <c r="BF89" s="164">
        <f>+'CO2'!BF89+char!$C$4*N2O!BF89+char!$C$5*SF6_NF3!BF89+char!$C$6*'CH4'!BF89+char!$C$7*HFC!BF89+char!$C$8*PFC!BF89</f>
        <v>0.30787857029999999</v>
      </c>
      <c r="BG89" s="379"/>
      <c r="BH89" s="223"/>
      <c r="BI89" s="184"/>
      <c r="CJ89" s="150"/>
      <c r="CK89" s="150"/>
      <c r="CL89" s="150"/>
      <c r="CM89" s="151" t="s">
        <v>647</v>
      </c>
      <c r="CN89" s="150" t="s">
        <v>1130</v>
      </c>
      <c r="CO89" s="150"/>
      <c r="CP89" s="150"/>
      <c r="CQ89" s="150"/>
      <c r="CR89" s="150"/>
      <c r="CS89" s="150"/>
      <c r="CT89" s="150"/>
    </row>
    <row r="90" spans="1:98" s="10" customFormat="1" ht="17.25" customHeight="1" thickBot="1">
      <c r="A90" s="25"/>
      <c r="B90" s="98" t="str">
        <f>Parameters!Q89</f>
        <v>U</v>
      </c>
      <c r="C90" s="14"/>
      <c r="D90" s="500" t="str">
        <f>Parameters!S89</f>
        <v>Activities of extraterritorial organisations and bodies</v>
      </c>
      <c r="E90" s="501"/>
      <c r="F90" s="222"/>
      <c r="G90" s="379"/>
      <c r="H90" s="223"/>
      <c r="I90" s="379"/>
      <c r="J90" s="223"/>
      <c r="K90" s="379"/>
      <c r="L90" s="223"/>
      <c r="M90" s="379"/>
      <c r="N90" s="223"/>
      <c r="O90" s="379"/>
      <c r="P90" s="223"/>
      <c r="Q90" s="379"/>
      <c r="R90" s="223"/>
      <c r="S90" s="379"/>
      <c r="T90" s="223"/>
      <c r="U90" s="379"/>
      <c r="V90" s="223"/>
      <c r="W90" s="379"/>
      <c r="X90" s="223"/>
      <c r="Y90" s="379"/>
      <c r="Z90" s="223"/>
      <c r="AA90" s="379"/>
      <c r="AB90" s="223"/>
      <c r="AC90" s="379"/>
      <c r="AD90" s="223"/>
      <c r="AE90" s="379"/>
      <c r="AF90" s="164">
        <f>+'CO2'!AF90+char!$C$4*N2O!AF90+char!$C$5*SF6_NF3!AF90+char!$C$6*'CH4'!AF90+char!$C$7*HFC!AF90+char!$C$8*PFC!AF90</f>
        <v>0</v>
      </c>
      <c r="AG90" s="379" t="e">
        <f>+'CO2'!AG90+char!$C$4*N2O!AG90+char!$C$5*SF6_NF3!AG90+char!$C$6*'CH4'!AG90+char!$C$7*HFC!AG90+char!$C$8*PFC!AG90</f>
        <v>#VALUE!</v>
      </c>
      <c r="AH90" s="164">
        <f>+'CO2'!AH90+char!$C$4*N2O!AH90+char!$C$5*SF6_NF3!AH90+char!$C$6*'CH4'!AH90+char!$C$7*HFC!AH90+char!$C$8*PFC!AH90</f>
        <v>0</v>
      </c>
      <c r="AI90" s="379" t="e">
        <f>+'CO2'!AI90+char!$C$4*N2O!AI90+char!$C$5*SF6_NF3!AI90+char!$C$6*'CH4'!AI90+char!$C$7*HFC!AI90+char!$C$8*PFC!AI90</f>
        <v>#VALUE!</v>
      </c>
      <c r="AJ90" s="164">
        <f>+'CO2'!AJ90+char!$C$4*N2O!AJ90+char!$C$5*SF6_NF3!AJ90+char!$C$6*'CH4'!AJ90+char!$C$7*HFC!AJ90+char!$C$8*PFC!AJ90</f>
        <v>0</v>
      </c>
      <c r="AK90" s="379" t="e">
        <f>+'CO2'!AK90+char!$C$4*N2O!AK90+char!$C$5*SF6_NF3!AK90+char!$C$6*'CH4'!AK90+char!$C$7*HFC!AK90+char!$C$8*PFC!AK90</f>
        <v>#VALUE!</v>
      </c>
      <c r="AL90" s="164">
        <f>+'CO2'!AL90+char!$C$4*N2O!AL90+char!$C$5*SF6_NF3!AL90+char!$C$6*'CH4'!AL90+char!$C$7*HFC!AL90+char!$C$8*PFC!AL90</f>
        <v>0</v>
      </c>
      <c r="AM90" s="379" t="e">
        <f>+'CO2'!AM90+char!$C$4*N2O!AM90+char!$C$5*SF6_NF3!AM90+char!$C$6*'CH4'!AM90+char!$C$7*HFC!AM90+char!$C$8*PFC!AM90</f>
        <v>#VALUE!</v>
      </c>
      <c r="AN90" s="164">
        <f>+'CO2'!AN90+char!$C$4*N2O!AN90+char!$C$5*SF6_NF3!AN90+char!$C$6*'CH4'!AN90+char!$C$7*HFC!AN90+char!$C$8*PFC!AN90</f>
        <v>0</v>
      </c>
      <c r="AO90" s="379" t="e">
        <f>+'CO2'!AO90+char!$C$4*N2O!AO90+char!$C$5*SF6_NF3!AO90+char!$C$6*'CH4'!AO90+char!$C$7*HFC!AO90+char!$C$8*PFC!AO90</f>
        <v>#VALUE!</v>
      </c>
      <c r="AP90" s="164">
        <f>+'CO2'!AP90+char!$C$4*N2O!AP90+char!$C$5*SF6_NF3!AP90+char!$C$6*'CH4'!AP90+char!$C$7*HFC!AP90+char!$C$8*PFC!AP90</f>
        <v>0</v>
      </c>
      <c r="AQ90" s="379" t="e">
        <f>+'CO2'!AQ90+char!$C$4*N2O!AQ90+char!$C$5*SF6_NF3!AQ90+char!$C$6*'CH4'!AQ90+char!$C$7*HFC!AQ90+char!$C$8*PFC!AQ90</f>
        <v>#VALUE!</v>
      </c>
      <c r="AR90" s="164">
        <f>+'CO2'!AR90+char!$C$4*N2O!AR90+char!$C$5*SF6_NF3!AR90+char!$C$6*'CH4'!AR90+char!$C$7*HFC!AR90+char!$C$8*PFC!AR90</f>
        <v>0</v>
      </c>
      <c r="AS90" s="379" t="e">
        <f>+'CO2'!AS90+char!$C$4*N2O!AS90+char!$C$5*SF6_NF3!AS90+char!$C$6*'CH4'!AS90+char!$C$7*HFC!AS90+char!$C$8*PFC!AS90</f>
        <v>#VALUE!</v>
      </c>
      <c r="AT90" s="164">
        <f>+'CO2'!AT90+char!$C$4*N2O!AT90+char!$C$5*SF6_NF3!AT90+char!$C$6*'CH4'!AT90+char!$C$7*HFC!AT90+char!$C$8*PFC!AT90</f>
        <v>0</v>
      </c>
      <c r="AU90" s="379" t="e">
        <f>+'CO2'!AU90+char!$C$4*N2O!AU90+char!$C$5*SF6_NF3!AU90+char!$C$6*'CH4'!AU90+char!$C$7*HFC!AU90+char!$C$8*PFC!AU90</f>
        <v>#VALUE!</v>
      </c>
      <c r="AV90" s="164">
        <f>+'CO2'!AV90+char!$C$4*N2O!AV90+char!$C$5*SF6_NF3!AV90+char!$C$6*'CH4'!AV90+char!$C$7*HFC!AV90+char!$C$8*PFC!AV90</f>
        <v>0</v>
      </c>
      <c r="AW90" s="379" t="e">
        <f>+'CO2'!AW90+char!$C$4*N2O!AW90+char!$C$5*SF6_NF3!AW90+char!$C$6*'CH4'!AW90+char!$C$7*HFC!AW90+char!$C$8*PFC!AW90</f>
        <v>#VALUE!</v>
      </c>
      <c r="AX90" s="164">
        <f>+'CO2'!AX90+char!$C$4*N2O!AX90+char!$C$5*SF6_NF3!AX90+char!$C$6*'CH4'!AX90+char!$C$7*HFC!AX90+char!$C$8*PFC!AX90</f>
        <v>0</v>
      </c>
      <c r="AY90" s="379" t="e">
        <f>+'CO2'!AY90+char!$C$4*N2O!AY90+char!$C$5*SF6_NF3!AY90+char!$C$6*'CH4'!AY90+char!$C$7*HFC!AY90+char!$C$8*PFC!AY90</f>
        <v>#VALUE!</v>
      </c>
      <c r="AZ90" s="164">
        <f>+'CO2'!AZ90+char!$C$4*N2O!AZ90+char!$C$5*SF6_NF3!AZ90+char!$C$6*'CH4'!AZ90+char!$C$7*HFC!AZ90+char!$C$8*PFC!AZ90</f>
        <v>0</v>
      </c>
      <c r="BA90" s="379" t="e">
        <f>+'CO2'!BA90+char!$C$4*N2O!BA90+char!$C$5*SF6_NF3!BA90+char!$C$6*'CH4'!BA90+char!$C$7*HFC!BA90+char!$C$8*PFC!BA90</f>
        <v>#VALUE!</v>
      </c>
      <c r="BB90" s="164">
        <f>+'CO2'!BB90+char!$C$4*N2O!BB90+char!$C$5*SF6_NF3!BB90+char!$C$6*'CH4'!BB90+char!$C$7*HFC!BB90+char!$C$8*PFC!BB90</f>
        <v>0</v>
      </c>
      <c r="BC90" s="379" t="e">
        <f>+'CO2'!BC90+char!$C$4*N2O!BC90+char!$C$5*SF6_NF3!BC90+char!$C$6*'CH4'!BC90+char!$C$7*HFC!BC90+char!$C$8*PFC!BC90</f>
        <v>#VALUE!</v>
      </c>
      <c r="BD90" s="164">
        <f>+'CO2'!BD90+char!$C$4*N2O!BD90+char!$C$5*SF6_NF3!BD90+char!$C$6*'CH4'!BD90+char!$C$7*HFC!BD90+char!$C$8*PFC!BD90</f>
        <v>0</v>
      </c>
      <c r="BE90" s="379" t="e">
        <f>+'CO2'!BE90+char!$C$4*N2O!BE90+char!$C$5*SF6_NF3!BE90+char!$C$6*'CH4'!BE90+char!$C$7*HFC!BE90+char!$C$8*PFC!BE90</f>
        <v>#VALUE!</v>
      </c>
      <c r="BF90" s="164">
        <f>+'CO2'!BF90+char!$C$4*N2O!BF90+char!$C$5*SF6_NF3!BF90+char!$C$6*'CH4'!BF90+char!$C$7*HFC!BF90+char!$C$8*PFC!BF90</f>
        <v>0</v>
      </c>
      <c r="BG90" s="379" t="s">
        <v>422</v>
      </c>
      <c r="BH90" s="223"/>
      <c r="BI90" s="184"/>
      <c r="CJ90" s="150"/>
      <c r="CK90" s="150"/>
      <c r="CL90" s="150"/>
      <c r="CM90" s="151" t="s">
        <v>1085</v>
      </c>
      <c r="CN90" s="150" t="s">
        <v>1130</v>
      </c>
      <c r="CO90" s="150"/>
      <c r="CP90" s="150"/>
      <c r="CQ90" s="150"/>
      <c r="CR90" s="150"/>
      <c r="CS90" s="150"/>
      <c r="CT90" s="150"/>
    </row>
    <row r="91" spans="1:98" ht="45" customHeight="1">
      <c r="A91" s="66"/>
      <c r="B91" s="492" t="s">
        <v>571</v>
      </c>
      <c r="C91" s="502"/>
      <c r="D91" s="502"/>
      <c r="E91" s="503"/>
      <c r="F91" s="232"/>
      <c r="G91" s="181"/>
      <c r="H91" s="233"/>
      <c r="I91" s="181"/>
      <c r="J91" s="233"/>
      <c r="K91" s="181"/>
      <c r="L91" s="233"/>
      <c r="M91" s="181"/>
      <c r="N91" s="233"/>
      <c r="O91" s="181"/>
      <c r="P91" s="233"/>
      <c r="Q91" s="181"/>
      <c r="R91" s="233"/>
      <c r="S91" s="181"/>
      <c r="T91" s="233"/>
      <c r="U91" s="181"/>
      <c r="V91" s="233"/>
      <c r="W91" s="181"/>
      <c r="X91" s="233"/>
      <c r="Y91" s="181"/>
      <c r="Z91" s="233"/>
      <c r="AA91" s="181"/>
      <c r="AB91" s="233"/>
      <c r="AC91" s="181"/>
      <c r="AD91" s="233"/>
      <c r="AE91" s="181"/>
      <c r="AF91" s="170">
        <f>+'CO2'!AF91+char!$C$4*N2O!AF91+char!$C$5*SF6_NF3!AF91+char!$C$6*'CH4'!AF91+char!$C$7*HFC!AF91+char!$C$8*PFC!AF91</f>
        <v>6770.5687136605002</v>
      </c>
      <c r="AG91" s="181">
        <f>+'CO2'!AG91+char!$C$4*N2O!AG91+char!$C$5*SF6_NF3!AG91+char!$C$6*'CH4'!AG91+char!$C$7*HFC!AG91+char!$C$8*PFC!AG91</f>
        <v>0</v>
      </c>
      <c r="AH91" s="170">
        <f>+'CO2'!AH91+char!$C$4*N2O!AH91+char!$C$5*SF6_NF3!AH91+char!$C$6*'CH4'!AH91+char!$C$7*HFC!AH91+char!$C$8*PFC!AH91</f>
        <v>6817.4408851726002</v>
      </c>
      <c r="AI91" s="181">
        <f>+'CO2'!AI91+char!$C$4*N2O!AI91+char!$C$5*SF6_NF3!AI91+char!$C$6*'CH4'!AI91+char!$C$7*HFC!AI91+char!$C$8*PFC!AI91</f>
        <v>0</v>
      </c>
      <c r="AJ91" s="170">
        <f>+'CO2'!AJ91+char!$C$4*N2O!AJ91+char!$C$5*SF6_NF3!AJ91+char!$C$6*'CH4'!AJ91+char!$C$7*HFC!AJ91+char!$C$8*PFC!AJ91</f>
        <v>7015.3352284052007</v>
      </c>
      <c r="AK91" s="181">
        <f>+'CO2'!AK91+char!$C$4*N2O!AK91+char!$C$5*SF6_NF3!AK91+char!$C$6*'CH4'!AK91+char!$C$7*HFC!AK91+char!$C$8*PFC!AK91</f>
        <v>0</v>
      </c>
      <c r="AL91" s="170">
        <f>+'CO2'!AL91+char!$C$4*N2O!AL91+char!$C$5*SF6_NF3!AL91+char!$C$6*'CH4'!AL91+char!$C$7*HFC!AL91+char!$C$8*PFC!AL91</f>
        <v>6691.1442878913986</v>
      </c>
      <c r="AM91" s="181">
        <f>+'CO2'!AM91+char!$C$4*N2O!AM91+char!$C$5*SF6_NF3!AM91+char!$C$6*'CH4'!AM91+char!$C$7*HFC!AM91+char!$C$8*PFC!AM91</f>
        <v>0</v>
      </c>
      <c r="AN91" s="170">
        <f>+'CO2'!AN91+char!$C$4*N2O!AN91+char!$C$5*SF6_NF3!AN91+char!$C$6*'CH4'!AN91+char!$C$7*HFC!AN91+char!$C$8*PFC!AN91</f>
        <v>6720.0737985129999</v>
      </c>
      <c r="AO91" s="181">
        <f>+'CO2'!AO91+char!$C$4*N2O!AO91+char!$C$5*SF6_NF3!AO91+char!$C$6*'CH4'!AO91+char!$C$7*HFC!AO91+char!$C$8*PFC!AO91</f>
        <v>0</v>
      </c>
      <c r="AP91" s="170">
        <f>+'CO2'!AP91+char!$C$4*N2O!AP91+char!$C$5*SF6_NF3!AP91+char!$C$6*'CH4'!AP91+char!$C$7*HFC!AP91+char!$C$8*PFC!AP91</f>
        <v>6560.8480286536997</v>
      </c>
      <c r="AQ91" s="181">
        <f>+'CO2'!AQ91+char!$C$4*N2O!AQ91+char!$C$5*SF6_NF3!AQ91+char!$C$6*'CH4'!AQ91+char!$C$7*HFC!AQ91+char!$C$8*PFC!AQ91</f>
        <v>0</v>
      </c>
      <c r="AR91" s="170">
        <f>+'CO2'!AR91+char!$C$4*N2O!AR91+char!$C$5*SF6_NF3!AR91+char!$C$6*'CH4'!AR91+char!$C$7*HFC!AR91+char!$C$8*PFC!AR91</f>
        <v>6409.2582400763004</v>
      </c>
      <c r="AS91" s="181">
        <f>+'CO2'!AS91+char!$C$4*N2O!AS91+char!$C$5*SF6_NF3!AS91+char!$C$6*'CH4'!AS91+char!$C$7*HFC!AS91+char!$C$8*PFC!AS91</f>
        <v>0</v>
      </c>
      <c r="AT91" s="170">
        <f>+'CO2'!AT91+char!$C$4*N2O!AT91+char!$C$5*SF6_NF3!AT91+char!$C$6*'CH4'!AT91+char!$C$7*HFC!AT91+char!$C$8*PFC!AT91</f>
        <v>6407.1111771746</v>
      </c>
      <c r="AU91" s="181" t="e">
        <f>+'CO2'!AU91+char!$C$4*N2O!AU91+char!$C$5*SF6_NF3!AU91+char!$C$6*'CH4'!AU91+char!$C$7*HFC!AU91+char!$C$8*PFC!AU91</f>
        <v>#VALUE!</v>
      </c>
      <c r="AV91" s="171">
        <f>+'CO2'!AV91+char!$C$4*N2O!AV91+char!$C$5*SF6_NF3!AV91+char!$C$6*'CH4'!AV91+char!$C$7*HFC!AV91+char!$C$8*PFC!AV91</f>
        <v>6273.1909525274996</v>
      </c>
      <c r="AW91" s="181">
        <f>+'CO2'!AW91+char!$C$4*N2O!AW91+char!$C$5*SF6_NF3!AW91+char!$C$6*'CH4'!AW91+char!$C$7*HFC!AW91+char!$C$8*PFC!AW91</f>
        <v>0</v>
      </c>
      <c r="AX91" s="171">
        <f>+'CO2'!AX91+char!$C$4*N2O!AX91+char!$C$5*SF6_NF3!AX91+char!$C$6*'CH4'!AX91+char!$C$7*HFC!AX91+char!$C$8*PFC!AX91</f>
        <v>5746.8542885379993</v>
      </c>
      <c r="AY91" s="181">
        <f>+'CO2'!AY91+char!$C$4*N2O!AY91+char!$C$5*SF6_NF3!AY91+char!$C$6*'CH4'!AY91+char!$C$7*HFC!AY91+char!$C$8*PFC!AY91</f>
        <v>0</v>
      </c>
      <c r="AZ91" s="171">
        <f>+'CO2'!AZ91+char!$C$4*N2O!AZ91+char!$C$5*SF6_NF3!AZ91+char!$C$6*'CH4'!AZ91+char!$C$7*HFC!AZ91+char!$C$8*PFC!AZ91</f>
        <v>5653.6198547376998</v>
      </c>
      <c r="BA91" s="181">
        <f>+'CO2'!BA91+char!$C$4*N2O!BA91+char!$C$5*SF6_NF3!BA91+char!$C$6*'CH4'!BA91+char!$C$7*HFC!BA91+char!$C$8*PFC!BA91</f>
        <v>0</v>
      </c>
      <c r="BB91" s="171">
        <f>+'CO2'!BB91+char!$C$4*N2O!BB91+char!$C$5*SF6_NF3!BB91+char!$C$6*'CH4'!BB91+char!$C$7*HFC!BB91+char!$C$8*PFC!BB91</f>
        <v>5059.5670954565003</v>
      </c>
      <c r="BC91" s="181">
        <f>+'CO2'!BC91+char!$C$4*N2O!BC91+char!$C$5*SF6_NF3!BC91+char!$C$6*'CH4'!BC91+char!$C$7*HFC!BC91+char!$C$8*PFC!BC91</f>
        <v>0</v>
      </c>
      <c r="BD91" s="171">
        <f>+'CO2'!BD91+char!$C$4*N2O!BD91+char!$C$5*SF6_NF3!BD91+char!$C$6*'CH4'!BD91+char!$C$7*HFC!BD91+char!$C$8*PFC!BD91</f>
        <v>5108.3347565071999</v>
      </c>
      <c r="BE91" s="181">
        <f>+'CO2'!BE91+char!$C$4*N2O!BE91+char!$C$5*SF6_NF3!BE91+char!$C$6*'CH4'!BE91+char!$C$7*HFC!BE91+char!$C$8*PFC!BE91</f>
        <v>0</v>
      </c>
      <c r="BF91" s="171">
        <f>+'CO2'!BF91+char!$C$4*N2O!BF91+char!$C$5*SF6_NF3!BF91+char!$C$6*'CH4'!BF91+char!$C$7*HFC!BF91+char!$C$8*PFC!BF91</f>
        <v>5068.9076925397994</v>
      </c>
      <c r="BG91" s="181"/>
      <c r="BH91" s="234"/>
      <c r="BI91" s="183"/>
      <c r="CJ91" s="150"/>
      <c r="CK91" s="150"/>
      <c r="CL91" s="150"/>
      <c r="CM91" s="151" t="s">
        <v>1088</v>
      </c>
      <c r="CN91" s="150" t="s">
        <v>1130</v>
      </c>
      <c r="CO91" s="150"/>
      <c r="CP91" s="150"/>
      <c r="CQ91" s="150"/>
      <c r="CR91" s="150"/>
      <c r="CS91" s="150"/>
      <c r="CT91" s="150"/>
    </row>
    <row r="92" spans="1:98">
      <c r="A92" s="66"/>
      <c r="B92" s="3"/>
      <c r="C92" s="99"/>
      <c r="D92" s="488" t="s">
        <v>572</v>
      </c>
      <c r="E92" s="489"/>
      <c r="F92" s="235"/>
      <c r="G92" s="379"/>
      <c r="H92" s="236"/>
      <c r="I92" s="379"/>
      <c r="J92" s="236"/>
      <c r="K92" s="379"/>
      <c r="L92" s="236"/>
      <c r="M92" s="379"/>
      <c r="N92" s="236"/>
      <c r="O92" s="379"/>
      <c r="P92" s="236"/>
      <c r="Q92" s="379"/>
      <c r="R92" s="236"/>
      <c r="S92" s="379"/>
      <c r="T92" s="236"/>
      <c r="U92" s="379"/>
      <c r="V92" s="236"/>
      <c r="W92" s="379"/>
      <c r="X92" s="236"/>
      <c r="Y92" s="379"/>
      <c r="Z92" s="236"/>
      <c r="AA92" s="379"/>
      <c r="AB92" s="236"/>
      <c r="AC92" s="379"/>
      <c r="AD92" s="236"/>
      <c r="AE92" s="379"/>
      <c r="AF92" s="172">
        <f>+'CO2'!AF92+char!$C$4*N2O!AF92+char!$C$5*SF6_NF3!AF92+char!$C$6*'CH4'!AF92+char!$C$7*HFC!AF92+char!$C$8*PFC!AF92</f>
        <v>5020.6425546361997</v>
      </c>
      <c r="AG92" s="379">
        <f>+'CO2'!AG92+char!$C$4*N2O!AG92+char!$C$5*SF6_NF3!AG92+char!$C$6*'CH4'!AG92+char!$C$7*HFC!AG92+char!$C$8*PFC!AG92</f>
        <v>0</v>
      </c>
      <c r="AH92" s="172">
        <f>+'CO2'!AH92+char!$C$4*N2O!AH92+char!$C$5*SF6_NF3!AH92+char!$C$6*'CH4'!AH92+char!$C$7*HFC!AH92+char!$C$8*PFC!AH92</f>
        <v>5067.2782495708998</v>
      </c>
      <c r="AI92" s="379">
        <f>+'CO2'!AI92+char!$C$4*N2O!AI92+char!$C$5*SF6_NF3!AI92+char!$C$6*'CH4'!AI92+char!$C$7*HFC!AI92+char!$C$8*PFC!AI92</f>
        <v>0</v>
      </c>
      <c r="AJ92" s="172">
        <f>+'CO2'!AJ92+char!$C$4*N2O!AJ92+char!$C$5*SF6_NF3!AJ92+char!$C$6*'CH4'!AJ92+char!$C$7*HFC!AJ92+char!$C$8*PFC!AJ92</f>
        <v>5101.9231654382002</v>
      </c>
      <c r="AK92" s="379">
        <f>+'CO2'!AK92+char!$C$4*N2O!AK92+char!$C$5*SF6_NF3!AK92+char!$C$6*'CH4'!AK92+char!$C$7*HFC!AK92+char!$C$8*PFC!AK92</f>
        <v>0</v>
      </c>
      <c r="AL92" s="172">
        <f>+'CO2'!AL92+char!$C$4*N2O!AL92+char!$C$5*SF6_NF3!AL92+char!$C$6*'CH4'!AL92+char!$C$7*HFC!AL92+char!$C$8*PFC!AL92</f>
        <v>4982.4309733794007</v>
      </c>
      <c r="AM92" s="379">
        <f>+'CO2'!AM92+char!$C$4*N2O!AM92+char!$C$5*SF6_NF3!AM92+char!$C$6*'CH4'!AM92+char!$C$7*HFC!AM92+char!$C$8*PFC!AM92</f>
        <v>0</v>
      </c>
      <c r="AN92" s="172">
        <f>+'CO2'!AN92+char!$C$4*N2O!AN92+char!$C$5*SF6_NF3!AN92+char!$C$6*'CH4'!AN92+char!$C$7*HFC!AN92+char!$C$8*PFC!AN92</f>
        <v>4986.4380573943999</v>
      </c>
      <c r="AO92" s="379">
        <f>+'CO2'!AO92+char!$C$4*N2O!AO92+char!$C$5*SF6_NF3!AO92+char!$C$6*'CH4'!AO92+char!$C$7*HFC!AO92+char!$C$8*PFC!AO92</f>
        <v>0</v>
      </c>
      <c r="AP92" s="172">
        <f>+'CO2'!AP92+char!$C$4*N2O!AP92+char!$C$5*SF6_NF3!AP92+char!$C$6*'CH4'!AP92+char!$C$7*HFC!AP92+char!$C$8*PFC!AP92</f>
        <v>4937.9550563828006</v>
      </c>
      <c r="AQ92" s="379">
        <f>+'CO2'!AQ92+char!$C$4*N2O!AQ92+char!$C$5*SF6_NF3!AQ92+char!$C$6*'CH4'!AQ92+char!$C$7*HFC!AQ92+char!$C$8*PFC!AQ92</f>
        <v>0</v>
      </c>
      <c r="AR92" s="172">
        <f>+'CO2'!AR92+char!$C$4*N2O!AR92+char!$C$5*SF6_NF3!AR92+char!$C$6*'CH4'!AR92+char!$C$7*HFC!AR92+char!$C$8*PFC!AR92</f>
        <v>4947.6843096240009</v>
      </c>
      <c r="AS92" s="379">
        <f>+'CO2'!AS92+char!$C$4*N2O!AS92+char!$C$5*SF6_NF3!AS92+char!$C$6*'CH4'!AS92+char!$C$7*HFC!AS92+char!$C$8*PFC!AS92</f>
        <v>0</v>
      </c>
      <c r="AT92" s="172">
        <f>+'CO2'!AT92+char!$C$4*N2O!AT92+char!$C$5*SF6_NF3!AT92+char!$C$6*'CH4'!AT92+char!$C$7*HFC!AT92+char!$C$8*PFC!AT92</f>
        <v>4929.5418126374989</v>
      </c>
      <c r="AU92" s="379">
        <f>+'CO2'!AU92+char!$C$4*N2O!AU92+char!$C$5*SF6_NF3!AU92+char!$C$6*'CH4'!AU92+char!$C$7*HFC!AU92+char!$C$8*PFC!AU92</f>
        <v>0</v>
      </c>
      <c r="AV92" s="173">
        <f>+'CO2'!AV92+char!$C$4*N2O!AV92+char!$C$5*SF6_NF3!AV92+char!$C$6*'CH4'!AV92+char!$C$7*HFC!AV92+char!$C$8*PFC!AV92</f>
        <v>4770.1093816494995</v>
      </c>
      <c r="AW92" s="379">
        <f>+'CO2'!AW92+char!$C$4*N2O!AW92+char!$C$5*SF6_NF3!AW92+char!$C$6*'CH4'!AW92+char!$C$7*HFC!AW92+char!$C$8*PFC!AW92</f>
        <v>0</v>
      </c>
      <c r="AX92" s="173">
        <f>+'CO2'!AX92+char!$C$4*N2O!AX92+char!$C$5*SF6_NF3!AX92+char!$C$6*'CH4'!AX92+char!$C$7*HFC!AX92+char!$C$8*PFC!AX92</f>
        <v>4335.4359781420999</v>
      </c>
      <c r="AY92" s="379">
        <f>+'CO2'!AY92+char!$C$4*N2O!AY92+char!$C$5*SF6_NF3!AY92+char!$C$6*'CH4'!AY92+char!$C$7*HFC!AY92+char!$C$8*PFC!AY92</f>
        <v>0</v>
      </c>
      <c r="AZ92" s="173">
        <f>+'CO2'!AZ92+char!$C$4*N2O!AZ92+char!$C$5*SF6_NF3!AZ92+char!$C$6*'CH4'!AZ92+char!$C$7*HFC!AZ92+char!$C$8*PFC!AZ92</f>
        <v>4308.668387346599</v>
      </c>
      <c r="BA92" s="379">
        <f>+'CO2'!BA92+char!$C$4*N2O!BA92+char!$C$5*SF6_NF3!BA92+char!$C$6*'CH4'!BA92+char!$C$7*HFC!BA92+char!$C$8*PFC!BA92</f>
        <v>0</v>
      </c>
      <c r="BB92" s="173">
        <f>+'CO2'!BB92+char!$C$4*N2O!BB92+char!$C$5*SF6_NF3!BB92+char!$C$6*'CH4'!BB92+char!$C$7*HFC!BB92+char!$C$8*PFC!BB92</f>
        <v>3902.0436158105999</v>
      </c>
      <c r="BC92" s="379">
        <f>+'CO2'!BC92+char!$C$4*N2O!BC92+char!$C$5*SF6_NF3!BC92+char!$C$6*'CH4'!BC92+char!$C$7*HFC!BC92+char!$C$8*PFC!BC92</f>
        <v>0</v>
      </c>
      <c r="BD92" s="173">
        <f>+'CO2'!BD92+char!$C$4*N2O!BD92+char!$C$5*SF6_NF3!BD92+char!$C$6*'CH4'!BD92+char!$C$7*HFC!BD92+char!$C$8*PFC!BD92</f>
        <v>3956.8595395766001</v>
      </c>
      <c r="BE92" s="379">
        <f>+'CO2'!BE92+char!$C$4*N2O!BE92+char!$C$5*SF6_NF3!BE92+char!$C$6*'CH4'!BE92+char!$C$7*HFC!BE92+char!$C$8*PFC!BE92</f>
        <v>0</v>
      </c>
      <c r="BF92" s="173">
        <f>+'CO2'!BF92+char!$C$4*N2O!BF92+char!$C$5*SF6_NF3!BF92+char!$C$6*'CH4'!BF92+char!$C$7*HFC!BF92+char!$C$8*PFC!BF92</f>
        <v>3954.1142247147</v>
      </c>
      <c r="BG92" s="379"/>
      <c r="BH92" s="237"/>
      <c r="BI92" s="184"/>
      <c r="CJ92" s="150"/>
      <c r="CK92" s="150"/>
      <c r="CL92" s="150"/>
      <c r="CM92" s="151" t="s">
        <v>1146</v>
      </c>
      <c r="CN92" s="150" t="s">
        <v>1130</v>
      </c>
      <c r="CO92" s="150"/>
      <c r="CP92" s="150"/>
      <c r="CQ92" s="150"/>
      <c r="CR92" s="150"/>
      <c r="CS92" s="150"/>
      <c r="CT92" s="150"/>
    </row>
    <row r="93" spans="1:98">
      <c r="A93" s="314"/>
      <c r="B93" s="3"/>
      <c r="C93" s="99"/>
      <c r="D93" s="488" t="s">
        <v>573</v>
      </c>
      <c r="E93" s="489"/>
      <c r="F93" s="235"/>
      <c r="G93" s="379"/>
      <c r="H93" s="236"/>
      <c r="I93" s="379"/>
      <c r="J93" s="236"/>
      <c r="K93" s="379"/>
      <c r="L93" s="236"/>
      <c r="M93" s="379"/>
      <c r="N93" s="236"/>
      <c r="O93" s="379"/>
      <c r="P93" s="236"/>
      <c r="Q93" s="379"/>
      <c r="R93" s="236"/>
      <c r="S93" s="379"/>
      <c r="T93" s="236"/>
      <c r="U93" s="379"/>
      <c r="V93" s="236"/>
      <c r="W93" s="379"/>
      <c r="X93" s="236"/>
      <c r="Y93" s="379"/>
      <c r="Z93" s="236"/>
      <c r="AA93" s="379"/>
      <c r="AB93" s="236"/>
      <c r="AC93" s="379"/>
      <c r="AD93" s="236"/>
      <c r="AE93" s="379"/>
      <c r="AF93" s="172">
        <f>+'CO2'!AF93+char!$C$4*N2O!AF93+char!$C$5*SF6_NF3!AF93+char!$C$6*'CH4'!AF93+char!$C$7*HFC!AF93+char!$C$8*PFC!AF93</f>
        <v>932.82407817570004</v>
      </c>
      <c r="AG93" s="379">
        <f>+'CO2'!AG93+char!$C$4*N2O!AG93+char!$C$5*SF6_NF3!AG93+char!$C$6*'CH4'!AG93+char!$C$7*HFC!AG93+char!$C$8*PFC!AG93</f>
        <v>0</v>
      </c>
      <c r="AH93" s="172">
        <f>+'CO2'!AH93+char!$C$4*N2O!AH93+char!$C$5*SF6_NF3!AH93+char!$C$6*'CH4'!AH93+char!$C$7*HFC!AH93+char!$C$8*PFC!AH93</f>
        <v>921.28006633200016</v>
      </c>
      <c r="AI93" s="379">
        <f>+'CO2'!AI93+char!$C$4*N2O!AI93+char!$C$5*SF6_NF3!AI93+char!$C$6*'CH4'!AI93+char!$C$7*HFC!AI93+char!$C$8*PFC!AI93</f>
        <v>0</v>
      </c>
      <c r="AJ93" s="172">
        <f>+'CO2'!AJ93+char!$C$4*N2O!AJ93+char!$C$5*SF6_NF3!AJ93+char!$C$6*'CH4'!AJ93+char!$C$7*HFC!AJ93+char!$C$8*PFC!AJ93</f>
        <v>1068.4954963064999</v>
      </c>
      <c r="AK93" s="379">
        <f>+'CO2'!AK93+char!$C$4*N2O!AK93+char!$C$5*SF6_NF3!AK93+char!$C$6*'CH4'!AK93+char!$C$7*HFC!AK93+char!$C$8*PFC!AK93</f>
        <v>0</v>
      </c>
      <c r="AL93" s="172">
        <f>+'CO2'!AL93+char!$C$4*N2O!AL93+char!$C$5*SF6_NF3!AL93+char!$C$6*'CH4'!AL93+char!$C$7*HFC!AL93+char!$C$8*PFC!AL93</f>
        <v>801.17863462610001</v>
      </c>
      <c r="AM93" s="379">
        <f>+'CO2'!AM93+char!$C$4*N2O!AM93+char!$C$5*SF6_NF3!AM93+char!$C$6*'CH4'!AM93+char!$C$7*HFC!AM93+char!$C$8*PFC!AM93</f>
        <v>0</v>
      </c>
      <c r="AN93" s="172">
        <f>+'CO2'!AN93+char!$C$4*N2O!AN93+char!$C$5*SF6_NF3!AN93+char!$C$6*'CH4'!AN93+char!$C$7*HFC!AN93+char!$C$8*PFC!AN93</f>
        <v>842.43718431230002</v>
      </c>
      <c r="AO93" s="379">
        <f>+'CO2'!AO93+char!$C$4*N2O!AO93+char!$C$5*SF6_NF3!AO93+char!$C$6*'CH4'!AO93+char!$C$7*HFC!AO93+char!$C$8*PFC!AO93</f>
        <v>0</v>
      </c>
      <c r="AP93" s="172">
        <f>+'CO2'!AP93+char!$C$4*N2O!AP93+char!$C$5*SF6_NF3!AP93+char!$C$6*'CH4'!AP93+char!$C$7*HFC!AP93+char!$C$8*PFC!AP93</f>
        <v>720.01912186200002</v>
      </c>
      <c r="AQ93" s="379">
        <f>+'CO2'!AQ93+char!$C$4*N2O!AQ93+char!$C$5*SF6_NF3!AQ93+char!$C$6*'CH4'!AQ93+char!$C$7*HFC!AQ93+char!$C$8*PFC!AQ93</f>
        <v>0</v>
      </c>
      <c r="AR93" s="172">
        <f>+'CO2'!AR93+char!$C$4*N2O!AR93+char!$C$5*SF6_NF3!AR93+char!$C$6*'CH4'!AR93+char!$C$7*HFC!AR93+char!$C$8*PFC!AR93</f>
        <v>569.97675582650004</v>
      </c>
      <c r="AS93" s="379">
        <f>+'CO2'!AS93+char!$C$4*N2O!AS93+char!$C$5*SF6_NF3!AS93+char!$C$6*'CH4'!AS93+char!$C$7*HFC!AS93+char!$C$8*PFC!AS93</f>
        <v>0</v>
      </c>
      <c r="AT93" s="172">
        <f>+'CO2'!AT93+char!$C$4*N2O!AT93+char!$C$5*SF6_NF3!AT93+char!$C$6*'CH4'!AT93+char!$C$7*HFC!AT93+char!$C$8*PFC!AT93</f>
        <v>549.2113141919001</v>
      </c>
      <c r="AU93" s="379">
        <f>+'CO2'!AU93+char!$C$4*N2O!AU93+char!$C$5*SF6_NF3!AU93+char!$C$6*'CH4'!AU93+char!$C$7*HFC!AU93+char!$C$8*PFC!AU93</f>
        <v>0</v>
      </c>
      <c r="AV93" s="173">
        <f>+'CO2'!AV93+char!$C$4*N2O!AV93+char!$C$5*SF6_NF3!AV93+char!$C$6*'CH4'!AV93+char!$C$7*HFC!AV93+char!$C$8*PFC!AV93</f>
        <v>562.13222545849999</v>
      </c>
      <c r="AW93" s="379">
        <f>+'CO2'!AW93+char!$C$4*N2O!AW93+char!$C$5*SF6_NF3!AW93+char!$C$6*'CH4'!AW93+char!$C$7*HFC!AW93+char!$C$8*PFC!AW93</f>
        <v>0</v>
      </c>
      <c r="AX93" s="173">
        <f>+'CO2'!AX93+char!$C$4*N2O!AX93+char!$C$5*SF6_NF3!AX93+char!$C$6*'CH4'!AX93+char!$C$7*HFC!AX93+char!$C$8*PFC!AX93</f>
        <v>506.42466006740005</v>
      </c>
      <c r="AY93" s="379">
        <f>+'CO2'!AY93+char!$C$4*N2O!AY93+char!$C$5*SF6_NF3!AY93+char!$C$6*'CH4'!AY93+char!$C$7*HFC!AY93+char!$C$8*PFC!AY93</f>
        <v>0</v>
      </c>
      <c r="AZ93" s="173">
        <f>+'CO2'!AZ93+char!$C$4*N2O!AZ93+char!$C$5*SF6_NF3!AZ93+char!$C$6*'CH4'!AZ93+char!$C$7*HFC!AZ93+char!$C$8*PFC!AZ93</f>
        <v>435.81835244759998</v>
      </c>
      <c r="BA93" s="379">
        <f>+'CO2'!BA93+char!$C$4*N2O!BA93+char!$C$5*SF6_NF3!BA93+char!$C$6*'CH4'!BA93+char!$C$7*HFC!BA93+char!$C$8*PFC!BA93</f>
        <v>0</v>
      </c>
      <c r="BB93" s="173">
        <f>+'CO2'!BB93+char!$C$4*N2O!BB93+char!$C$5*SF6_NF3!BB93+char!$C$6*'CH4'!BB93+char!$C$7*HFC!BB93+char!$C$8*PFC!BB93</f>
        <v>283.75183616409998</v>
      </c>
      <c r="BC93" s="379">
        <f>+'CO2'!BC93+char!$C$4*N2O!BC93+char!$C$5*SF6_NF3!BC93+char!$C$6*'CH4'!BC93+char!$C$7*HFC!BC93+char!$C$8*PFC!BC93</f>
        <v>0</v>
      </c>
      <c r="BD93" s="173">
        <f>+'CO2'!BD93+char!$C$4*N2O!BD93+char!$C$5*SF6_NF3!BD93+char!$C$6*'CH4'!BD93+char!$C$7*HFC!BD93+char!$C$8*PFC!BD93</f>
        <v>281.02463657520002</v>
      </c>
      <c r="BE93" s="379">
        <f>+'CO2'!BE93+char!$C$4*N2O!BE93+char!$C$5*SF6_NF3!BE93+char!$C$6*'CH4'!BE93+char!$C$7*HFC!BE93+char!$C$8*PFC!BE93</f>
        <v>0</v>
      </c>
      <c r="BF93" s="173">
        <f>+'CO2'!BF93+char!$C$4*N2O!BF93+char!$C$5*SF6_NF3!BF93+char!$C$6*'CH4'!BF93+char!$C$7*HFC!BF93+char!$C$8*PFC!BF93</f>
        <v>289.76791762340002</v>
      </c>
      <c r="BG93" s="379"/>
      <c r="BH93" s="237"/>
      <c r="BI93" s="184"/>
      <c r="CJ93" s="150"/>
      <c r="CK93" s="150"/>
      <c r="CL93" s="150"/>
      <c r="CM93" s="151" t="s">
        <v>1094</v>
      </c>
      <c r="CN93" s="150" t="s">
        <v>1130</v>
      </c>
      <c r="CO93" s="150"/>
      <c r="CP93" s="150"/>
      <c r="CQ93" s="150"/>
      <c r="CR93" s="150"/>
      <c r="CS93" s="150"/>
      <c r="CT93" s="150"/>
    </row>
    <row r="94" spans="1:98" ht="15" customHeight="1" thickBot="1">
      <c r="A94" s="314"/>
      <c r="B94" s="4"/>
      <c r="C94" s="2"/>
      <c r="D94" s="490" t="s">
        <v>574</v>
      </c>
      <c r="E94" s="491"/>
      <c r="F94" s="238"/>
      <c r="G94" s="182"/>
      <c r="H94" s="239"/>
      <c r="I94" s="182"/>
      <c r="J94" s="239"/>
      <c r="K94" s="182"/>
      <c r="L94" s="239"/>
      <c r="M94" s="182"/>
      <c r="N94" s="239"/>
      <c r="O94" s="182"/>
      <c r="P94" s="239"/>
      <c r="Q94" s="182"/>
      <c r="R94" s="239"/>
      <c r="S94" s="182"/>
      <c r="T94" s="239"/>
      <c r="U94" s="182"/>
      <c r="V94" s="239"/>
      <c r="W94" s="182"/>
      <c r="X94" s="239"/>
      <c r="Y94" s="182"/>
      <c r="Z94" s="239"/>
      <c r="AA94" s="182"/>
      <c r="AB94" s="239"/>
      <c r="AC94" s="182"/>
      <c r="AD94" s="239"/>
      <c r="AE94" s="182"/>
      <c r="AF94" s="174">
        <f>+'CO2'!AF94+char!$C$4*N2O!AF94+char!$C$5*SF6_NF3!AF94+char!$C$6*'CH4'!AF94+char!$C$7*HFC!AF94+char!$C$8*PFC!AF94</f>
        <v>817.10208092490006</v>
      </c>
      <c r="AG94" s="182">
        <f>+'CO2'!AG94+char!$C$4*N2O!AG94+char!$C$5*SF6_NF3!AG94+char!$C$6*'CH4'!AG94+char!$C$7*HFC!AG94+char!$C$8*PFC!AG94</f>
        <v>0</v>
      </c>
      <c r="AH94" s="174">
        <f>+'CO2'!AH94+char!$C$4*N2O!AH94+char!$C$5*SF6_NF3!AH94+char!$C$6*'CH4'!AH94+char!$C$7*HFC!AH94+char!$C$8*PFC!AH94</f>
        <v>828.88256934319998</v>
      </c>
      <c r="AI94" s="182">
        <f>+'CO2'!AI94+char!$C$4*N2O!AI94+char!$C$5*SF6_NF3!AI94+char!$C$6*'CH4'!AI94+char!$C$7*HFC!AI94+char!$C$8*PFC!AI94</f>
        <v>0</v>
      </c>
      <c r="AJ94" s="174">
        <f>+'CO2'!AJ94+char!$C$4*N2O!AJ94+char!$C$5*SF6_NF3!AJ94+char!$C$6*'CH4'!AJ94+char!$C$7*HFC!AJ94+char!$C$8*PFC!AJ94</f>
        <v>844.91656666049994</v>
      </c>
      <c r="AK94" s="182">
        <f>+'CO2'!AK94+char!$C$4*N2O!AK94+char!$C$5*SF6_NF3!AK94+char!$C$6*'CH4'!AK94+char!$C$7*HFC!AK94+char!$C$8*PFC!AK94</f>
        <v>0</v>
      </c>
      <c r="AL94" s="174">
        <f>+'CO2'!AL94+char!$C$4*N2O!AL94+char!$C$5*SF6_NF3!AL94+char!$C$6*'CH4'!AL94+char!$C$7*HFC!AL94+char!$C$8*PFC!AL94</f>
        <v>907.5346798859</v>
      </c>
      <c r="AM94" s="182" t="e">
        <f>+'CO2'!AM94+char!$C$4*N2O!AM94+char!$C$5*SF6_NF3!AM94+char!$C$6*'CH4'!AM94+char!$C$7*HFC!AM94+char!$C$8*PFC!AM94</f>
        <v>#VALUE!</v>
      </c>
      <c r="AN94" s="174">
        <f>+'CO2'!AN94+char!$C$4*N2O!AN94+char!$C$5*SF6_NF3!AN94+char!$C$6*'CH4'!AN94+char!$C$7*HFC!AN94+char!$C$8*PFC!AN94</f>
        <v>891.19855680630008</v>
      </c>
      <c r="AO94" s="182">
        <f>+'CO2'!AO94+char!$C$4*N2O!AO94+char!$C$5*SF6_NF3!AO94+char!$C$6*'CH4'!AO94+char!$C$7*HFC!AO94+char!$C$8*PFC!AO94</f>
        <v>0</v>
      </c>
      <c r="AP94" s="174">
        <f>+'CO2'!AP94+char!$C$4*N2O!AP94+char!$C$5*SF6_NF3!AP94+char!$C$6*'CH4'!AP94+char!$C$7*HFC!AP94+char!$C$8*PFC!AP94</f>
        <v>902.87385030889993</v>
      </c>
      <c r="AQ94" s="182">
        <f>+'CO2'!AQ94+char!$C$4*N2O!AQ94+char!$C$5*SF6_NF3!AQ94+char!$C$6*'CH4'!AQ94+char!$C$7*HFC!AQ94+char!$C$8*PFC!AQ94</f>
        <v>0</v>
      </c>
      <c r="AR94" s="174">
        <f>+'CO2'!AR94+char!$C$4*N2O!AR94+char!$C$5*SF6_NF3!AR94+char!$C$6*'CH4'!AR94+char!$C$7*HFC!AR94+char!$C$8*PFC!AR94</f>
        <v>891.59717462579999</v>
      </c>
      <c r="AS94" s="182">
        <f>+'CO2'!AS94+char!$C$4*N2O!AS94+char!$C$5*SF6_NF3!AS94+char!$C$6*'CH4'!AS94+char!$C$7*HFC!AS94+char!$C$8*PFC!AS94</f>
        <v>0</v>
      </c>
      <c r="AT94" s="174">
        <f>+'CO2'!AT94+char!$C$4*N2O!AT94+char!$C$5*SF6_NF3!AT94+char!$C$6*'CH4'!AT94+char!$C$7*HFC!AT94+char!$C$8*PFC!AT94</f>
        <v>928.35805034520001</v>
      </c>
      <c r="AU94" s="182" t="e">
        <f>+'CO2'!AU94+char!$C$4*N2O!AU94+char!$C$5*SF6_NF3!AU94+char!$C$6*'CH4'!AU94+char!$C$7*HFC!AU94+char!$C$8*PFC!AU94</f>
        <v>#VALUE!</v>
      </c>
      <c r="AV94" s="175">
        <f>+'CO2'!AV94+char!$C$4*N2O!AV94+char!$C$5*SF6_NF3!AV94+char!$C$6*'CH4'!AV94+char!$C$7*HFC!AV94+char!$C$8*PFC!AV94</f>
        <v>940.94934539299993</v>
      </c>
      <c r="AW94" s="182">
        <f>+'CO2'!AW94+char!$C$4*N2O!AW94+char!$C$5*SF6_NF3!AW94+char!$C$6*'CH4'!AW94+char!$C$7*HFC!AW94+char!$C$8*PFC!AW94</f>
        <v>0</v>
      </c>
      <c r="AX94" s="175">
        <f>+'CO2'!AX94+char!$C$4*N2O!AX94+char!$C$5*SF6_NF3!AX94+char!$C$6*'CH4'!AX94+char!$C$7*HFC!AX94+char!$C$8*PFC!AX94</f>
        <v>904.99365032850005</v>
      </c>
      <c r="AY94" s="182">
        <f>+'CO2'!AY94+char!$C$4*N2O!AY94+char!$C$5*SF6_NF3!AY94+char!$C$6*'CH4'!AY94+char!$C$7*HFC!AY94+char!$C$8*PFC!AY94</f>
        <v>0</v>
      </c>
      <c r="AZ94" s="175">
        <f>+'CO2'!AZ94+char!$C$4*N2O!AZ94+char!$C$5*SF6_NF3!AZ94+char!$C$6*'CH4'!AZ94+char!$C$7*HFC!AZ94+char!$C$8*PFC!AZ94</f>
        <v>909.1331149435</v>
      </c>
      <c r="BA94" s="182">
        <f>+'CO2'!BA94+char!$C$4*N2O!BA94+char!$C$5*SF6_NF3!BA94+char!$C$6*'CH4'!BA94+char!$C$7*HFC!BA94+char!$C$8*PFC!BA94</f>
        <v>0</v>
      </c>
      <c r="BB94" s="175">
        <f>+'CO2'!BB94+char!$C$4*N2O!BB94+char!$C$5*SF6_NF3!BB94+char!$C$6*'CH4'!BB94+char!$C$7*HFC!BB94+char!$C$8*PFC!BB94</f>
        <v>873.77164348459996</v>
      </c>
      <c r="BC94" s="182">
        <f>+'CO2'!BC94+char!$C$4*N2O!BC94+char!$C$5*SF6_NF3!BC94+char!$C$6*'CH4'!BC94+char!$C$7*HFC!BC94+char!$C$8*PFC!BC94</f>
        <v>0</v>
      </c>
      <c r="BD94" s="175">
        <f>+'CO2'!BD94+char!$C$4*N2O!BD94+char!$C$5*SF6_NF3!BD94+char!$C$6*'CH4'!BD94+char!$C$7*HFC!BD94+char!$C$8*PFC!BD94</f>
        <v>870.45058035540012</v>
      </c>
      <c r="BE94" s="182">
        <f>+'CO2'!BE94+char!$C$4*N2O!BE94+char!$C$5*SF6_NF3!BE94+char!$C$6*'CH4'!BE94+char!$C$7*HFC!BE94+char!$C$8*PFC!BE94</f>
        <v>0</v>
      </c>
      <c r="BF94" s="175">
        <f>+'CO2'!BF94+char!$C$4*N2O!BF94+char!$C$5*SF6_NF3!BF94+char!$C$6*'CH4'!BF94+char!$C$7*HFC!BF94+char!$C$8*PFC!BF94</f>
        <v>825.02555019890008</v>
      </c>
      <c r="BG94" s="182"/>
      <c r="BH94" s="240"/>
      <c r="BI94" s="185"/>
      <c r="CJ94" s="150"/>
      <c r="CK94" s="150"/>
      <c r="CL94" s="150"/>
      <c r="CM94" s="151" t="s">
        <v>1097</v>
      </c>
      <c r="CN94" s="150" t="s">
        <v>1130</v>
      </c>
      <c r="CO94" s="150"/>
      <c r="CP94" s="150"/>
      <c r="CQ94" s="150"/>
      <c r="CR94" s="150"/>
      <c r="CS94" s="150"/>
      <c r="CT94" s="150"/>
    </row>
    <row r="95" spans="1:98" ht="55.5" customHeight="1">
      <c r="A95" s="314"/>
      <c r="B95" s="492" t="s">
        <v>1147</v>
      </c>
      <c r="C95" s="493"/>
      <c r="D95" s="493"/>
      <c r="E95" s="494"/>
      <c r="F95" s="235"/>
      <c r="G95" s="379"/>
      <c r="H95" s="236"/>
      <c r="I95" s="379"/>
      <c r="J95" s="236"/>
      <c r="K95" s="379"/>
      <c r="L95" s="236"/>
      <c r="M95" s="379"/>
      <c r="N95" s="236"/>
      <c r="O95" s="379"/>
      <c r="P95" s="236"/>
      <c r="Q95" s="379"/>
      <c r="R95" s="236"/>
      <c r="S95" s="379"/>
      <c r="T95" s="236"/>
      <c r="U95" s="379"/>
      <c r="V95" s="236"/>
      <c r="W95" s="379"/>
      <c r="X95" s="236"/>
      <c r="Y95" s="379"/>
      <c r="Z95" s="236"/>
      <c r="AA95" s="379"/>
      <c r="AB95" s="236"/>
      <c r="AC95" s="379"/>
      <c r="AD95" s="236"/>
      <c r="AE95" s="379"/>
      <c r="AF95" s="172">
        <f>+'CO2'!AF95+char!$C$4*N2O!AF95+char!$C$5*SF6_NF3!AF95+char!$C$6*'CH4'!AF95+char!$C$7*HFC!AF95+char!$C$8*PFC!AF95</f>
        <v>65461.573935736313</v>
      </c>
      <c r="AG95" s="379">
        <f>+'CO2'!AG95+char!$C$4*N2O!AG95+char!$C$5*SF6_NF3!AG95+char!$C$6*'CH4'!AG95+char!$C$7*HFC!AG95+char!$C$8*PFC!AG95</f>
        <v>0</v>
      </c>
      <c r="AH95" s="172">
        <f>+'CO2'!AH95+char!$C$4*N2O!AH95+char!$C$5*SF6_NF3!AH95+char!$C$6*'CH4'!AH95+char!$C$7*HFC!AH95+char!$C$8*PFC!AH95</f>
        <v>61711.873627359499</v>
      </c>
      <c r="AI95" s="379">
        <f>+'CO2'!AI95+char!$C$4*N2O!AI95+char!$C$5*SF6_NF3!AI95+char!$C$6*'CH4'!AI95+char!$C$7*HFC!AI95+char!$C$8*PFC!AI95</f>
        <v>0</v>
      </c>
      <c r="AJ95" s="172">
        <f>+'CO2'!AJ95+char!$C$4*N2O!AJ95+char!$C$5*SF6_NF3!AJ95+char!$C$6*'CH4'!AJ95+char!$C$7*HFC!AJ95+char!$C$8*PFC!AJ95</f>
        <v>65011.154818070507</v>
      </c>
      <c r="AK95" s="379">
        <f>+'CO2'!AK95+char!$C$4*N2O!AK95+char!$C$5*SF6_NF3!AK95+char!$C$6*'CH4'!AK95+char!$C$7*HFC!AK95+char!$C$8*PFC!AK95</f>
        <v>0</v>
      </c>
      <c r="AL95" s="172">
        <f>+'CO2'!AL95+char!$C$4*N2O!AL95+char!$C$5*SF6_NF3!AL95+char!$C$6*'CH4'!AL95+char!$C$7*HFC!AL95+char!$C$8*PFC!AL95</f>
        <v>69599.796265579702</v>
      </c>
      <c r="AM95" s="379">
        <f>+'CO2'!AM95+char!$C$4*N2O!AM95+char!$C$5*SF6_NF3!AM95+char!$C$6*'CH4'!AM95+char!$C$7*HFC!AM95+char!$C$8*PFC!AM95</f>
        <v>0</v>
      </c>
      <c r="AN95" s="172">
        <f>+'CO2'!AN95+char!$C$4*N2O!AN95+char!$C$5*SF6_NF3!AN95+char!$C$6*'CH4'!AN95+char!$C$7*HFC!AN95+char!$C$8*PFC!AN95</f>
        <v>69080.245902915805</v>
      </c>
      <c r="AO95" s="379">
        <f>+'CO2'!AO95+char!$C$4*N2O!AO95+char!$C$5*SF6_NF3!AO95+char!$C$6*'CH4'!AO95+char!$C$7*HFC!AO95+char!$C$8*PFC!AO95</f>
        <v>0</v>
      </c>
      <c r="AP95" s="172">
        <f>+'CO2'!AP95+char!$C$4*N2O!AP95+char!$C$5*SF6_NF3!AP95+char!$C$6*'CH4'!AP95+char!$C$7*HFC!AP95+char!$C$8*PFC!AP95</f>
        <v>69252.723851528994</v>
      </c>
      <c r="AQ95" s="379">
        <f>+'CO2'!AQ95+char!$C$4*N2O!AQ95+char!$C$5*SF6_NF3!AQ95+char!$C$6*'CH4'!AQ95+char!$C$7*HFC!AQ95+char!$C$8*PFC!AQ95</f>
        <v>0</v>
      </c>
      <c r="AR95" s="172">
        <f>+'CO2'!AR95+char!$C$4*N2O!AR95+char!$C$5*SF6_NF3!AR95+char!$C$6*'CH4'!AR95+char!$C$7*HFC!AR95+char!$C$8*PFC!AR95</f>
        <v>68557.348225827503</v>
      </c>
      <c r="AS95" s="379">
        <f>+'CO2'!AS95+char!$C$4*N2O!AS95+char!$C$5*SF6_NF3!AS95+char!$C$6*'CH4'!AS95+char!$C$7*HFC!AS95+char!$C$8*PFC!AS95</f>
        <v>0</v>
      </c>
      <c r="AT95" s="172">
        <f>+'CO2'!AT95+char!$C$4*N2O!AT95+char!$C$5*SF6_NF3!AT95+char!$C$6*'CH4'!AT95+char!$C$7*HFC!AT95+char!$C$8*PFC!AT95</f>
        <v>75541.536950505106</v>
      </c>
      <c r="AU95" s="379">
        <f>+'CO2'!AU95+char!$C$4*N2O!AU95+char!$C$5*SF6_NF3!AU95+char!$C$6*'CH4'!AU95+char!$C$7*HFC!AU95+char!$C$8*PFC!AU95</f>
        <v>0</v>
      </c>
      <c r="AV95" s="173">
        <f>+'CO2'!AV95+char!$C$4*N2O!AV95+char!$C$5*SF6_NF3!AV95+char!$C$6*'CH4'!AV95+char!$C$7*HFC!AV95+char!$C$8*PFC!AV95</f>
        <v>66645.248642752806</v>
      </c>
      <c r="AW95" s="379">
        <f>+'CO2'!AW95+char!$C$4*N2O!AW95+char!$C$5*SF6_NF3!AW95+char!$C$6*'CH4'!AW95+char!$C$7*HFC!AW95+char!$C$8*PFC!AW95</f>
        <v>0</v>
      </c>
      <c r="AX95" s="173">
        <f>+'CO2'!AX95+char!$C$4*N2O!AX95+char!$C$5*SF6_NF3!AX95+char!$C$6*'CH4'!AX95+char!$C$7*HFC!AX95+char!$C$8*PFC!AX95</f>
        <v>68490.097959869396</v>
      </c>
      <c r="AY95" s="379">
        <f>+'CO2'!AY95+char!$C$4*N2O!AY95+char!$C$5*SF6_NF3!AY95+char!$C$6*'CH4'!AY95+char!$C$7*HFC!AY95+char!$C$8*PFC!AY95</f>
        <v>0</v>
      </c>
      <c r="AZ95" s="173">
        <f>+'CO2'!AZ95+char!$C$4*N2O!AZ95+char!$C$5*SF6_NF3!AZ95+char!$C$6*'CH4'!AZ95+char!$C$7*HFC!AZ95+char!$C$8*PFC!AZ95</f>
        <v>71398.300645487194</v>
      </c>
      <c r="BA95" s="379">
        <f>+'CO2'!BA95+char!$C$4*N2O!BA95+char!$C$5*SF6_NF3!BA95+char!$C$6*'CH4'!BA95+char!$C$7*HFC!BA95+char!$C$8*PFC!BA95</f>
        <v>0</v>
      </c>
      <c r="BB95" s="173">
        <f>+'CO2'!BB95+char!$C$4*N2O!BB95+char!$C$5*SF6_NF3!BB95+char!$C$6*'CH4'!BB95+char!$C$7*HFC!BB95+char!$C$8*PFC!BB95</f>
        <v>71037.679813658193</v>
      </c>
      <c r="BC95" s="379">
        <f>+'CO2'!BC95+char!$C$4*N2O!BC95+char!$C$5*SF6_NF3!BC95+char!$C$6*'CH4'!BC95+char!$C$7*HFC!BC95+char!$C$8*PFC!BC95</f>
        <v>0</v>
      </c>
      <c r="BD95" s="173">
        <f>+'CO2'!BD95+char!$C$4*N2O!BD95+char!$C$5*SF6_NF3!BD95+char!$C$6*'CH4'!BD95+char!$C$7*HFC!BD95+char!$C$8*PFC!BD95</f>
        <v>65254.166304102902</v>
      </c>
      <c r="BE95" s="379">
        <f>+'CO2'!BE95+char!$C$4*N2O!BE95+char!$C$5*SF6_NF3!BE95+char!$C$6*'CH4'!BE95+char!$C$7*HFC!BE95+char!$C$8*PFC!BE95</f>
        <v>0</v>
      </c>
      <c r="BF95" s="173">
        <f>+'CO2'!BF95+char!$C$4*N2O!BF95+char!$C$5*SF6_NF3!BF95+char!$C$6*'CH4'!BF95+char!$C$7*HFC!BF95+char!$C$8*PFC!BF95</f>
        <v>64711.973929014501</v>
      </c>
      <c r="BG95" s="379"/>
      <c r="BH95" s="237"/>
      <c r="BI95" s="184"/>
      <c r="CJ95" s="150"/>
      <c r="CK95" s="150"/>
      <c r="CL95" s="150"/>
      <c r="CM95" s="151" t="s">
        <v>1148</v>
      </c>
      <c r="CN95" s="150" t="s">
        <v>1130</v>
      </c>
      <c r="CO95" s="150"/>
      <c r="CP95" s="150"/>
      <c r="CQ95" s="150"/>
      <c r="CR95" s="150"/>
      <c r="CS95" s="150"/>
      <c r="CT95" s="150"/>
    </row>
    <row r="96" spans="1:98" ht="17.25" customHeight="1">
      <c r="A96" s="317"/>
      <c r="B96" s="200">
        <v>2</v>
      </c>
      <c r="C96" s="101"/>
      <c r="D96" s="482" t="s">
        <v>576</v>
      </c>
      <c r="E96" s="483"/>
      <c r="F96" s="235"/>
      <c r="G96" s="379"/>
      <c r="H96" s="236"/>
      <c r="I96" s="379"/>
      <c r="J96" s="236"/>
      <c r="K96" s="379"/>
      <c r="L96" s="236"/>
      <c r="M96" s="379"/>
      <c r="N96" s="236"/>
      <c r="O96" s="379"/>
      <c r="P96" s="236"/>
      <c r="Q96" s="379"/>
      <c r="R96" s="236"/>
      <c r="S96" s="379"/>
      <c r="T96" s="236"/>
      <c r="U96" s="379"/>
      <c r="V96" s="236"/>
      <c r="W96" s="379"/>
      <c r="X96" s="236"/>
      <c r="Y96" s="379"/>
      <c r="Z96" s="236"/>
      <c r="AA96" s="379"/>
      <c r="AB96" s="236"/>
      <c r="AC96" s="379"/>
      <c r="AD96" s="236"/>
      <c r="AE96" s="379"/>
      <c r="AF96" s="172">
        <f>+'CO2'!AF96+char!$C$4*N2O!AF96+char!$C$5*SF6_NF3!AF96+char!$C$6*'CH4'!AF96+char!$C$7*HFC!AF96+char!$C$8*PFC!AF96</f>
        <v>9632.8913532456008</v>
      </c>
      <c r="AG96" s="379">
        <f>+'CO2'!AG96+char!$C$4*N2O!AG96+char!$C$5*SF6_NF3!AG96+char!$C$6*'CH4'!AG96+char!$C$7*HFC!AG96+char!$C$8*PFC!AG96</f>
        <v>0</v>
      </c>
      <c r="AH96" s="172">
        <f>+'CO2'!AH96+char!$C$4*N2O!AH96+char!$C$5*SF6_NF3!AH96+char!$C$6*'CH4'!AH96+char!$C$7*HFC!AH96+char!$C$8*PFC!AH96</f>
        <v>8296.8690700914012</v>
      </c>
      <c r="AI96" s="379">
        <f>+'CO2'!AI96+char!$C$4*N2O!AI96+char!$C$5*SF6_NF3!AI96+char!$C$6*'CH4'!AI96+char!$C$7*HFC!AI96+char!$C$8*PFC!AI96</f>
        <v>0</v>
      </c>
      <c r="AJ96" s="172">
        <f>+'CO2'!AJ96+char!$C$4*N2O!AJ96+char!$C$5*SF6_NF3!AJ96+char!$C$6*'CH4'!AJ96+char!$C$7*HFC!AJ96+char!$C$8*PFC!AJ96</f>
        <v>9078.1572399272009</v>
      </c>
      <c r="AK96" s="379">
        <f>+'CO2'!AK96+char!$C$4*N2O!AK96+char!$C$5*SF6_NF3!AK96+char!$C$6*'CH4'!AK96+char!$C$7*HFC!AK96+char!$C$8*PFC!AK96</f>
        <v>0</v>
      </c>
      <c r="AL96" s="172">
        <f>+'CO2'!AL96+char!$C$4*N2O!AL96+char!$C$5*SF6_NF3!AL96+char!$C$6*'CH4'!AL96+char!$C$7*HFC!AL96+char!$C$8*PFC!AL96</f>
        <v>14558.7026110238</v>
      </c>
      <c r="AM96" s="379">
        <f>+'CO2'!AM96+char!$C$4*N2O!AM96+char!$C$5*SF6_NF3!AM96+char!$C$6*'CH4'!AM96+char!$C$7*HFC!AM96+char!$C$8*PFC!AM96</f>
        <v>0</v>
      </c>
      <c r="AN96" s="172">
        <f>+'CO2'!AN96+char!$C$4*N2O!AN96+char!$C$5*SF6_NF3!AN96+char!$C$6*'CH4'!AN96+char!$C$7*HFC!AN96+char!$C$8*PFC!AN96</f>
        <v>14597.293303771401</v>
      </c>
      <c r="AO96" s="379">
        <f>+'CO2'!AO96+char!$C$4*N2O!AO96+char!$C$5*SF6_NF3!AO96+char!$C$6*'CH4'!AO96+char!$C$7*HFC!AO96+char!$C$8*PFC!AO96</f>
        <v>0</v>
      </c>
      <c r="AP96" s="172">
        <f>+'CO2'!AP96+char!$C$4*N2O!AP96+char!$C$5*SF6_NF3!AP96+char!$C$6*'CH4'!AP96+char!$C$7*HFC!AP96+char!$C$8*PFC!AP96</f>
        <v>14466.6448651472</v>
      </c>
      <c r="AQ96" s="379">
        <f>+'CO2'!AQ96+char!$C$4*N2O!AQ96+char!$C$5*SF6_NF3!AQ96+char!$C$6*'CH4'!AQ96+char!$C$7*HFC!AQ96+char!$C$8*PFC!AQ96</f>
        <v>0</v>
      </c>
      <c r="AR96" s="172">
        <f>+'CO2'!AR96+char!$C$4*N2O!AR96+char!$C$5*SF6_NF3!AR96+char!$C$6*'CH4'!AR96+char!$C$7*HFC!AR96+char!$C$8*PFC!AR96</f>
        <v>13443.3272284833</v>
      </c>
      <c r="AS96" s="379">
        <f>+'CO2'!AS96+char!$C$4*N2O!AS96+char!$C$5*SF6_NF3!AS96+char!$C$6*'CH4'!AS96+char!$C$7*HFC!AS96+char!$C$8*PFC!AS96</f>
        <v>0</v>
      </c>
      <c r="AT96" s="172">
        <f>+'CO2'!AT96+char!$C$4*N2O!AT96+char!$C$5*SF6_NF3!AT96+char!$C$6*'CH4'!AT96+char!$C$7*HFC!AT96+char!$C$8*PFC!AT96</f>
        <v>19974.148196119902</v>
      </c>
      <c r="AU96" s="379">
        <f>+'CO2'!AU96+char!$C$4*N2O!AU96+char!$C$5*SF6_NF3!AU96+char!$C$6*'CH4'!AU96+char!$C$7*HFC!AU96+char!$C$8*PFC!AU96</f>
        <v>0</v>
      </c>
      <c r="AV96" s="173">
        <f>+'CO2'!AV96+char!$C$4*N2O!AV96+char!$C$5*SF6_NF3!AV96+char!$C$6*'CH4'!AV96+char!$C$7*HFC!AV96+char!$C$8*PFC!AV96</f>
        <v>12045.1933522284</v>
      </c>
      <c r="AW96" s="379">
        <f>+'CO2'!AW96+char!$C$4*N2O!AW96+char!$C$5*SF6_NF3!AW96+char!$C$6*'CH4'!AW96+char!$C$7*HFC!AW96+char!$C$8*PFC!AW96</f>
        <v>0</v>
      </c>
      <c r="AX96" s="173">
        <f>+'CO2'!AX96+char!$C$4*N2O!AX96+char!$C$5*SF6_NF3!AX96+char!$C$6*'CH4'!AX96+char!$C$7*HFC!AX96+char!$C$8*PFC!AX96</f>
        <v>14609.806704101798</v>
      </c>
      <c r="AY96" s="379">
        <f>+'CO2'!AY96+char!$C$4*N2O!AY96+char!$C$5*SF6_NF3!AY96+char!$C$6*'CH4'!AY96+char!$C$7*HFC!AY96+char!$C$8*PFC!AY96</f>
        <v>0</v>
      </c>
      <c r="AZ96" s="173">
        <f>+'CO2'!AZ96+char!$C$4*N2O!AZ96+char!$C$5*SF6_NF3!AZ96+char!$C$6*'CH4'!AZ96+char!$C$7*HFC!AZ96+char!$C$8*PFC!AZ96</f>
        <v>17501.0982767721</v>
      </c>
      <c r="BA96" s="379">
        <f>+'CO2'!BA96+char!$C$4*N2O!BA96+char!$C$5*SF6_NF3!BA96+char!$C$6*'CH4'!BA96+char!$C$7*HFC!BA96+char!$C$8*PFC!BA96</f>
        <v>0</v>
      </c>
      <c r="BB96" s="173">
        <f>+'CO2'!BB96+char!$C$4*N2O!BB96+char!$C$5*SF6_NF3!BB96+char!$C$6*'CH4'!BB96+char!$C$7*HFC!BB96+char!$C$8*PFC!BB96</f>
        <v>18956.040117382796</v>
      </c>
      <c r="BC96" s="379">
        <f>+'CO2'!BC96+char!$C$4*N2O!BC96+char!$C$5*SF6_NF3!BC96+char!$C$6*'CH4'!BC96+char!$C$7*HFC!BC96+char!$C$8*PFC!BC96</f>
        <v>0</v>
      </c>
      <c r="BD96" s="173">
        <f>+'CO2'!BD96+char!$C$4*N2O!BD96+char!$C$5*SF6_NF3!BD96+char!$C$6*'CH4'!BD96+char!$C$7*HFC!BD96+char!$C$8*PFC!BD96</f>
        <v>15514.391679285898</v>
      </c>
      <c r="BE96" s="379">
        <f>+'CO2'!BE96+char!$C$4*N2O!BE96+char!$C$5*SF6_NF3!BE96+char!$C$6*'CH4'!BE96+char!$C$7*HFC!BE96+char!$C$8*PFC!BE96</f>
        <v>0</v>
      </c>
      <c r="BF96" s="173">
        <f>+'CO2'!BF96+char!$C$4*N2O!BF96+char!$C$5*SF6_NF3!BF96+char!$C$6*'CH4'!BF96+char!$C$7*HFC!BF96+char!$C$8*PFC!BF96</f>
        <v>15339.719531668099</v>
      </c>
      <c r="BG96" s="379"/>
      <c r="BH96" s="237"/>
      <c r="BI96" s="184"/>
      <c r="CJ96" s="150"/>
      <c r="CK96" s="150"/>
      <c r="CL96" s="150"/>
      <c r="CM96" s="151" t="s">
        <v>1148</v>
      </c>
      <c r="CN96" s="150" t="s">
        <v>1149</v>
      </c>
      <c r="CO96" s="150"/>
      <c r="CP96" s="150"/>
      <c r="CQ96" s="150"/>
      <c r="CR96" s="150"/>
      <c r="CS96" s="150"/>
      <c r="CT96" s="150"/>
    </row>
    <row r="97" spans="1:98" ht="12.75" customHeight="1">
      <c r="A97" s="317"/>
      <c r="B97" s="201">
        <v>2.1</v>
      </c>
      <c r="C97" s="102"/>
      <c r="D97" s="480" t="s">
        <v>577</v>
      </c>
      <c r="E97" s="481"/>
      <c r="F97" s="224"/>
      <c r="G97" s="379"/>
      <c r="H97" s="228"/>
      <c r="I97" s="379"/>
      <c r="J97" s="228"/>
      <c r="K97" s="379"/>
      <c r="L97" s="228"/>
      <c r="M97" s="379"/>
      <c r="N97" s="228"/>
      <c r="O97" s="379"/>
      <c r="P97" s="228"/>
      <c r="Q97" s="379"/>
      <c r="R97" s="228"/>
      <c r="S97" s="379"/>
      <c r="T97" s="228"/>
      <c r="U97" s="379"/>
      <c r="V97" s="228"/>
      <c r="W97" s="379"/>
      <c r="X97" s="228"/>
      <c r="Y97" s="379"/>
      <c r="Z97" s="228"/>
      <c r="AA97" s="379"/>
      <c r="AB97" s="228"/>
      <c r="AC97" s="379"/>
      <c r="AD97" s="228"/>
      <c r="AE97" s="379"/>
      <c r="AF97" s="167">
        <f>+'CO2'!AF97+char!$C$4*N2O!AF97+char!$C$5*SF6_NF3!AF97+char!$C$6*'CH4'!AF97+char!$C$7*HFC!AF97+char!$C$8*PFC!AF97</f>
        <v>0</v>
      </c>
      <c r="AG97" s="379">
        <f>+'CO2'!AG97+char!$C$4*N2O!AG97+char!$C$5*SF6_NF3!AG97+char!$C$6*'CH4'!AG97+char!$C$7*HFC!AG97+char!$C$8*PFC!AG97</f>
        <v>0</v>
      </c>
      <c r="AH97" s="167">
        <f>+'CO2'!AH97+char!$C$4*N2O!AH97+char!$C$5*SF6_NF3!AH97+char!$C$6*'CH4'!AH97+char!$C$7*HFC!AH97+char!$C$8*PFC!AH97</f>
        <v>0</v>
      </c>
      <c r="AI97" s="379">
        <f>+'CO2'!AI97+char!$C$4*N2O!AI97+char!$C$5*SF6_NF3!AI97+char!$C$6*'CH4'!AI97+char!$C$7*HFC!AI97+char!$C$8*PFC!AI97</f>
        <v>0</v>
      </c>
      <c r="AJ97" s="167">
        <f>+'CO2'!AJ97+char!$C$4*N2O!AJ97+char!$C$5*SF6_NF3!AJ97+char!$C$6*'CH4'!AJ97+char!$C$7*HFC!AJ97+char!$C$8*PFC!AJ97</f>
        <v>0</v>
      </c>
      <c r="AK97" s="379">
        <f>+'CO2'!AK97+char!$C$4*N2O!AK97+char!$C$5*SF6_NF3!AK97+char!$C$6*'CH4'!AK97+char!$C$7*HFC!AK97+char!$C$8*PFC!AK97</f>
        <v>0</v>
      </c>
      <c r="AL97" s="167">
        <f>+'CO2'!AL97+char!$C$4*N2O!AL97+char!$C$5*SF6_NF3!AL97+char!$C$6*'CH4'!AL97+char!$C$7*HFC!AL97+char!$C$8*PFC!AL97</f>
        <v>0</v>
      </c>
      <c r="AM97" s="379">
        <f>+'CO2'!AM97+char!$C$4*N2O!AM97+char!$C$5*SF6_NF3!AM97+char!$C$6*'CH4'!AM97+char!$C$7*HFC!AM97+char!$C$8*PFC!AM97</f>
        <v>0</v>
      </c>
      <c r="AN97" s="167">
        <f>+'CO2'!AN97+char!$C$4*N2O!AN97+char!$C$5*SF6_NF3!AN97+char!$C$6*'CH4'!AN97+char!$C$7*HFC!AN97+char!$C$8*PFC!AN97</f>
        <v>0</v>
      </c>
      <c r="AO97" s="379">
        <f>+'CO2'!AO97+char!$C$4*N2O!AO97+char!$C$5*SF6_NF3!AO97+char!$C$6*'CH4'!AO97+char!$C$7*HFC!AO97+char!$C$8*PFC!AO97</f>
        <v>0</v>
      </c>
      <c r="AP97" s="167">
        <f>+'CO2'!AP97+char!$C$4*N2O!AP97+char!$C$5*SF6_NF3!AP97+char!$C$6*'CH4'!AP97+char!$C$7*HFC!AP97+char!$C$8*PFC!AP97</f>
        <v>0</v>
      </c>
      <c r="AQ97" s="379">
        <f>+'CO2'!AQ97+char!$C$4*N2O!AQ97+char!$C$5*SF6_NF3!AQ97+char!$C$6*'CH4'!AQ97+char!$C$7*HFC!AQ97+char!$C$8*PFC!AQ97</f>
        <v>0</v>
      </c>
      <c r="AR97" s="167">
        <f>+'CO2'!AR97+char!$C$4*N2O!AR97+char!$C$5*SF6_NF3!AR97+char!$C$6*'CH4'!AR97+char!$C$7*HFC!AR97+char!$C$8*PFC!AR97</f>
        <v>0</v>
      </c>
      <c r="AS97" s="379">
        <f>+'CO2'!AS97+char!$C$4*N2O!AS97+char!$C$5*SF6_NF3!AS97+char!$C$6*'CH4'!AS97+char!$C$7*HFC!AS97+char!$C$8*PFC!AS97</f>
        <v>0</v>
      </c>
      <c r="AT97" s="167">
        <f>+'CO2'!AT97+char!$C$4*N2O!AT97+char!$C$5*SF6_NF3!AT97+char!$C$6*'CH4'!AT97+char!$C$7*HFC!AT97+char!$C$8*PFC!AT97</f>
        <v>0</v>
      </c>
      <c r="AU97" s="379">
        <f>+'CO2'!AU97+char!$C$4*N2O!AU97+char!$C$5*SF6_NF3!AU97+char!$C$6*'CH4'!AU97+char!$C$7*HFC!AU97+char!$C$8*PFC!AU97</f>
        <v>0</v>
      </c>
      <c r="AV97" s="165">
        <f>+'CO2'!AV97+char!$C$4*N2O!AV97+char!$C$5*SF6_NF3!AV97+char!$C$6*'CH4'!AV97+char!$C$7*HFC!AV97+char!$C$8*PFC!AV97</f>
        <v>0</v>
      </c>
      <c r="AW97" s="379">
        <f>+'CO2'!AW97+char!$C$4*N2O!AW97+char!$C$5*SF6_NF3!AW97+char!$C$6*'CH4'!AW97+char!$C$7*HFC!AW97+char!$C$8*PFC!AW97</f>
        <v>0</v>
      </c>
      <c r="AX97" s="165">
        <f>+'CO2'!AX97+char!$C$4*N2O!AX97+char!$C$5*SF6_NF3!AX97+char!$C$6*'CH4'!AX97+char!$C$7*HFC!AX97+char!$C$8*PFC!AX97</f>
        <v>0</v>
      </c>
      <c r="AY97" s="379">
        <f>+'CO2'!AY97+char!$C$4*N2O!AY97+char!$C$5*SF6_NF3!AY97+char!$C$6*'CH4'!AY97+char!$C$7*HFC!AY97+char!$C$8*PFC!AY97</f>
        <v>0</v>
      </c>
      <c r="AZ97" s="165">
        <f>+'CO2'!AZ97+char!$C$4*N2O!AZ97+char!$C$5*SF6_NF3!AZ97+char!$C$6*'CH4'!AZ97+char!$C$7*HFC!AZ97+char!$C$8*PFC!AZ97</f>
        <v>0</v>
      </c>
      <c r="BA97" s="379">
        <f>+'CO2'!BA97+char!$C$4*N2O!BA97+char!$C$5*SF6_NF3!BA97+char!$C$6*'CH4'!BA97+char!$C$7*HFC!BA97+char!$C$8*PFC!BA97</f>
        <v>0</v>
      </c>
      <c r="BB97" s="165">
        <f>+'CO2'!BB97+char!$C$4*N2O!BB97+char!$C$5*SF6_NF3!BB97+char!$C$6*'CH4'!BB97+char!$C$7*HFC!BB97+char!$C$8*PFC!BB97</f>
        <v>0</v>
      </c>
      <c r="BC97" s="379">
        <f>+'CO2'!BC97+char!$C$4*N2O!BC97+char!$C$5*SF6_NF3!BC97+char!$C$6*'CH4'!BC97+char!$C$7*HFC!BC97+char!$C$8*PFC!BC97</f>
        <v>0</v>
      </c>
      <c r="BD97" s="165">
        <f>+'CO2'!BD97+char!$C$4*N2O!BD97+char!$C$5*SF6_NF3!BD97+char!$C$6*'CH4'!BD97+char!$C$7*HFC!BD97+char!$C$8*PFC!BD97</f>
        <v>0</v>
      </c>
      <c r="BE97" s="379">
        <f>+'CO2'!BE97+char!$C$4*N2O!BE97+char!$C$5*SF6_NF3!BE97+char!$C$6*'CH4'!BE97+char!$C$7*HFC!BE97+char!$C$8*PFC!BE97</f>
        <v>0</v>
      </c>
      <c r="BF97" s="165">
        <f>+'CO2'!BF97+char!$C$4*N2O!BF97+char!$C$5*SF6_NF3!BF97+char!$C$6*'CH4'!BF97+char!$C$7*HFC!BF97+char!$C$8*PFC!BF97</f>
        <v>0</v>
      </c>
      <c r="BG97" s="379"/>
      <c r="BH97" s="225"/>
      <c r="BI97" s="184"/>
      <c r="CJ97" s="150"/>
      <c r="CK97" s="150"/>
      <c r="CL97" s="150"/>
      <c r="CM97" s="151" t="s">
        <v>1148</v>
      </c>
      <c r="CN97" s="150" t="s">
        <v>1150</v>
      </c>
      <c r="CO97" s="150"/>
      <c r="CP97" s="150"/>
      <c r="CQ97" s="150"/>
      <c r="CR97" s="150"/>
      <c r="CS97" s="150"/>
      <c r="CT97" s="150"/>
    </row>
    <row r="98" spans="1:98" ht="12.75" customHeight="1">
      <c r="A98" s="317"/>
      <c r="B98" s="201">
        <v>2.2000000000000002</v>
      </c>
      <c r="C98" s="102"/>
      <c r="D98" s="480" t="s">
        <v>578</v>
      </c>
      <c r="E98" s="481"/>
      <c r="F98" s="224"/>
      <c r="G98" s="379"/>
      <c r="H98" s="228"/>
      <c r="I98" s="379"/>
      <c r="J98" s="228"/>
      <c r="K98" s="379"/>
      <c r="L98" s="228"/>
      <c r="M98" s="379"/>
      <c r="N98" s="228"/>
      <c r="O98" s="379"/>
      <c r="P98" s="228"/>
      <c r="Q98" s="379"/>
      <c r="R98" s="228"/>
      <c r="S98" s="379"/>
      <c r="T98" s="228"/>
      <c r="U98" s="379"/>
      <c r="V98" s="228"/>
      <c r="W98" s="379"/>
      <c r="X98" s="228"/>
      <c r="Y98" s="379"/>
      <c r="Z98" s="228"/>
      <c r="AA98" s="379"/>
      <c r="AB98" s="228"/>
      <c r="AC98" s="379"/>
      <c r="AD98" s="228"/>
      <c r="AE98" s="379"/>
      <c r="AF98" s="167">
        <f>+'CO2'!AF98+char!$C$4*N2O!AF98+char!$C$5*SF6_NF3!AF98+char!$C$6*'CH4'!AF98+char!$C$7*HFC!AF98+char!$C$8*PFC!AF98</f>
        <v>0</v>
      </c>
      <c r="AG98" s="379">
        <f>+'CO2'!AG98+char!$C$4*N2O!AG98+char!$C$5*SF6_NF3!AG98+char!$C$6*'CH4'!AG98+char!$C$7*HFC!AG98+char!$C$8*PFC!AG98</f>
        <v>0</v>
      </c>
      <c r="AH98" s="167">
        <f>+'CO2'!AH98+char!$C$4*N2O!AH98+char!$C$5*SF6_NF3!AH98+char!$C$6*'CH4'!AH98+char!$C$7*HFC!AH98+char!$C$8*PFC!AH98</f>
        <v>0</v>
      </c>
      <c r="AI98" s="379">
        <f>+'CO2'!AI98+char!$C$4*N2O!AI98+char!$C$5*SF6_NF3!AI98+char!$C$6*'CH4'!AI98+char!$C$7*HFC!AI98+char!$C$8*PFC!AI98</f>
        <v>0</v>
      </c>
      <c r="AJ98" s="167">
        <f>+'CO2'!AJ98+char!$C$4*N2O!AJ98+char!$C$5*SF6_NF3!AJ98+char!$C$6*'CH4'!AJ98+char!$C$7*HFC!AJ98+char!$C$8*PFC!AJ98</f>
        <v>0</v>
      </c>
      <c r="AK98" s="379">
        <f>+'CO2'!AK98+char!$C$4*N2O!AK98+char!$C$5*SF6_NF3!AK98+char!$C$6*'CH4'!AK98+char!$C$7*HFC!AK98+char!$C$8*PFC!AK98</f>
        <v>0</v>
      </c>
      <c r="AL98" s="167">
        <f>+'CO2'!AL98+char!$C$4*N2O!AL98+char!$C$5*SF6_NF3!AL98+char!$C$6*'CH4'!AL98+char!$C$7*HFC!AL98+char!$C$8*PFC!AL98</f>
        <v>0</v>
      </c>
      <c r="AM98" s="379">
        <f>+'CO2'!AM98+char!$C$4*N2O!AM98+char!$C$5*SF6_NF3!AM98+char!$C$6*'CH4'!AM98+char!$C$7*HFC!AM98+char!$C$8*PFC!AM98</f>
        <v>0</v>
      </c>
      <c r="AN98" s="167">
        <f>+'CO2'!AN98+char!$C$4*N2O!AN98+char!$C$5*SF6_NF3!AN98+char!$C$6*'CH4'!AN98+char!$C$7*HFC!AN98+char!$C$8*PFC!AN98</f>
        <v>0</v>
      </c>
      <c r="AO98" s="379">
        <f>+'CO2'!AO98+char!$C$4*N2O!AO98+char!$C$5*SF6_NF3!AO98+char!$C$6*'CH4'!AO98+char!$C$7*HFC!AO98+char!$C$8*PFC!AO98</f>
        <v>0</v>
      </c>
      <c r="AP98" s="167">
        <f>+'CO2'!AP98+char!$C$4*N2O!AP98+char!$C$5*SF6_NF3!AP98+char!$C$6*'CH4'!AP98+char!$C$7*HFC!AP98+char!$C$8*PFC!AP98</f>
        <v>0</v>
      </c>
      <c r="AQ98" s="379">
        <f>+'CO2'!AQ98+char!$C$4*N2O!AQ98+char!$C$5*SF6_NF3!AQ98+char!$C$6*'CH4'!AQ98+char!$C$7*HFC!AQ98+char!$C$8*PFC!AQ98</f>
        <v>0</v>
      </c>
      <c r="AR98" s="167">
        <f>+'CO2'!AR98+char!$C$4*N2O!AR98+char!$C$5*SF6_NF3!AR98+char!$C$6*'CH4'!AR98+char!$C$7*HFC!AR98+char!$C$8*PFC!AR98</f>
        <v>0</v>
      </c>
      <c r="AS98" s="379">
        <f>+'CO2'!AS98+char!$C$4*N2O!AS98+char!$C$5*SF6_NF3!AS98+char!$C$6*'CH4'!AS98+char!$C$7*HFC!AS98+char!$C$8*PFC!AS98</f>
        <v>0</v>
      </c>
      <c r="AT98" s="167">
        <f>+'CO2'!AT98+char!$C$4*N2O!AT98+char!$C$5*SF6_NF3!AT98+char!$C$6*'CH4'!AT98+char!$C$7*HFC!AT98+char!$C$8*PFC!AT98</f>
        <v>0</v>
      </c>
      <c r="AU98" s="379">
        <f>+'CO2'!AU98+char!$C$4*N2O!AU98+char!$C$5*SF6_NF3!AU98+char!$C$6*'CH4'!AU98+char!$C$7*HFC!AU98+char!$C$8*PFC!AU98</f>
        <v>0</v>
      </c>
      <c r="AV98" s="165">
        <f>+'CO2'!AV98+char!$C$4*N2O!AV98+char!$C$5*SF6_NF3!AV98+char!$C$6*'CH4'!AV98+char!$C$7*HFC!AV98+char!$C$8*PFC!AV98</f>
        <v>0</v>
      </c>
      <c r="AW98" s="379">
        <f>+'CO2'!AW98+char!$C$4*N2O!AW98+char!$C$5*SF6_NF3!AW98+char!$C$6*'CH4'!AW98+char!$C$7*HFC!AW98+char!$C$8*PFC!AW98</f>
        <v>0</v>
      </c>
      <c r="AX98" s="165">
        <f>+'CO2'!AX98+char!$C$4*N2O!AX98+char!$C$5*SF6_NF3!AX98+char!$C$6*'CH4'!AX98+char!$C$7*HFC!AX98+char!$C$8*PFC!AX98</f>
        <v>0</v>
      </c>
      <c r="AY98" s="379">
        <f>+'CO2'!AY98+char!$C$4*N2O!AY98+char!$C$5*SF6_NF3!AY98+char!$C$6*'CH4'!AY98+char!$C$7*HFC!AY98+char!$C$8*PFC!AY98</f>
        <v>0</v>
      </c>
      <c r="AZ98" s="165">
        <f>+'CO2'!AZ98+char!$C$4*N2O!AZ98+char!$C$5*SF6_NF3!AZ98+char!$C$6*'CH4'!AZ98+char!$C$7*HFC!AZ98+char!$C$8*PFC!AZ98</f>
        <v>0</v>
      </c>
      <c r="BA98" s="379">
        <f>+'CO2'!BA98+char!$C$4*N2O!BA98+char!$C$5*SF6_NF3!BA98+char!$C$6*'CH4'!BA98+char!$C$7*HFC!BA98+char!$C$8*PFC!BA98</f>
        <v>0</v>
      </c>
      <c r="BB98" s="165">
        <f>+'CO2'!BB98+char!$C$4*N2O!BB98+char!$C$5*SF6_NF3!BB98+char!$C$6*'CH4'!BB98+char!$C$7*HFC!BB98+char!$C$8*PFC!BB98</f>
        <v>0</v>
      </c>
      <c r="BC98" s="379">
        <f>+'CO2'!BC98+char!$C$4*N2O!BC98+char!$C$5*SF6_NF3!BC98+char!$C$6*'CH4'!BC98+char!$C$7*HFC!BC98+char!$C$8*PFC!BC98</f>
        <v>0</v>
      </c>
      <c r="BD98" s="165">
        <f>+'CO2'!BD98+char!$C$4*N2O!BD98+char!$C$5*SF6_NF3!BD98+char!$C$6*'CH4'!BD98+char!$C$7*HFC!BD98+char!$C$8*PFC!BD98</f>
        <v>0</v>
      </c>
      <c r="BE98" s="379">
        <f>+'CO2'!BE98+char!$C$4*N2O!BE98+char!$C$5*SF6_NF3!BE98+char!$C$6*'CH4'!BE98+char!$C$7*HFC!BE98+char!$C$8*PFC!BE98</f>
        <v>0</v>
      </c>
      <c r="BF98" s="165">
        <f>+'CO2'!BF98+char!$C$4*N2O!BF98+char!$C$5*SF6_NF3!BF98+char!$C$6*'CH4'!BF98+char!$C$7*HFC!BF98+char!$C$8*PFC!BF98</f>
        <v>0</v>
      </c>
      <c r="BG98" s="379"/>
      <c r="BH98" s="225"/>
      <c r="BI98" s="184"/>
      <c r="CJ98" s="150"/>
      <c r="CK98" s="150"/>
      <c r="CL98" s="150"/>
      <c r="CM98" s="151" t="s">
        <v>1148</v>
      </c>
      <c r="CN98" s="150" t="s">
        <v>1151</v>
      </c>
      <c r="CO98" s="150"/>
      <c r="CP98" s="150"/>
      <c r="CQ98" s="150"/>
      <c r="CR98" s="150"/>
      <c r="CS98" s="150"/>
      <c r="CT98" s="150"/>
    </row>
    <row r="99" spans="1:98" ht="12.75" customHeight="1">
      <c r="A99" s="317"/>
      <c r="B99" s="201">
        <v>2.2999999999999998</v>
      </c>
      <c r="C99" s="102"/>
      <c r="D99" s="480" t="s">
        <v>579</v>
      </c>
      <c r="E99" s="481"/>
      <c r="F99" s="224"/>
      <c r="G99" s="379"/>
      <c r="H99" s="228"/>
      <c r="I99" s="379"/>
      <c r="J99" s="228"/>
      <c r="K99" s="379"/>
      <c r="L99" s="228"/>
      <c r="M99" s="379"/>
      <c r="N99" s="228"/>
      <c r="O99" s="379"/>
      <c r="P99" s="228"/>
      <c r="Q99" s="379"/>
      <c r="R99" s="228"/>
      <c r="S99" s="379"/>
      <c r="T99" s="228"/>
      <c r="U99" s="379"/>
      <c r="V99" s="228"/>
      <c r="W99" s="379"/>
      <c r="X99" s="228"/>
      <c r="Y99" s="379"/>
      <c r="Z99" s="228"/>
      <c r="AA99" s="379"/>
      <c r="AB99" s="228"/>
      <c r="AC99" s="379"/>
      <c r="AD99" s="228"/>
      <c r="AE99" s="379"/>
      <c r="AF99" s="167">
        <f>+'CO2'!AF99+char!$C$4*N2O!AF99+char!$C$5*SF6_NF3!AF99+char!$C$6*'CH4'!AF99+char!$C$7*HFC!AF99+char!$C$8*PFC!AF99</f>
        <v>8960.2565481820002</v>
      </c>
      <c r="AG99" s="379">
        <f>+'CO2'!AG99+char!$C$4*N2O!AG99+char!$C$5*SF6_NF3!AG99+char!$C$6*'CH4'!AG99+char!$C$7*HFC!AG99+char!$C$8*PFC!AG99</f>
        <v>0</v>
      </c>
      <c r="AH99" s="167">
        <f>+'CO2'!AH99+char!$C$4*N2O!AH99+char!$C$5*SF6_NF3!AH99+char!$C$6*'CH4'!AH99+char!$C$7*HFC!AH99+char!$C$8*PFC!AH99</f>
        <v>7511.4183594268998</v>
      </c>
      <c r="AI99" s="379">
        <f>+'CO2'!AI99+char!$C$4*N2O!AI99+char!$C$5*SF6_NF3!AI99+char!$C$6*'CH4'!AI99+char!$C$7*HFC!AI99+char!$C$8*PFC!AI99</f>
        <v>0</v>
      </c>
      <c r="AJ99" s="167">
        <f>+'CO2'!AJ99+char!$C$4*N2O!AJ99+char!$C$5*SF6_NF3!AJ99+char!$C$6*'CH4'!AJ99+char!$C$7*HFC!AJ99+char!$C$8*PFC!AJ99</f>
        <v>8165.4941478675</v>
      </c>
      <c r="AK99" s="379">
        <f>+'CO2'!AK99+char!$C$4*N2O!AK99+char!$C$5*SF6_NF3!AK99+char!$C$6*'CH4'!AK99+char!$C$7*HFC!AK99+char!$C$8*PFC!AK99</f>
        <v>0</v>
      </c>
      <c r="AL99" s="250">
        <f>+'CO2'!AL99+char!$C$4*N2O!AL99+char!$C$5*SF6_NF3!AL99+char!$C$6*'CH4'!AL99+char!$C$7*HFC!AL99+char!$C$8*PFC!AL99</f>
        <v>13425.2644530334</v>
      </c>
      <c r="AM99" s="379" t="e">
        <f>+'CO2'!AM99+char!$C$4*N2O!AM99+char!$C$5*SF6_NF3!AM99+char!$C$6*'CH4'!AM99+char!$C$7*HFC!AM99+char!$C$8*PFC!AM99</f>
        <v>#VALUE!</v>
      </c>
      <c r="AN99" s="167">
        <f>+'CO2'!AN99+char!$C$4*N2O!AN99+char!$C$5*SF6_NF3!AN99+char!$C$6*'CH4'!AN99+char!$C$7*HFC!AN99+char!$C$8*PFC!AN99</f>
        <v>13224.9566720362</v>
      </c>
      <c r="AO99" s="379">
        <f>+'CO2'!AO99+char!$C$4*N2O!AO99+char!$C$5*SF6_NF3!AO99+char!$C$6*'CH4'!AO99+char!$C$7*HFC!AO99+char!$C$8*PFC!AO99</f>
        <v>0</v>
      </c>
      <c r="AP99" s="167">
        <f>+'CO2'!AP99+char!$C$4*N2O!AP99+char!$C$5*SF6_NF3!AP99+char!$C$6*'CH4'!AP99+char!$C$7*HFC!AP99+char!$C$8*PFC!AP99</f>
        <v>12721.0950483461</v>
      </c>
      <c r="AQ99" s="379">
        <f>+'CO2'!AQ99+char!$C$4*N2O!AQ99+char!$C$5*SF6_NF3!AQ99+char!$C$6*'CH4'!AQ99+char!$C$7*HFC!AQ99+char!$C$8*PFC!AQ99</f>
        <v>0</v>
      </c>
      <c r="AR99" s="167">
        <f>+'CO2'!AR99+char!$C$4*N2O!AR99+char!$C$5*SF6_NF3!AR99+char!$C$6*'CH4'!AR99+char!$C$7*HFC!AR99+char!$C$8*PFC!AR99</f>
        <v>11525.644043415601</v>
      </c>
      <c r="AS99" s="379">
        <f>+'CO2'!AS99+char!$C$4*N2O!AS99+char!$C$5*SF6_NF3!AS99+char!$C$6*'CH4'!AS99+char!$C$7*HFC!AS99+char!$C$8*PFC!AS99</f>
        <v>0</v>
      </c>
      <c r="AT99" s="250">
        <f>+'CO2'!AT99+char!$C$4*N2O!AT99+char!$C$5*SF6_NF3!AT99+char!$C$6*'CH4'!AT99+char!$C$7*HFC!AT99+char!$C$8*PFC!AT99</f>
        <v>17790.086444496999</v>
      </c>
      <c r="AU99" s="379" t="e">
        <f>+'CO2'!AU99+char!$C$4*N2O!AU99+char!$C$5*SF6_NF3!AU99+char!$C$6*'CH4'!AU99+char!$C$7*HFC!AU99+char!$C$8*PFC!AU99</f>
        <v>#VALUE!</v>
      </c>
      <c r="AV99" s="165">
        <f>+'CO2'!AV99+char!$C$4*N2O!AV99+char!$C$5*SF6_NF3!AV99+char!$C$6*'CH4'!AV99+char!$C$7*HFC!AV99+char!$C$8*PFC!AV99</f>
        <v>10396.722099394699</v>
      </c>
      <c r="AW99" s="379">
        <f>+'CO2'!AW99+char!$C$4*N2O!AW99+char!$C$5*SF6_NF3!AW99+char!$C$6*'CH4'!AW99+char!$C$7*HFC!AW99+char!$C$8*PFC!AW99</f>
        <v>0</v>
      </c>
      <c r="AX99" s="165">
        <f>+'CO2'!AX99+char!$C$4*N2O!AX99+char!$C$5*SF6_NF3!AX99+char!$C$6*'CH4'!AX99+char!$C$7*HFC!AX99+char!$C$8*PFC!AX99</f>
        <v>12807.433474533502</v>
      </c>
      <c r="AY99" s="379">
        <f>+'CO2'!AY99+char!$C$4*N2O!AY99+char!$C$5*SF6_NF3!AY99+char!$C$6*'CH4'!AY99+char!$C$7*HFC!AY99+char!$C$8*PFC!AY99</f>
        <v>0</v>
      </c>
      <c r="AZ99" s="165">
        <f>+'CO2'!AZ99+char!$C$4*N2O!AZ99+char!$C$5*SF6_NF3!AZ99+char!$C$6*'CH4'!AZ99+char!$C$7*HFC!AZ99+char!$C$8*PFC!AZ99</f>
        <v>15479.153850774201</v>
      </c>
      <c r="BA99" s="379">
        <f>+'CO2'!BA99+char!$C$4*N2O!BA99+char!$C$5*SF6_NF3!BA99+char!$C$6*'CH4'!BA99+char!$C$7*HFC!BA99+char!$C$8*PFC!BA99</f>
        <v>0</v>
      </c>
      <c r="BB99" s="165">
        <f>+'CO2'!BB99+char!$C$4*N2O!BB99+char!$C$5*SF6_NF3!BB99+char!$C$6*'CH4'!BB99+char!$C$7*HFC!BB99+char!$C$8*PFC!BB99</f>
        <v>16191.929042165801</v>
      </c>
      <c r="BC99" s="379">
        <f>+'CO2'!BC99+char!$C$4*N2O!BC99+char!$C$5*SF6_NF3!BC99+char!$C$6*'CH4'!BC99+char!$C$7*HFC!BC99+char!$C$8*PFC!BC99</f>
        <v>0</v>
      </c>
      <c r="BD99" s="165">
        <f>+'CO2'!BD99+char!$C$4*N2O!BD99+char!$C$5*SF6_NF3!BD99+char!$C$6*'CH4'!BD99+char!$C$7*HFC!BD99+char!$C$8*PFC!BD99</f>
        <v>15057.8138238765</v>
      </c>
      <c r="BE99" s="379">
        <f>+'CO2'!BE99+char!$C$4*N2O!BE99+char!$C$5*SF6_NF3!BE99+char!$C$6*'CH4'!BE99+char!$C$7*HFC!BE99+char!$C$8*PFC!BE99</f>
        <v>0</v>
      </c>
      <c r="BF99" s="165">
        <f>+'CO2'!BF99+char!$C$4*N2O!BF99+char!$C$5*SF6_NF3!BF99+char!$C$6*'CH4'!BF99+char!$C$7*HFC!BF99+char!$C$8*PFC!BF99</f>
        <v>15057.3513421026</v>
      </c>
      <c r="BG99" s="379"/>
      <c r="BH99" s="225"/>
      <c r="BI99" s="184"/>
      <c r="CJ99" s="150"/>
      <c r="CK99" s="150"/>
      <c r="CL99" s="150"/>
      <c r="CM99" s="151" t="s">
        <v>1148</v>
      </c>
      <c r="CN99" s="150" t="s">
        <v>1152</v>
      </c>
      <c r="CO99" s="150"/>
      <c r="CP99" s="150"/>
      <c r="CQ99" s="150"/>
      <c r="CR99" s="150"/>
      <c r="CS99" s="150"/>
      <c r="CT99" s="150"/>
    </row>
    <row r="100" spans="1:98" ht="12.75" customHeight="1">
      <c r="A100" s="317"/>
      <c r="B100" s="201">
        <v>2.4</v>
      </c>
      <c r="C100" s="102"/>
      <c r="D100" s="480" t="s">
        <v>580</v>
      </c>
      <c r="E100" s="481"/>
      <c r="F100" s="224"/>
      <c r="G100" s="379"/>
      <c r="H100" s="228"/>
      <c r="I100" s="379"/>
      <c r="J100" s="228"/>
      <c r="K100" s="379"/>
      <c r="L100" s="228"/>
      <c r="M100" s="379"/>
      <c r="N100" s="228"/>
      <c r="O100" s="379"/>
      <c r="P100" s="228"/>
      <c r="Q100" s="379"/>
      <c r="R100" s="228"/>
      <c r="S100" s="379"/>
      <c r="T100" s="228"/>
      <c r="U100" s="379"/>
      <c r="V100" s="228"/>
      <c r="W100" s="379"/>
      <c r="X100" s="228"/>
      <c r="Y100" s="379"/>
      <c r="Z100" s="228"/>
      <c r="AA100" s="379"/>
      <c r="AB100" s="228"/>
      <c r="AC100" s="379"/>
      <c r="AD100" s="228"/>
      <c r="AE100" s="379"/>
      <c r="AF100" s="167">
        <f>+'CO2'!AF100+char!$C$4*N2O!AF100+char!$C$5*SF6_NF3!AF100+char!$C$6*'CH4'!AF100+char!$C$7*HFC!AF100+char!$C$8*PFC!AF100</f>
        <v>672.63480506359997</v>
      </c>
      <c r="AG100" s="379">
        <f>+'CO2'!AG100+char!$C$4*N2O!AG100+char!$C$5*SF6_NF3!AG100+char!$C$6*'CH4'!AG100+char!$C$7*HFC!AG100+char!$C$8*PFC!AG100</f>
        <v>0</v>
      </c>
      <c r="AH100" s="167">
        <f>+'CO2'!AH100+char!$C$4*N2O!AH100+char!$C$5*SF6_NF3!AH100+char!$C$6*'CH4'!AH100+char!$C$7*HFC!AH100+char!$C$8*PFC!AH100</f>
        <v>785.45071066449998</v>
      </c>
      <c r="AI100" s="379">
        <f>+'CO2'!AI100+char!$C$4*N2O!AI100+char!$C$5*SF6_NF3!AI100+char!$C$6*'CH4'!AI100+char!$C$7*HFC!AI100+char!$C$8*PFC!AI100</f>
        <v>0</v>
      </c>
      <c r="AJ100" s="167">
        <f>+'CO2'!AJ100+char!$C$4*N2O!AJ100+char!$C$5*SF6_NF3!AJ100+char!$C$6*'CH4'!AJ100+char!$C$7*HFC!AJ100+char!$C$8*PFC!AJ100</f>
        <v>912.66309208619998</v>
      </c>
      <c r="AK100" s="379">
        <f>+'CO2'!AK100+char!$C$4*N2O!AK100+char!$C$5*SF6_NF3!AK100+char!$C$6*'CH4'!AK100+char!$C$7*HFC!AK100+char!$C$8*PFC!AK100</f>
        <v>0</v>
      </c>
      <c r="AL100" s="167">
        <f>+'CO2'!AL100+char!$C$4*N2O!AL100+char!$C$5*SF6_NF3!AL100+char!$C$6*'CH4'!AL100+char!$C$7*HFC!AL100+char!$C$8*PFC!AL100</f>
        <v>1133.4381579904</v>
      </c>
      <c r="AM100" s="379">
        <f>+'CO2'!AM100+char!$C$4*N2O!AM100+char!$C$5*SF6_NF3!AM100+char!$C$6*'CH4'!AM100+char!$C$7*HFC!AM100+char!$C$8*PFC!AM100</f>
        <v>0</v>
      </c>
      <c r="AN100" s="167">
        <f>+'CO2'!AN100+char!$C$4*N2O!AN100+char!$C$5*SF6_NF3!AN100+char!$C$6*'CH4'!AN100+char!$C$7*HFC!AN100+char!$C$8*PFC!AN100</f>
        <v>1372.3366317351999</v>
      </c>
      <c r="AO100" s="379">
        <f>+'CO2'!AO100+char!$C$4*N2O!AO100+char!$C$5*SF6_NF3!AO100+char!$C$6*'CH4'!AO100+char!$C$7*HFC!AO100+char!$C$8*PFC!AO100</f>
        <v>0</v>
      </c>
      <c r="AP100" s="167">
        <f>+'CO2'!AP100+char!$C$4*N2O!AP100+char!$C$5*SF6_NF3!AP100+char!$C$6*'CH4'!AP100+char!$C$7*HFC!AP100+char!$C$8*PFC!AP100</f>
        <v>1745.5498168011</v>
      </c>
      <c r="AQ100" s="379">
        <f>+'CO2'!AQ100+char!$C$4*N2O!AQ100+char!$C$5*SF6_NF3!AQ100+char!$C$6*'CH4'!AQ100+char!$C$7*HFC!AQ100+char!$C$8*PFC!AQ100</f>
        <v>0</v>
      </c>
      <c r="AR100" s="167">
        <f>+'CO2'!AR100+char!$C$4*N2O!AR100+char!$C$5*SF6_NF3!AR100+char!$C$6*'CH4'!AR100+char!$C$7*HFC!AR100+char!$C$8*PFC!AR100</f>
        <v>1917.6831850677002</v>
      </c>
      <c r="AS100" s="379">
        <f>+'CO2'!AS100+char!$C$4*N2O!AS100+char!$C$5*SF6_NF3!AS100+char!$C$6*'CH4'!AS100+char!$C$7*HFC!AS100+char!$C$8*PFC!AS100</f>
        <v>0</v>
      </c>
      <c r="AT100" s="167">
        <f>+'CO2'!AT100+char!$C$4*N2O!AT100+char!$C$5*SF6_NF3!AT100+char!$C$6*'CH4'!AT100+char!$C$7*HFC!AT100+char!$C$8*PFC!AT100</f>
        <v>2184.0617516228999</v>
      </c>
      <c r="AU100" s="379">
        <f>+'CO2'!AU100+char!$C$4*N2O!AU100+char!$C$5*SF6_NF3!AU100+char!$C$6*'CH4'!AU100+char!$C$7*HFC!AU100+char!$C$8*PFC!AU100</f>
        <v>0</v>
      </c>
      <c r="AV100" s="165">
        <f>+'CO2'!AV100+char!$C$4*N2O!AV100+char!$C$5*SF6_NF3!AV100+char!$C$6*'CH4'!AV100+char!$C$7*HFC!AV100+char!$C$8*PFC!AV100</f>
        <v>1648.4712528337</v>
      </c>
      <c r="AW100" s="379">
        <f>+'CO2'!AW100+char!$C$4*N2O!AW100+char!$C$5*SF6_NF3!AW100+char!$C$6*'CH4'!AW100+char!$C$7*HFC!AW100+char!$C$8*PFC!AW100</f>
        <v>0</v>
      </c>
      <c r="AX100" s="165">
        <f>+'CO2'!AX100+char!$C$4*N2O!AX100+char!$C$5*SF6_NF3!AX100+char!$C$6*'CH4'!AX100+char!$C$7*HFC!AX100+char!$C$8*PFC!AX100</f>
        <v>1802.3732295417999</v>
      </c>
      <c r="AY100" s="379">
        <f>+'CO2'!AY100+char!$C$4*N2O!AY100+char!$C$5*SF6_NF3!AY100+char!$C$6*'CH4'!AY100+char!$C$7*HFC!AY100+char!$C$8*PFC!AY100</f>
        <v>0</v>
      </c>
      <c r="AZ100" s="165">
        <f>+'CO2'!AZ100+char!$C$4*N2O!AZ100+char!$C$5*SF6_NF3!AZ100+char!$C$6*'CH4'!AZ100+char!$C$7*HFC!AZ100+char!$C$8*PFC!AZ100</f>
        <v>2021.9444259979</v>
      </c>
      <c r="BA100" s="379">
        <f>+'CO2'!BA100+char!$C$4*N2O!BA100+char!$C$5*SF6_NF3!BA100+char!$C$6*'CH4'!BA100+char!$C$7*HFC!BA100+char!$C$8*PFC!BA100</f>
        <v>0</v>
      </c>
      <c r="BB100" s="165">
        <f>+'CO2'!BB100+char!$C$4*N2O!BB100+char!$C$5*SF6_NF3!BB100+char!$C$6*'CH4'!BB100+char!$C$7*HFC!BB100+char!$C$8*PFC!BB100</f>
        <v>2764.1110751932997</v>
      </c>
      <c r="BC100" s="379">
        <f>+'CO2'!BC100+char!$C$4*N2O!BC100+char!$C$5*SF6_NF3!BC100+char!$C$6*'CH4'!BC100+char!$C$7*HFC!BC100+char!$C$8*PFC!BC100</f>
        <v>0</v>
      </c>
      <c r="BD100" s="165">
        <f>+'CO2'!BD100+char!$C$4*N2O!BD100+char!$C$5*SF6_NF3!BD100+char!$C$6*'CH4'!BD100+char!$C$7*HFC!BD100+char!$C$8*PFC!BD100</f>
        <v>456.5778554094</v>
      </c>
      <c r="BE100" s="379">
        <f>+'CO2'!BE100+char!$C$4*N2O!BE100+char!$C$5*SF6_NF3!BE100+char!$C$6*'CH4'!BE100+char!$C$7*HFC!BE100+char!$C$8*PFC!BE100</f>
        <v>0</v>
      </c>
      <c r="BF100" s="165">
        <f>+'CO2'!BF100+char!$C$4*N2O!BF100+char!$C$5*SF6_NF3!BF100+char!$C$6*'CH4'!BF100+char!$C$7*HFC!BF100+char!$C$8*PFC!BF100</f>
        <v>282.36818956549996</v>
      </c>
      <c r="BG100" s="379"/>
      <c r="BH100" s="225"/>
      <c r="BI100" s="184"/>
      <c r="CJ100" s="150"/>
      <c r="CK100" s="150"/>
      <c r="CL100" s="150"/>
      <c r="CM100" s="151" t="s">
        <v>1148</v>
      </c>
      <c r="CN100" s="150" t="s">
        <v>1153</v>
      </c>
      <c r="CO100" s="150"/>
      <c r="CP100" s="150"/>
      <c r="CQ100" s="150"/>
      <c r="CR100" s="150"/>
      <c r="CS100" s="150"/>
      <c r="CT100" s="150"/>
    </row>
    <row r="101" spans="1:98" ht="19.5" customHeight="1">
      <c r="A101" s="317"/>
      <c r="B101" s="200">
        <v>3</v>
      </c>
      <c r="C101" s="101"/>
      <c r="D101" s="482" t="s">
        <v>581</v>
      </c>
      <c r="E101" s="483"/>
      <c r="F101" s="235"/>
      <c r="G101" s="379"/>
      <c r="H101" s="236"/>
      <c r="I101" s="379"/>
      <c r="J101" s="236"/>
      <c r="K101" s="379"/>
      <c r="L101" s="236"/>
      <c r="M101" s="379"/>
      <c r="N101" s="236"/>
      <c r="O101" s="379"/>
      <c r="P101" s="236"/>
      <c r="Q101" s="379"/>
      <c r="R101" s="236"/>
      <c r="S101" s="379"/>
      <c r="T101" s="236"/>
      <c r="U101" s="379"/>
      <c r="V101" s="236"/>
      <c r="W101" s="379"/>
      <c r="X101" s="236"/>
      <c r="Y101" s="379"/>
      <c r="Z101" s="236"/>
      <c r="AA101" s="379"/>
      <c r="AB101" s="236"/>
      <c r="AC101" s="379"/>
      <c r="AD101" s="236"/>
      <c r="AE101" s="379"/>
      <c r="AF101" s="172">
        <f>+'CO2'!AF101+char!$C$4*N2O!AF101+char!$C$5*SF6_NF3!AF101+char!$C$6*'CH4'!AF101+char!$C$7*HFC!AF101+char!$C$8*PFC!AF101</f>
        <v>0</v>
      </c>
      <c r="AG101" s="379">
        <f>+'CO2'!AG101+char!$C$4*N2O!AG101+char!$C$5*SF6_NF3!AG101+char!$C$6*'CH4'!AG101+char!$C$7*HFC!AG101+char!$C$8*PFC!AG101</f>
        <v>0</v>
      </c>
      <c r="AH101" s="172">
        <f>+'CO2'!AH101+char!$C$4*N2O!AH101+char!$C$5*SF6_NF3!AH101+char!$C$6*'CH4'!AH101+char!$C$7*HFC!AH101+char!$C$8*PFC!AH101</f>
        <v>0</v>
      </c>
      <c r="AI101" s="379">
        <f>+'CO2'!AI101+char!$C$4*N2O!AI101+char!$C$5*SF6_NF3!AI101+char!$C$6*'CH4'!AI101+char!$C$7*HFC!AI101+char!$C$8*PFC!AI101</f>
        <v>0</v>
      </c>
      <c r="AJ101" s="172">
        <f>+'CO2'!AJ101+char!$C$4*N2O!AJ101+char!$C$5*SF6_NF3!AJ101+char!$C$6*'CH4'!AJ101+char!$C$7*HFC!AJ101+char!$C$8*PFC!AJ101</f>
        <v>43.486867340000003</v>
      </c>
      <c r="AK101" s="379">
        <f>+'CO2'!AK101+char!$C$4*N2O!AK101+char!$C$5*SF6_NF3!AK101+char!$C$6*'CH4'!AK101+char!$C$7*HFC!AK101+char!$C$8*PFC!AK101</f>
        <v>0</v>
      </c>
      <c r="AL101" s="172">
        <f>+'CO2'!AL101+char!$C$4*N2O!AL101+char!$C$5*SF6_NF3!AL101+char!$C$6*'CH4'!AL101+char!$C$7*HFC!AL101+char!$C$8*PFC!AL101</f>
        <v>49.252238632000001</v>
      </c>
      <c r="AM101" s="379">
        <f>+'CO2'!AM101+char!$C$4*N2O!AM101+char!$C$5*SF6_NF3!AM101+char!$C$6*'CH4'!AM101+char!$C$7*HFC!AM101+char!$C$8*PFC!AM101</f>
        <v>0</v>
      </c>
      <c r="AN101" s="172">
        <f>+'CO2'!AN101+char!$C$4*N2O!AN101+char!$C$5*SF6_NF3!AN101+char!$C$6*'CH4'!AN101+char!$C$7*HFC!AN101+char!$C$8*PFC!AN101</f>
        <v>57.344425257499992</v>
      </c>
      <c r="AO101" s="379">
        <f>+'CO2'!AO101+char!$C$4*N2O!AO101+char!$C$5*SF6_NF3!AO101+char!$C$6*'CH4'!AO101+char!$C$7*HFC!AO101+char!$C$8*PFC!AO101</f>
        <v>0</v>
      </c>
      <c r="AP101" s="172">
        <f>+'CO2'!AP101+char!$C$4*N2O!AP101+char!$C$5*SF6_NF3!AP101+char!$C$6*'CH4'!AP101+char!$C$7*HFC!AP101+char!$C$8*PFC!AP101</f>
        <v>31.650165113699998</v>
      </c>
      <c r="AQ101" s="379">
        <f>+'CO2'!AQ101+char!$C$4*N2O!AQ101+char!$C$5*SF6_NF3!AQ101+char!$C$6*'CH4'!AQ101+char!$C$7*HFC!AQ101+char!$C$8*PFC!AQ101</f>
        <v>0</v>
      </c>
      <c r="AR101" s="172">
        <f>+'CO2'!AR101+char!$C$4*N2O!AR101+char!$C$5*SF6_NF3!AR101+char!$C$6*'CH4'!AR101+char!$C$7*HFC!AR101+char!$C$8*PFC!AR101</f>
        <v>37.005099693200002</v>
      </c>
      <c r="AS101" s="379">
        <f>+'CO2'!AS101+char!$C$4*N2O!AS101+char!$C$5*SF6_NF3!AS101+char!$C$6*'CH4'!AS101+char!$C$7*HFC!AS101+char!$C$8*PFC!AS101</f>
        <v>0</v>
      </c>
      <c r="AT101" s="172">
        <f>+'CO2'!AT101+char!$C$4*N2O!AT101+char!$C$5*SF6_NF3!AT101+char!$C$6*'CH4'!AT101+char!$C$7*HFC!AT101+char!$C$8*PFC!AT101</f>
        <v>34.131019182700001</v>
      </c>
      <c r="AU101" s="379">
        <f>+'CO2'!AU101+char!$C$4*N2O!AU101+char!$C$5*SF6_NF3!AU101+char!$C$6*'CH4'!AU101+char!$C$7*HFC!AU101+char!$C$8*PFC!AU101</f>
        <v>0</v>
      </c>
      <c r="AV101" s="173">
        <f>+'CO2'!AV101+char!$C$4*N2O!AV101+char!$C$5*SF6_NF3!AV101+char!$C$6*'CH4'!AV101+char!$C$7*HFC!AV101+char!$C$8*PFC!AV101</f>
        <v>33.230263926799999</v>
      </c>
      <c r="AW101" s="379">
        <f>+'CO2'!AW101+char!$C$4*N2O!AW101+char!$C$5*SF6_NF3!AW101+char!$C$6*'CH4'!AW101+char!$C$7*HFC!AW101+char!$C$8*PFC!AW101</f>
        <v>0</v>
      </c>
      <c r="AX101" s="173">
        <f>+'CO2'!AX101+char!$C$4*N2O!AX101+char!$C$5*SF6_NF3!AX101+char!$C$6*'CH4'!AX101+char!$C$7*HFC!AX101+char!$C$8*PFC!AX101</f>
        <v>31.733309980999998</v>
      </c>
      <c r="AY101" s="379">
        <f>+'CO2'!AY101+char!$C$4*N2O!AY101+char!$C$5*SF6_NF3!AY101+char!$C$6*'CH4'!AY101+char!$C$7*HFC!AY101+char!$C$8*PFC!AY101</f>
        <v>0</v>
      </c>
      <c r="AZ101" s="173">
        <f>+'CO2'!AZ101+char!$C$4*N2O!AZ101+char!$C$5*SF6_NF3!AZ101+char!$C$6*'CH4'!AZ101+char!$C$7*HFC!AZ101+char!$C$8*PFC!AZ101</f>
        <v>18.434289073199999</v>
      </c>
      <c r="BA101" s="379">
        <f>+'CO2'!BA101+char!$C$4*N2O!BA101+char!$C$5*SF6_NF3!BA101+char!$C$6*'CH4'!BA101+char!$C$7*HFC!BA101+char!$C$8*PFC!BA101</f>
        <v>0</v>
      </c>
      <c r="BB101" s="173">
        <f>+'CO2'!BB101+char!$C$4*N2O!BB101+char!$C$5*SF6_NF3!BB101+char!$C$6*'CH4'!BB101+char!$C$7*HFC!BB101+char!$C$8*PFC!BB101</f>
        <v>16.9002222385</v>
      </c>
      <c r="BC101" s="379">
        <f>+'CO2'!BC101+char!$C$4*N2O!BC101+char!$C$5*SF6_NF3!BC101+char!$C$6*'CH4'!BC101+char!$C$7*HFC!BC101+char!$C$8*PFC!BC101</f>
        <v>0</v>
      </c>
      <c r="BD101" s="173">
        <f>+'CO2'!BD101+char!$C$4*N2O!BD101+char!$C$5*SF6_NF3!BD101+char!$C$6*'CH4'!BD101+char!$C$7*HFC!BD101+char!$C$8*PFC!BD101</f>
        <v>22.3890010179</v>
      </c>
      <c r="BE101" s="379">
        <f>+'CO2'!BE101+char!$C$4*N2O!BE101+char!$C$5*SF6_NF3!BE101+char!$C$6*'CH4'!BE101+char!$C$7*HFC!BE101+char!$C$8*PFC!BE101</f>
        <v>0</v>
      </c>
      <c r="BF101" s="173">
        <f>+'CO2'!BF101+char!$C$4*N2O!BF101+char!$C$5*SF6_NF3!BF101+char!$C$6*'CH4'!BF101+char!$C$7*HFC!BF101+char!$C$8*PFC!BF101</f>
        <v>26.722633444399996</v>
      </c>
      <c r="BG101" s="379"/>
      <c r="BH101" s="237"/>
      <c r="BI101" s="184"/>
      <c r="CJ101" s="150"/>
      <c r="CK101" s="150"/>
      <c r="CL101" s="150"/>
      <c r="CM101" s="151" t="s">
        <v>1148</v>
      </c>
      <c r="CN101" s="150" t="s">
        <v>1154</v>
      </c>
      <c r="CO101" s="150"/>
      <c r="CP101" s="150"/>
      <c r="CQ101" s="150"/>
      <c r="CR101" s="150"/>
      <c r="CS101" s="150"/>
      <c r="CT101" s="150"/>
    </row>
    <row r="102" spans="1:98" ht="12.75" customHeight="1">
      <c r="A102" s="317"/>
      <c r="B102" s="201">
        <v>3.1</v>
      </c>
      <c r="C102" s="102"/>
      <c r="D102" s="480" t="s">
        <v>582</v>
      </c>
      <c r="E102" s="481"/>
      <c r="F102" s="224"/>
      <c r="G102" s="379"/>
      <c r="H102" s="228"/>
      <c r="I102" s="379"/>
      <c r="J102" s="228"/>
      <c r="K102" s="379"/>
      <c r="L102" s="228"/>
      <c r="M102" s="379"/>
      <c r="N102" s="228"/>
      <c r="O102" s="379"/>
      <c r="P102" s="228"/>
      <c r="Q102" s="379"/>
      <c r="R102" s="228"/>
      <c r="S102" s="379"/>
      <c r="T102" s="228"/>
      <c r="U102" s="379"/>
      <c r="V102" s="228"/>
      <c r="W102" s="379"/>
      <c r="X102" s="228"/>
      <c r="Y102" s="379"/>
      <c r="Z102" s="228"/>
      <c r="AA102" s="379"/>
      <c r="AB102" s="228"/>
      <c r="AC102" s="379"/>
      <c r="AD102" s="228"/>
      <c r="AE102" s="379"/>
      <c r="AF102" s="167">
        <f>+'CO2'!AF102+char!$C$4*N2O!AF102+char!$C$5*SF6_NF3!AF102+char!$C$6*'CH4'!AF102+char!$C$7*HFC!AF102+char!$C$8*PFC!AF102</f>
        <v>0</v>
      </c>
      <c r="AG102" s="379">
        <f>+'CO2'!AG102+char!$C$4*N2O!AG102+char!$C$5*SF6_NF3!AG102+char!$C$6*'CH4'!AG102+char!$C$7*HFC!AG102+char!$C$8*PFC!AG102</f>
        <v>0</v>
      </c>
      <c r="AH102" s="167">
        <f>+'CO2'!AH102+char!$C$4*N2O!AH102+char!$C$5*SF6_NF3!AH102+char!$C$6*'CH4'!AH102+char!$C$7*HFC!AH102+char!$C$8*PFC!AH102</f>
        <v>0</v>
      </c>
      <c r="AI102" s="379">
        <f>+'CO2'!AI102+char!$C$4*N2O!AI102+char!$C$5*SF6_NF3!AI102+char!$C$6*'CH4'!AI102+char!$C$7*HFC!AI102+char!$C$8*PFC!AI102</f>
        <v>0</v>
      </c>
      <c r="AJ102" s="167">
        <f>+'CO2'!AJ102+char!$C$4*N2O!AJ102+char!$C$5*SF6_NF3!AJ102+char!$C$6*'CH4'!AJ102+char!$C$7*HFC!AJ102+char!$C$8*PFC!AJ102</f>
        <v>0</v>
      </c>
      <c r="AK102" s="379">
        <f>+'CO2'!AK102+char!$C$4*N2O!AK102+char!$C$5*SF6_NF3!AK102+char!$C$6*'CH4'!AK102+char!$C$7*HFC!AK102+char!$C$8*PFC!AK102</f>
        <v>0</v>
      </c>
      <c r="AL102" s="167">
        <f>+'CO2'!AL102+char!$C$4*N2O!AL102+char!$C$5*SF6_NF3!AL102+char!$C$6*'CH4'!AL102+char!$C$7*HFC!AL102+char!$C$8*PFC!AL102</f>
        <v>0</v>
      </c>
      <c r="AM102" s="379">
        <f>+'CO2'!AM102+char!$C$4*N2O!AM102+char!$C$5*SF6_NF3!AM102+char!$C$6*'CH4'!AM102+char!$C$7*HFC!AM102+char!$C$8*PFC!AM102</f>
        <v>0</v>
      </c>
      <c r="AN102" s="167">
        <f>+'CO2'!AN102+char!$C$4*N2O!AN102+char!$C$5*SF6_NF3!AN102+char!$C$6*'CH4'!AN102+char!$C$7*HFC!AN102+char!$C$8*PFC!AN102</f>
        <v>0</v>
      </c>
      <c r="AO102" s="379">
        <f>+'CO2'!AO102+char!$C$4*N2O!AO102+char!$C$5*SF6_NF3!AO102+char!$C$6*'CH4'!AO102+char!$C$7*HFC!AO102+char!$C$8*PFC!AO102</f>
        <v>0</v>
      </c>
      <c r="AP102" s="167">
        <f>+'CO2'!AP102+char!$C$4*N2O!AP102+char!$C$5*SF6_NF3!AP102+char!$C$6*'CH4'!AP102+char!$C$7*HFC!AP102+char!$C$8*PFC!AP102</f>
        <v>0</v>
      </c>
      <c r="AQ102" s="379">
        <f>+'CO2'!AQ102+char!$C$4*N2O!AQ102+char!$C$5*SF6_NF3!AQ102+char!$C$6*'CH4'!AQ102+char!$C$7*HFC!AQ102+char!$C$8*PFC!AQ102</f>
        <v>0</v>
      </c>
      <c r="AR102" s="167">
        <f>+'CO2'!AR102+char!$C$4*N2O!AR102+char!$C$5*SF6_NF3!AR102+char!$C$6*'CH4'!AR102+char!$C$7*HFC!AR102+char!$C$8*PFC!AR102</f>
        <v>0</v>
      </c>
      <c r="AS102" s="379">
        <f>+'CO2'!AS102+char!$C$4*N2O!AS102+char!$C$5*SF6_NF3!AS102+char!$C$6*'CH4'!AS102+char!$C$7*HFC!AS102+char!$C$8*PFC!AS102</f>
        <v>0</v>
      </c>
      <c r="AT102" s="167">
        <f>+'CO2'!AT102+char!$C$4*N2O!AT102+char!$C$5*SF6_NF3!AT102+char!$C$6*'CH4'!AT102+char!$C$7*HFC!AT102+char!$C$8*PFC!AT102</f>
        <v>0</v>
      </c>
      <c r="AU102" s="379">
        <f>+'CO2'!AU102+char!$C$4*N2O!AU102+char!$C$5*SF6_NF3!AU102+char!$C$6*'CH4'!AU102+char!$C$7*HFC!AU102+char!$C$8*PFC!AU102</f>
        <v>0</v>
      </c>
      <c r="AV102" s="165">
        <f>+'CO2'!AV102+char!$C$4*N2O!AV102+char!$C$5*SF6_NF3!AV102+char!$C$6*'CH4'!AV102+char!$C$7*HFC!AV102+char!$C$8*PFC!AV102</f>
        <v>0</v>
      </c>
      <c r="AW102" s="379">
        <f>+'CO2'!AW102+char!$C$4*N2O!AW102+char!$C$5*SF6_NF3!AW102+char!$C$6*'CH4'!AW102+char!$C$7*HFC!AW102+char!$C$8*PFC!AW102</f>
        <v>0</v>
      </c>
      <c r="AX102" s="165">
        <f>+'CO2'!AX102+char!$C$4*N2O!AX102+char!$C$5*SF6_NF3!AX102+char!$C$6*'CH4'!AX102+char!$C$7*HFC!AX102+char!$C$8*PFC!AX102</f>
        <v>0</v>
      </c>
      <c r="AY102" s="379">
        <f>+'CO2'!AY102+char!$C$4*N2O!AY102+char!$C$5*SF6_NF3!AY102+char!$C$6*'CH4'!AY102+char!$C$7*HFC!AY102+char!$C$8*PFC!AY102</f>
        <v>0</v>
      </c>
      <c r="AZ102" s="165">
        <f>+'CO2'!AZ102+char!$C$4*N2O!AZ102+char!$C$5*SF6_NF3!AZ102+char!$C$6*'CH4'!AZ102+char!$C$7*HFC!AZ102+char!$C$8*PFC!AZ102</f>
        <v>0</v>
      </c>
      <c r="BA102" s="379">
        <f>+'CO2'!BA102+char!$C$4*N2O!BA102+char!$C$5*SF6_NF3!BA102+char!$C$6*'CH4'!BA102+char!$C$7*HFC!BA102+char!$C$8*PFC!BA102</f>
        <v>0</v>
      </c>
      <c r="BB102" s="165">
        <f>+'CO2'!BB102+char!$C$4*N2O!BB102+char!$C$5*SF6_NF3!BB102+char!$C$6*'CH4'!BB102+char!$C$7*HFC!BB102+char!$C$8*PFC!BB102</f>
        <v>0</v>
      </c>
      <c r="BC102" s="379">
        <f>+'CO2'!BC102+char!$C$4*N2O!BC102+char!$C$5*SF6_NF3!BC102+char!$C$6*'CH4'!BC102+char!$C$7*HFC!BC102+char!$C$8*PFC!BC102</f>
        <v>0</v>
      </c>
      <c r="BD102" s="165">
        <f>+'CO2'!BD102+char!$C$4*N2O!BD102+char!$C$5*SF6_NF3!BD102+char!$C$6*'CH4'!BD102+char!$C$7*HFC!BD102+char!$C$8*PFC!BD102</f>
        <v>0</v>
      </c>
      <c r="BE102" s="379">
        <f>+'CO2'!BE102+char!$C$4*N2O!BE102+char!$C$5*SF6_NF3!BE102+char!$C$6*'CH4'!BE102+char!$C$7*HFC!BE102+char!$C$8*PFC!BE102</f>
        <v>0</v>
      </c>
      <c r="BF102" s="165">
        <f>+'CO2'!BF102+char!$C$4*N2O!BF102+char!$C$5*SF6_NF3!BF102+char!$C$6*'CH4'!BF102+char!$C$7*HFC!BF102+char!$C$8*PFC!BF102</f>
        <v>0</v>
      </c>
      <c r="BG102" s="379"/>
      <c r="BH102" s="225"/>
      <c r="BI102" s="184"/>
      <c r="CJ102" s="150"/>
      <c r="CK102" s="150"/>
      <c r="CL102" s="150"/>
      <c r="CM102" s="151" t="s">
        <v>1148</v>
      </c>
      <c r="CN102" s="150" t="s">
        <v>1155</v>
      </c>
      <c r="CO102" s="150"/>
      <c r="CP102" s="150"/>
      <c r="CQ102" s="150"/>
      <c r="CR102" s="150"/>
      <c r="CS102" s="150"/>
      <c r="CT102" s="150"/>
    </row>
    <row r="103" spans="1:98" ht="12.75" customHeight="1">
      <c r="A103" s="317"/>
      <c r="B103" s="201">
        <v>3.2</v>
      </c>
      <c r="C103" s="102"/>
      <c r="D103" s="480" t="s">
        <v>583</v>
      </c>
      <c r="E103" s="481"/>
      <c r="F103" s="224"/>
      <c r="G103" s="379"/>
      <c r="H103" s="228"/>
      <c r="I103" s="379"/>
      <c r="J103" s="228"/>
      <c r="K103" s="379"/>
      <c r="L103" s="228"/>
      <c r="M103" s="379"/>
      <c r="N103" s="228"/>
      <c r="O103" s="379"/>
      <c r="P103" s="228"/>
      <c r="Q103" s="379"/>
      <c r="R103" s="228"/>
      <c r="S103" s="379"/>
      <c r="T103" s="228"/>
      <c r="U103" s="379"/>
      <c r="V103" s="228"/>
      <c r="W103" s="379"/>
      <c r="X103" s="228"/>
      <c r="Y103" s="379"/>
      <c r="Z103" s="228"/>
      <c r="AA103" s="379"/>
      <c r="AB103" s="228"/>
      <c r="AC103" s="379"/>
      <c r="AD103" s="228"/>
      <c r="AE103" s="379"/>
      <c r="AF103" s="167">
        <f>+'CO2'!AF103+char!$C$4*N2O!AF103+char!$C$5*SF6_NF3!AF103+char!$C$6*'CH4'!AF103+char!$C$7*HFC!AF103+char!$C$8*PFC!AF103</f>
        <v>0</v>
      </c>
      <c r="AG103" s="379">
        <f>+'CO2'!AG103+char!$C$4*N2O!AG103+char!$C$5*SF6_NF3!AG103+char!$C$6*'CH4'!AG103+char!$C$7*HFC!AG103+char!$C$8*PFC!AG103</f>
        <v>0</v>
      </c>
      <c r="AH103" s="167">
        <f>+'CO2'!AH103+char!$C$4*N2O!AH103+char!$C$5*SF6_NF3!AH103+char!$C$6*'CH4'!AH103+char!$C$7*HFC!AH103+char!$C$8*PFC!AH103</f>
        <v>0</v>
      </c>
      <c r="AI103" s="379">
        <f>+'CO2'!AI103+char!$C$4*N2O!AI103+char!$C$5*SF6_NF3!AI103+char!$C$6*'CH4'!AI103+char!$C$7*HFC!AI103+char!$C$8*PFC!AI103</f>
        <v>0</v>
      </c>
      <c r="AJ103" s="167">
        <f>+'CO2'!AJ103+char!$C$4*N2O!AJ103+char!$C$5*SF6_NF3!AJ103+char!$C$6*'CH4'!AJ103+char!$C$7*HFC!AJ103+char!$C$8*PFC!AJ103</f>
        <v>7.3059706040999997</v>
      </c>
      <c r="AK103" s="379">
        <f>+'CO2'!AK103+char!$C$4*N2O!AK103+char!$C$5*SF6_NF3!AK103+char!$C$6*'CH4'!AK103+char!$C$7*HFC!AK103+char!$C$8*PFC!AK103</f>
        <v>0</v>
      </c>
      <c r="AL103" s="167">
        <f>+'CO2'!AL103+char!$C$4*N2O!AL103+char!$C$5*SF6_NF3!AL103+char!$C$6*'CH4'!AL103+char!$C$7*HFC!AL103+char!$C$8*PFC!AL103</f>
        <v>15.0087276595</v>
      </c>
      <c r="AM103" s="379" t="e">
        <f>+'CO2'!AM103+char!$C$4*N2O!AM103+char!$C$5*SF6_NF3!AM103+char!$C$6*'CH4'!AM103+char!$C$7*HFC!AM103+char!$C$8*PFC!AM103</f>
        <v>#VALUE!</v>
      </c>
      <c r="AN103" s="167">
        <f>+'CO2'!AN103+char!$C$4*N2O!AN103+char!$C$5*SF6_NF3!AN103+char!$C$6*'CH4'!AN103+char!$C$7*HFC!AN103+char!$C$8*PFC!AN103</f>
        <v>21.5371013655</v>
      </c>
      <c r="AO103" s="379">
        <f>+'CO2'!AO103+char!$C$4*N2O!AO103+char!$C$5*SF6_NF3!AO103+char!$C$6*'CH4'!AO103+char!$C$7*HFC!AO103+char!$C$8*PFC!AO103</f>
        <v>0</v>
      </c>
      <c r="AP103" s="167">
        <f>+'CO2'!AP103+char!$C$4*N2O!AP103+char!$C$5*SF6_NF3!AP103+char!$C$6*'CH4'!AP103+char!$C$7*HFC!AP103+char!$C$8*PFC!AP103</f>
        <v>1.3851547803999997</v>
      </c>
      <c r="AQ103" s="379">
        <f>+'CO2'!AQ103+char!$C$4*N2O!AQ103+char!$C$5*SF6_NF3!AQ103+char!$C$6*'CH4'!AQ103+char!$C$7*HFC!AQ103+char!$C$8*PFC!AQ103</f>
        <v>0</v>
      </c>
      <c r="AR103" s="167">
        <f>+'CO2'!AR103+char!$C$4*N2O!AR103+char!$C$5*SF6_NF3!AR103+char!$C$6*'CH4'!AR103+char!$C$7*HFC!AR103+char!$C$8*PFC!AR103</f>
        <v>5.4552267905999994</v>
      </c>
      <c r="AS103" s="379">
        <f>+'CO2'!AS103+char!$C$4*N2O!AS103+char!$C$5*SF6_NF3!AS103+char!$C$6*'CH4'!AS103+char!$C$7*HFC!AS103+char!$C$8*PFC!AS103</f>
        <v>0</v>
      </c>
      <c r="AT103" s="167">
        <f>+'CO2'!AT103+char!$C$4*N2O!AT103+char!$C$5*SF6_NF3!AT103+char!$C$6*'CH4'!AT103+char!$C$7*HFC!AT103+char!$C$8*PFC!AT103</f>
        <v>5.3868808193999991</v>
      </c>
      <c r="AU103" s="379">
        <f>+'CO2'!AU103+char!$C$4*N2O!AU103+char!$C$5*SF6_NF3!AU103+char!$C$6*'CH4'!AU103+char!$C$7*HFC!AU103+char!$C$8*PFC!AU103</f>
        <v>0</v>
      </c>
      <c r="AV103" s="165">
        <f>+'CO2'!AV103+char!$C$4*N2O!AV103+char!$C$5*SF6_NF3!AV103+char!$C$6*'CH4'!AV103+char!$C$7*HFC!AV103+char!$C$8*PFC!AV103</f>
        <v>8.7871802756000008</v>
      </c>
      <c r="AW103" s="379" t="e">
        <f>+'CO2'!AW103+char!$C$4*N2O!AW103+char!$C$5*SF6_NF3!AW103+char!$C$6*'CH4'!AW103+char!$C$7*HFC!AW103+char!$C$8*PFC!AW103</f>
        <v>#VALUE!</v>
      </c>
      <c r="AX103" s="165">
        <f>+'CO2'!AX103+char!$C$4*N2O!AX103+char!$C$5*SF6_NF3!AX103+char!$C$6*'CH4'!AX103+char!$C$7*HFC!AX103+char!$C$8*PFC!AX103</f>
        <v>12.198215858900001</v>
      </c>
      <c r="AY103" s="379">
        <f>+'CO2'!AY103+char!$C$4*N2O!AY103+char!$C$5*SF6_NF3!AY103+char!$C$6*'CH4'!AY103+char!$C$7*HFC!AY103+char!$C$8*PFC!AY103</f>
        <v>0</v>
      </c>
      <c r="AZ103" s="165">
        <f>+'CO2'!AZ103+char!$C$4*N2O!AZ103+char!$C$5*SF6_NF3!AZ103+char!$C$6*'CH4'!AZ103+char!$C$7*HFC!AZ103+char!$C$8*PFC!AZ103</f>
        <v>0</v>
      </c>
      <c r="BA103" s="379">
        <f>+'CO2'!BA103+char!$C$4*N2O!BA103+char!$C$5*SF6_NF3!BA103+char!$C$6*'CH4'!BA103+char!$C$7*HFC!BA103+char!$C$8*PFC!BA103</f>
        <v>0</v>
      </c>
      <c r="BB103" s="165">
        <f>+'CO2'!BB103+char!$C$4*N2O!BB103+char!$C$5*SF6_NF3!BB103+char!$C$6*'CH4'!BB103+char!$C$7*HFC!BB103+char!$C$8*PFC!BB103</f>
        <v>0</v>
      </c>
      <c r="BC103" s="379">
        <f>+'CO2'!BC103+char!$C$4*N2O!BC103+char!$C$5*SF6_NF3!BC103+char!$C$6*'CH4'!BC103+char!$C$7*HFC!BC103+char!$C$8*PFC!BC103</f>
        <v>0</v>
      </c>
      <c r="BD103" s="165">
        <f>+'CO2'!BD103+char!$C$4*N2O!BD103+char!$C$5*SF6_NF3!BD103+char!$C$6*'CH4'!BD103+char!$C$7*HFC!BD103+char!$C$8*PFC!BD103</f>
        <v>0</v>
      </c>
      <c r="BE103" s="379">
        <f>+'CO2'!BE103+char!$C$4*N2O!BE103+char!$C$5*SF6_NF3!BE103+char!$C$6*'CH4'!BE103+char!$C$7*HFC!BE103+char!$C$8*PFC!BE103</f>
        <v>0</v>
      </c>
      <c r="BF103" s="165">
        <f>+'CO2'!BF103+char!$C$4*N2O!BF103+char!$C$5*SF6_NF3!BF103+char!$C$6*'CH4'!BF103+char!$C$7*HFC!BF103+char!$C$8*PFC!BF103</f>
        <v>0.17014309229999999</v>
      </c>
      <c r="BG103" s="379"/>
      <c r="BH103" s="225"/>
      <c r="BI103" s="184"/>
      <c r="CJ103" s="150"/>
      <c r="CK103" s="150"/>
      <c r="CL103" s="150"/>
      <c r="CM103" s="151" t="s">
        <v>1148</v>
      </c>
      <c r="CN103" s="150" t="s">
        <v>1156</v>
      </c>
      <c r="CO103" s="150"/>
      <c r="CP103" s="150"/>
      <c r="CQ103" s="150"/>
      <c r="CR103" s="150"/>
      <c r="CS103" s="150"/>
      <c r="CT103" s="150"/>
    </row>
    <row r="104" spans="1:98" ht="12.75" customHeight="1">
      <c r="A104" s="317"/>
      <c r="B104" s="201">
        <v>3.3</v>
      </c>
      <c r="C104" s="102"/>
      <c r="D104" s="480" t="s">
        <v>584</v>
      </c>
      <c r="E104" s="481"/>
      <c r="F104" s="224"/>
      <c r="G104" s="379"/>
      <c r="H104" s="228"/>
      <c r="I104" s="379"/>
      <c r="J104" s="228"/>
      <c r="K104" s="379"/>
      <c r="L104" s="228"/>
      <c r="M104" s="379"/>
      <c r="N104" s="228"/>
      <c r="O104" s="379"/>
      <c r="P104" s="228"/>
      <c r="Q104" s="379"/>
      <c r="R104" s="228"/>
      <c r="S104" s="379"/>
      <c r="T104" s="228"/>
      <c r="U104" s="379"/>
      <c r="V104" s="228"/>
      <c r="W104" s="379"/>
      <c r="X104" s="228"/>
      <c r="Y104" s="379"/>
      <c r="Z104" s="228"/>
      <c r="AA104" s="379"/>
      <c r="AB104" s="228"/>
      <c r="AC104" s="379"/>
      <c r="AD104" s="228"/>
      <c r="AE104" s="379"/>
      <c r="AF104" s="167">
        <f>+'CO2'!AF104+char!$C$4*N2O!AF104+char!$C$5*SF6_NF3!AF104+char!$C$6*'CH4'!AF104+char!$C$7*HFC!AF104+char!$C$8*PFC!AF104</f>
        <v>0</v>
      </c>
      <c r="AG104" s="379">
        <f>+'CO2'!AG104+char!$C$4*N2O!AG104+char!$C$5*SF6_NF3!AG104+char!$C$6*'CH4'!AG104+char!$C$7*HFC!AG104+char!$C$8*PFC!AG104</f>
        <v>0</v>
      </c>
      <c r="AH104" s="167">
        <f>+'CO2'!AH104+char!$C$4*N2O!AH104+char!$C$5*SF6_NF3!AH104+char!$C$6*'CH4'!AH104+char!$C$7*HFC!AH104+char!$C$8*PFC!AH104</f>
        <v>0</v>
      </c>
      <c r="AI104" s="379">
        <f>+'CO2'!AI104+char!$C$4*N2O!AI104+char!$C$5*SF6_NF3!AI104+char!$C$6*'CH4'!AI104+char!$C$7*HFC!AI104+char!$C$8*PFC!AI104</f>
        <v>0</v>
      </c>
      <c r="AJ104" s="250">
        <f>+'CO2'!AJ104+char!$C$4*N2O!AJ104+char!$C$5*SF6_NF3!AJ104+char!$C$6*'CH4'!AJ104+char!$C$7*HFC!AJ104+char!$C$8*PFC!AJ104</f>
        <v>36.180896862399997</v>
      </c>
      <c r="AK104" s="379" t="e">
        <f>+'CO2'!AK104+char!$C$4*N2O!AK104+char!$C$5*SF6_NF3!AK104+char!$C$6*'CH4'!AK104+char!$C$7*HFC!AK104+char!$C$8*PFC!AK104</f>
        <v>#VALUE!</v>
      </c>
      <c r="AL104" s="167">
        <f>+'CO2'!AL104+char!$C$4*N2O!AL104+char!$C$5*SF6_NF3!AL104+char!$C$6*'CH4'!AL104+char!$C$7*HFC!AL104+char!$C$8*PFC!AL104</f>
        <v>34.243510946000001</v>
      </c>
      <c r="AM104" s="379">
        <f>+'CO2'!AM104+char!$C$4*N2O!AM104+char!$C$5*SF6_NF3!AM104+char!$C$6*'CH4'!AM104+char!$C$7*HFC!AM104+char!$C$8*PFC!AM104</f>
        <v>0</v>
      </c>
      <c r="AN104" s="167">
        <f>+'CO2'!AN104+char!$C$4*N2O!AN104+char!$C$5*SF6_NF3!AN104+char!$C$6*'CH4'!AN104+char!$C$7*HFC!AN104+char!$C$8*PFC!AN104</f>
        <v>35.807323968299997</v>
      </c>
      <c r="AO104" s="379">
        <f>+'CO2'!AO104+char!$C$4*N2O!AO104+char!$C$5*SF6_NF3!AO104+char!$C$6*'CH4'!AO104+char!$C$7*HFC!AO104+char!$C$8*PFC!AO104</f>
        <v>0</v>
      </c>
      <c r="AP104" s="167">
        <f>+'CO2'!AP104+char!$C$4*N2O!AP104+char!$C$5*SF6_NF3!AP104+char!$C$6*'CH4'!AP104+char!$C$7*HFC!AP104+char!$C$8*PFC!AP104</f>
        <v>30.265010359800002</v>
      </c>
      <c r="AQ104" s="379">
        <f>+'CO2'!AQ104+char!$C$4*N2O!AQ104+char!$C$5*SF6_NF3!AQ104+char!$C$6*'CH4'!AQ104+char!$C$7*HFC!AQ104+char!$C$8*PFC!AQ104</f>
        <v>0</v>
      </c>
      <c r="AR104" s="167">
        <f>+'CO2'!AR104+char!$C$4*N2O!AR104+char!$C$5*SF6_NF3!AR104+char!$C$6*'CH4'!AR104+char!$C$7*HFC!AR104+char!$C$8*PFC!AR104</f>
        <v>31.549872899799997</v>
      </c>
      <c r="AS104" s="379">
        <f>+'CO2'!AS104+char!$C$4*N2O!AS104+char!$C$5*SF6_NF3!AS104+char!$C$6*'CH4'!AS104+char!$C$7*HFC!AS104+char!$C$8*PFC!AS104</f>
        <v>0</v>
      </c>
      <c r="AT104" s="167">
        <f>+'CO2'!AT104+char!$C$4*N2O!AT104+char!$C$5*SF6_NF3!AT104+char!$C$6*'CH4'!AT104+char!$C$7*HFC!AT104+char!$C$8*PFC!AT104</f>
        <v>28.744138363299999</v>
      </c>
      <c r="AU104" s="379">
        <f>+'CO2'!AU104+char!$C$4*N2O!AU104+char!$C$5*SF6_NF3!AU104+char!$C$6*'CH4'!AU104+char!$C$7*HFC!AU104+char!$C$8*PFC!AU104</f>
        <v>0</v>
      </c>
      <c r="AV104" s="165">
        <f>+'CO2'!AV104+char!$C$4*N2O!AV104+char!$C$5*SF6_NF3!AV104+char!$C$6*'CH4'!AV104+char!$C$7*HFC!AV104+char!$C$8*PFC!AV104</f>
        <v>24.443083651199998</v>
      </c>
      <c r="AW104" s="379">
        <f>+'CO2'!AW104+char!$C$4*N2O!AW104+char!$C$5*SF6_NF3!AW104+char!$C$6*'CH4'!AW104+char!$C$7*HFC!AW104+char!$C$8*PFC!AW104</f>
        <v>0</v>
      </c>
      <c r="AX104" s="165">
        <f>+'CO2'!AX104+char!$C$4*N2O!AX104+char!$C$5*SF6_NF3!AX104+char!$C$6*'CH4'!AX104+char!$C$7*HFC!AX104+char!$C$8*PFC!AX104</f>
        <v>19.535094122099999</v>
      </c>
      <c r="AY104" s="379">
        <f>+'CO2'!AY104+char!$C$4*N2O!AY104+char!$C$5*SF6_NF3!AY104+char!$C$6*'CH4'!AY104+char!$C$7*HFC!AY104+char!$C$8*PFC!AY104</f>
        <v>0</v>
      </c>
      <c r="AZ104" s="165">
        <f>+'CO2'!AZ104+char!$C$4*N2O!AZ104+char!$C$5*SF6_NF3!AZ104+char!$C$6*'CH4'!AZ104+char!$C$7*HFC!AZ104+char!$C$8*PFC!AZ104</f>
        <v>18.434289073199999</v>
      </c>
      <c r="BA104" s="379">
        <f>+'CO2'!BA104+char!$C$4*N2O!BA104+char!$C$5*SF6_NF3!BA104+char!$C$6*'CH4'!BA104+char!$C$7*HFC!BA104+char!$C$8*PFC!BA104</f>
        <v>0</v>
      </c>
      <c r="BB104" s="165">
        <f>+'CO2'!BB104+char!$C$4*N2O!BB104+char!$C$5*SF6_NF3!BB104+char!$C$6*'CH4'!BB104+char!$C$7*HFC!BB104+char!$C$8*PFC!BB104</f>
        <v>16.9002222385</v>
      </c>
      <c r="BC104" s="379">
        <f>+'CO2'!BC104+char!$C$4*N2O!BC104+char!$C$5*SF6_NF3!BC104+char!$C$6*'CH4'!BC104+char!$C$7*HFC!BC104+char!$C$8*PFC!BC104</f>
        <v>0</v>
      </c>
      <c r="BD104" s="165">
        <f>+'CO2'!BD104+char!$C$4*N2O!BD104+char!$C$5*SF6_NF3!BD104+char!$C$6*'CH4'!BD104+char!$C$7*HFC!BD104+char!$C$8*PFC!BD104</f>
        <v>22.3890010179</v>
      </c>
      <c r="BE104" s="379" t="e">
        <f>+'CO2'!BE104+char!$C$4*N2O!BE104+char!$C$5*SF6_NF3!BE104+char!$C$6*'CH4'!BE104+char!$C$7*HFC!BE104+char!$C$8*PFC!BE104</f>
        <v>#VALUE!</v>
      </c>
      <c r="BF104" s="165">
        <f>+'CO2'!BF104+char!$C$4*N2O!BF104+char!$C$5*SF6_NF3!BF104+char!$C$6*'CH4'!BF104+char!$C$7*HFC!BF104+char!$C$8*PFC!BF104</f>
        <v>26.552490354900002</v>
      </c>
      <c r="BG104" s="379"/>
      <c r="BH104" s="225"/>
      <c r="BI104" s="184"/>
      <c r="CJ104" s="150"/>
      <c r="CK104" s="150"/>
      <c r="CL104" s="150"/>
      <c r="CM104" s="151" t="s">
        <v>1148</v>
      </c>
      <c r="CN104" s="150" t="s">
        <v>1157</v>
      </c>
      <c r="CO104" s="150"/>
      <c r="CP104" s="150"/>
      <c r="CQ104" s="150"/>
      <c r="CR104" s="150"/>
      <c r="CS104" s="150"/>
      <c r="CT104" s="150"/>
    </row>
    <row r="105" spans="1:98" ht="29.25" customHeight="1">
      <c r="A105" s="317"/>
      <c r="B105" s="200">
        <v>4</v>
      </c>
      <c r="C105" s="101"/>
      <c r="D105" s="482" t="s">
        <v>585</v>
      </c>
      <c r="E105" s="483"/>
      <c r="F105" s="235"/>
      <c r="G105" s="379"/>
      <c r="H105" s="236"/>
      <c r="I105" s="379"/>
      <c r="J105" s="236"/>
      <c r="K105" s="379"/>
      <c r="L105" s="236"/>
      <c r="M105" s="379"/>
      <c r="N105" s="236"/>
      <c r="O105" s="379"/>
      <c r="P105" s="236"/>
      <c r="Q105" s="379"/>
      <c r="R105" s="236"/>
      <c r="S105" s="379"/>
      <c r="T105" s="236"/>
      <c r="U105" s="379"/>
      <c r="V105" s="236"/>
      <c r="W105" s="379"/>
      <c r="X105" s="236"/>
      <c r="Y105" s="379"/>
      <c r="Z105" s="236"/>
      <c r="AA105" s="379"/>
      <c r="AB105" s="236"/>
      <c r="AC105" s="379"/>
      <c r="AD105" s="236"/>
      <c r="AE105" s="379"/>
      <c r="AF105" s="172">
        <f>+'CO2'!AF105+char!$C$4*N2O!AF105+char!$C$5*SF6_NF3!AF105+char!$C$6*'CH4'!AF105+char!$C$7*HFC!AF105+char!$C$8*PFC!AF105</f>
        <v>-478.29515588331697</v>
      </c>
      <c r="AG105" s="379" t="e">
        <f>+'CO2'!AG105+char!$C$4*N2O!AG105+char!$C$5*SF6_NF3!AG105+char!$C$6*'CH4'!AG105+char!$C$7*HFC!AG105+char!$C$8*PFC!AG105</f>
        <v>#VALUE!</v>
      </c>
      <c r="AH105" s="172">
        <f>+'CO2'!AH105+char!$C$4*N2O!AH105+char!$C$5*SF6_NF3!AH105+char!$C$6*'CH4'!AH105+char!$C$7*HFC!AH105+char!$C$8*PFC!AH105</f>
        <v>-482.53149849872</v>
      </c>
      <c r="AI105" s="379" t="e">
        <f>+'CO2'!AI105+char!$C$4*N2O!AI105+char!$C$5*SF6_NF3!AI105+char!$C$6*'CH4'!AI105+char!$C$7*HFC!AI105+char!$C$8*PFC!AI105</f>
        <v>#VALUE!</v>
      </c>
      <c r="AJ105" s="172">
        <f>+'CO2'!AJ105+char!$C$4*N2O!AJ105+char!$C$5*SF6_NF3!AJ105+char!$C$6*'CH4'!AJ105+char!$C$7*HFC!AJ105+char!$C$8*PFC!AJ105</f>
        <v>-682.90901635418913</v>
      </c>
      <c r="AK105" s="379" t="e">
        <f>+'CO2'!AK105+char!$C$4*N2O!AK105+char!$C$5*SF6_NF3!AK105+char!$C$6*'CH4'!AK105+char!$C$7*HFC!AK105+char!$C$8*PFC!AK105</f>
        <v>#VALUE!</v>
      </c>
      <c r="AL105" s="172">
        <f>+'CO2'!AL105+char!$C$4*N2O!AL105+char!$C$5*SF6_NF3!AL105+char!$C$6*'CH4'!AL105+char!$C$7*HFC!AL105+char!$C$8*PFC!AL105</f>
        <v>-734.07063444480116</v>
      </c>
      <c r="AM105" s="379" t="e">
        <f>+'CO2'!AM105+char!$C$4*N2O!AM105+char!$C$5*SF6_NF3!AM105+char!$C$6*'CH4'!AM105+char!$C$7*HFC!AM105+char!$C$8*PFC!AM105</f>
        <v>#VALUE!</v>
      </c>
      <c r="AN105" s="172">
        <f>+'CO2'!AN105+char!$C$4*N2O!AN105+char!$C$5*SF6_NF3!AN105+char!$C$6*'CH4'!AN105+char!$C$7*HFC!AN105+char!$C$8*PFC!AN105</f>
        <v>-802.13615266279203</v>
      </c>
      <c r="AO105" s="379" t="e">
        <f>+'CO2'!AO105+char!$C$4*N2O!AO105+char!$C$5*SF6_NF3!AO105+char!$C$6*'CH4'!AO105+char!$C$7*HFC!AO105+char!$C$8*PFC!AO105</f>
        <v>#VALUE!</v>
      </c>
      <c r="AP105" s="172">
        <f>+'CO2'!AP105+char!$C$4*N2O!AP105+char!$C$5*SF6_NF3!AP105+char!$C$6*'CH4'!AP105+char!$C$7*HFC!AP105+char!$C$8*PFC!AP105</f>
        <v>-834.41541226079391</v>
      </c>
      <c r="AQ105" s="379" t="e">
        <f>+'CO2'!AQ105+char!$C$4*N2O!AQ105+char!$C$5*SF6_NF3!AQ105+char!$C$6*'CH4'!AQ105+char!$C$7*HFC!AQ105+char!$C$8*PFC!AQ105</f>
        <v>#VALUE!</v>
      </c>
      <c r="AR105" s="172">
        <f>+'CO2'!AR105+char!$C$4*N2O!AR105+char!$C$5*SF6_NF3!AR105+char!$C$6*'CH4'!AR105+char!$C$7*HFC!AR105+char!$C$8*PFC!AR105</f>
        <v>-834.686816654003</v>
      </c>
      <c r="AS105" s="379" t="e">
        <f>+'CO2'!AS105+char!$C$4*N2O!AS105+char!$C$5*SF6_NF3!AS105+char!$C$6*'CH4'!AS105+char!$C$7*HFC!AS105+char!$C$8*PFC!AS105</f>
        <v>#VALUE!</v>
      </c>
      <c r="AT105" s="172">
        <f>+'CO2'!AT105+char!$C$4*N2O!AT105+char!$C$5*SF6_NF3!AT105+char!$C$6*'CH4'!AT105+char!$C$7*HFC!AT105+char!$C$8*PFC!AT105</f>
        <v>-844.06611458327598</v>
      </c>
      <c r="AU105" s="379" t="e">
        <f>+'CO2'!AU105+char!$C$4*N2O!AU105+char!$C$5*SF6_NF3!AU105+char!$C$6*'CH4'!AU105+char!$C$7*HFC!AU105+char!$C$8*PFC!AU105</f>
        <v>#VALUE!</v>
      </c>
      <c r="AV105" s="173">
        <f>+'CO2'!AV105+char!$C$4*N2O!AV105+char!$C$5*SF6_NF3!AV105+char!$C$6*'CH4'!AV105+char!$C$7*HFC!AV105+char!$C$8*PFC!AV105</f>
        <v>-795.70681581484314</v>
      </c>
      <c r="AW105" s="379" t="e">
        <f>+'CO2'!AW105+char!$C$4*N2O!AW105+char!$C$5*SF6_NF3!AW105+char!$C$6*'CH4'!AW105+char!$C$7*HFC!AW105+char!$C$8*PFC!AW105</f>
        <v>#VALUE!</v>
      </c>
      <c r="AX105" s="173">
        <f>+'CO2'!AX105+char!$C$4*N2O!AX105+char!$C$5*SF6_NF3!AX105+char!$C$6*'CH4'!AX105+char!$C$7*HFC!AX105+char!$C$8*PFC!AX105</f>
        <v>-862.9285448253022</v>
      </c>
      <c r="AY105" s="379" t="e">
        <f>+'CO2'!AY105+char!$C$4*N2O!AY105+char!$C$5*SF6_NF3!AY105+char!$C$6*'CH4'!AY105+char!$C$7*HFC!AY105+char!$C$8*PFC!AY105</f>
        <v>#VALUE!</v>
      </c>
      <c r="AZ105" s="173">
        <f>+'CO2'!AZ105+char!$C$4*N2O!AZ105+char!$C$5*SF6_NF3!AZ105+char!$C$6*'CH4'!AZ105+char!$C$7*HFC!AZ105+char!$C$8*PFC!AZ105</f>
        <v>-844.68123368352576</v>
      </c>
      <c r="BA105" s="379" t="e">
        <f>+'CO2'!BA105+char!$C$4*N2O!BA105+char!$C$5*SF6_NF3!BA105+char!$C$6*'CH4'!BA105+char!$C$7*HFC!BA105+char!$C$8*PFC!BA105</f>
        <v>#VALUE!</v>
      </c>
      <c r="BB105" s="173">
        <f>+'CO2'!BB105+char!$C$4*N2O!BB105+char!$C$5*SF6_NF3!BB105+char!$C$6*'CH4'!BB105+char!$C$7*HFC!BB105+char!$C$8*PFC!BB105</f>
        <v>-804.37496382783979</v>
      </c>
      <c r="BC105" s="379" t="e">
        <f>+'CO2'!BC105+char!$C$4*N2O!BC105+char!$C$5*SF6_NF3!BC105+char!$C$6*'CH4'!BC105+char!$C$7*HFC!BC105+char!$C$8*PFC!BC105</f>
        <v>#VALUE!</v>
      </c>
      <c r="BD105" s="173">
        <f>+'CO2'!BD105+char!$C$4*N2O!BD105+char!$C$5*SF6_NF3!BD105+char!$C$6*'CH4'!BD105+char!$C$7*HFC!BD105+char!$C$8*PFC!BD105</f>
        <v>-191.67689049478693</v>
      </c>
      <c r="BE105" s="379" t="e">
        <f>+'CO2'!BE105+char!$C$4*N2O!BE105+char!$C$5*SF6_NF3!BE105+char!$C$6*'CH4'!BE105+char!$C$7*HFC!BE105+char!$C$8*PFC!BE105</f>
        <v>#VALUE!</v>
      </c>
      <c r="BF105" s="173">
        <f>+'CO2'!BF105+char!$C$4*N2O!BF105+char!$C$5*SF6_NF3!BF105+char!$C$6*'CH4'!BF105+char!$C$7*HFC!BF105+char!$C$8*PFC!BF105</f>
        <v>-166.67833941553548</v>
      </c>
      <c r="BG105" s="379"/>
      <c r="BH105" s="237"/>
      <c r="BI105" s="184"/>
      <c r="CJ105" s="150"/>
      <c r="CK105" s="150"/>
      <c r="CL105" s="150"/>
      <c r="CM105" s="151" t="s">
        <v>1148</v>
      </c>
      <c r="CN105" s="150" t="s">
        <v>1158</v>
      </c>
      <c r="CO105" s="150"/>
      <c r="CP105" s="150"/>
      <c r="CQ105" s="150"/>
      <c r="CR105" s="150"/>
      <c r="CS105" s="150"/>
      <c r="CT105" s="150"/>
    </row>
    <row r="106" spans="1:98" ht="33" customHeight="1">
      <c r="A106" s="317"/>
      <c r="B106" s="200">
        <v>5</v>
      </c>
      <c r="C106" s="101"/>
      <c r="D106" s="484" t="s">
        <v>1159</v>
      </c>
      <c r="E106" s="485"/>
      <c r="F106" s="222"/>
      <c r="G106" s="379"/>
      <c r="H106" s="231"/>
      <c r="I106" s="379"/>
      <c r="J106" s="231"/>
      <c r="K106" s="379"/>
      <c r="L106" s="231"/>
      <c r="M106" s="379"/>
      <c r="N106" s="231"/>
      <c r="O106" s="379"/>
      <c r="P106" s="231"/>
      <c r="Q106" s="379"/>
      <c r="R106" s="231"/>
      <c r="S106" s="379"/>
      <c r="T106" s="231"/>
      <c r="U106" s="379"/>
      <c r="V106" s="231"/>
      <c r="W106" s="379"/>
      <c r="X106" s="231"/>
      <c r="Y106" s="379"/>
      <c r="Z106" s="231"/>
      <c r="AA106" s="379"/>
      <c r="AB106" s="231"/>
      <c r="AC106" s="379"/>
      <c r="AD106" s="231"/>
      <c r="AE106" s="379"/>
      <c r="AF106" s="169">
        <f>+'CO2'!AF106+char!$C$4*N2O!AF106+char!$C$5*SF6_NF3!AF106+char!$C$6*'CH4'!AF106+char!$C$7*HFC!AF106+char!$C$8*PFC!AF106</f>
        <v>55350.387426607384</v>
      </c>
      <c r="AG106" s="379">
        <f>+'CO2'!AG106+char!$C$4*N2O!AG106+char!$C$5*SF6_NF3!AG106+char!$C$6*'CH4'!AG106+char!$C$7*HFC!AG106+char!$C$8*PFC!AG106</f>
        <v>0</v>
      </c>
      <c r="AH106" s="169">
        <f>+'CO2'!AH106+char!$C$4*N2O!AH106+char!$C$5*SF6_NF3!AH106+char!$C$6*'CH4'!AH106+char!$C$7*HFC!AH106+char!$C$8*PFC!AH106</f>
        <v>52932.473058769385</v>
      </c>
      <c r="AI106" s="379">
        <f>+'CO2'!AI106+char!$C$4*N2O!AI106+char!$C$5*SF6_NF3!AI106+char!$C$6*'CH4'!AI106+char!$C$7*HFC!AI106+char!$C$8*PFC!AI106</f>
        <v>0</v>
      </c>
      <c r="AJ106" s="169">
        <f>+'CO2'!AJ106+char!$C$4*N2O!AJ106+char!$C$5*SF6_NF3!AJ106+char!$C$6*'CH4'!AJ106+char!$C$7*HFC!AJ106+char!$C$8*PFC!AJ106</f>
        <v>55293.575429129116</v>
      </c>
      <c r="AK106" s="379">
        <f>+'CO2'!AK106+char!$C$4*N2O!AK106+char!$C$5*SF6_NF3!AK106+char!$C$6*'CH4'!AK106+char!$C$7*HFC!AK106+char!$C$8*PFC!AK106</f>
        <v>0</v>
      </c>
      <c r="AL106" s="169">
        <f>+'CO2'!AL106+char!$C$4*N2O!AL106+char!$C$5*SF6_NF3!AL106+char!$C$6*'CH4'!AL106+char!$C$7*HFC!AL106+char!$C$8*PFC!AL106</f>
        <v>54356.275258743102</v>
      </c>
      <c r="AM106" s="379">
        <f>+'CO2'!AM106+char!$C$4*N2O!AM106+char!$C$5*SF6_NF3!AM106+char!$C$6*'CH4'!AM106+char!$C$7*HFC!AM106+char!$C$8*PFC!AM106</f>
        <v>0</v>
      </c>
      <c r="AN106" s="169">
        <f>+'CO2'!AN106+char!$C$4*N2O!AN106+char!$C$5*SF6_NF3!AN106+char!$C$6*'CH4'!AN106+char!$C$7*HFC!AN106+char!$C$8*PFC!AN106</f>
        <v>53738.160871739106</v>
      </c>
      <c r="AO106" s="379">
        <f>+'CO2'!AO106+char!$C$4*N2O!AO106+char!$C$5*SF6_NF3!AO106+char!$C$6*'CH4'!AO106+char!$C$7*HFC!AO106+char!$C$8*PFC!AO106</f>
        <v>0</v>
      </c>
      <c r="AP106" s="169">
        <f>+'CO2'!AP106+char!$C$4*N2O!AP106+char!$C$5*SF6_NF3!AP106+char!$C$6*'CH4'!AP106+char!$C$7*HFC!AP106+char!$C$8*PFC!AP106</f>
        <v>53983.313739234713</v>
      </c>
      <c r="AQ106" s="379">
        <f>+'CO2'!AQ106+char!$C$4*N2O!AQ106+char!$C$5*SF6_NF3!AQ106+char!$C$6*'CH4'!AQ106+char!$C$7*HFC!AQ106+char!$C$8*PFC!AQ106</f>
        <v>0</v>
      </c>
      <c r="AR106" s="169">
        <f>+'CO2'!AR106+char!$C$4*N2O!AR106+char!$C$5*SF6_NF3!AR106+char!$C$6*'CH4'!AR106+char!$C$7*HFC!AR106+char!$C$8*PFC!AR106</f>
        <v>54316.339280383392</v>
      </c>
      <c r="AS106" s="379">
        <f>+'CO2'!AS106+char!$C$4*N2O!AS106+char!$C$5*SF6_NF3!AS106+char!$C$6*'CH4'!AS106+char!$C$7*HFC!AS106+char!$C$8*PFC!AS106</f>
        <v>0</v>
      </c>
      <c r="AT106" s="169">
        <f>+'CO2'!AT106+char!$C$4*N2O!AT106+char!$C$5*SF6_NF3!AT106+char!$C$6*'CH4'!AT106+char!$C$7*HFC!AT106+char!$C$8*PFC!AT106</f>
        <v>54757.45365898461</v>
      </c>
      <c r="AU106" s="379">
        <f>+'CO2'!AU106+char!$C$4*N2O!AU106+char!$C$5*SF6_NF3!AU106+char!$C$6*'CH4'!AU106+char!$C$7*HFC!AU106+char!$C$8*PFC!AU106</f>
        <v>0</v>
      </c>
      <c r="AV106" s="164">
        <f>+'CO2'!AV106+char!$C$4*N2O!AV106+char!$C$5*SF6_NF3!AV106+char!$C$6*'CH4'!AV106+char!$C$7*HFC!AV106+char!$C$8*PFC!AV106</f>
        <v>53837.578738636359</v>
      </c>
      <c r="AW106" s="379">
        <f>+'CO2'!AW106+char!$C$4*N2O!AW106+char!$C$5*SF6_NF3!AW106+char!$C$6*'CH4'!AW106+char!$C$7*HFC!AW106+char!$C$8*PFC!AW106</f>
        <v>0</v>
      </c>
      <c r="AX106" s="164">
        <f>+'CO2'!AX106+char!$C$4*N2O!AX106+char!$C$5*SF6_NF3!AX106+char!$C$6*'CH4'!AX106+char!$C$7*HFC!AX106+char!$C$8*PFC!AX106</f>
        <v>53049.096020923309</v>
      </c>
      <c r="AY106" s="379">
        <f>+'CO2'!AY106+char!$C$4*N2O!AY106+char!$C$5*SF6_NF3!AY106+char!$C$6*'CH4'!AY106+char!$C$7*HFC!AY106+char!$C$8*PFC!AY106</f>
        <v>0</v>
      </c>
      <c r="AZ106" s="164">
        <f>+'CO2'!AZ106+char!$C$4*N2O!AZ106+char!$C$5*SF6_NF3!AZ106+char!$C$6*'CH4'!AZ106+char!$C$7*HFC!AZ106+char!$C$8*PFC!AZ106</f>
        <v>53070.955424104774</v>
      </c>
      <c r="BA106" s="379">
        <f>+'CO2'!BA106+char!$C$4*N2O!BA106+char!$C$5*SF6_NF3!BA106+char!$C$6*'CH4'!BA106+char!$C$7*HFC!BA106+char!$C$8*PFC!BA106</f>
        <v>0</v>
      </c>
      <c r="BB106" s="164">
        <f>+'CO2'!BB106+char!$C$4*N2O!BB106+char!$C$5*SF6_NF3!BB106+char!$C$6*'CH4'!BB106+char!$C$7*HFC!BB106+char!$C$8*PFC!BB106</f>
        <v>51294.164954686072</v>
      </c>
      <c r="BC106" s="379">
        <f>+'CO2'!BC106+char!$C$4*N2O!BC106+char!$C$5*SF6_NF3!BC106+char!$C$6*'CH4'!BC106+char!$C$7*HFC!BC106+char!$C$8*PFC!BC106</f>
        <v>0</v>
      </c>
      <c r="BD106" s="164">
        <f>+'CO2'!BD106+char!$C$4*N2O!BD106+char!$C$5*SF6_NF3!BD106+char!$C$6*'CH4'!BD106+char!$C$7*HFC!BD106+char!$C$8*PFC!BD106</f>
        <v>49570.486735340113</v>
      </c>
      <c r="BE106" s="379">
        <f>+'CO2'!BE106+char!$C$4*N2O!BE106+char!$C$5*SF6_NF3!BE106+char!$C$6*'CH4'!BE106+char!$C$7*HFC!BE106+char!$C$8*PFC!BE106</f>
        <v>0</v>
      </c>
      <c r="BF106" s="164">
        <f>+'CO2'!BF106+char!$C$4*N2O!BF106+char!$C$5*SF6_NF3!BF106+char!$C$6*'CH4'!BF106+char!$C$7*HFC!BF106+char!$C$8*PFC!BF106</f>
        <v>49232.298691375276</v>
      </c>
      <c r="BG106" s="379"/>
      <c r="BH106" s="223"/>
      <c r="BI106" s="184"/>
      <c r="CJ106" s="150"/>
      <c r="CK106" s="150"/>
      <c r="CL106" s="150"/>
      <c r="CM106" s="151" t="s">
        <v>1148</v>
      </c>
      <c r="CN106" s="150" t="s">
        <v>1160</v>
      </c>
      <c r="CO106" s="150"/>
      <c r="CP106" s="150"/>
      <c r="CQ106" s="150"/>
      <c r="CR106" s="150"/>
      <c r="CS106" s="150"/>
      <c r="CT106" s="150"/>
    </row>
    <row r="107" spans="1:98" ht="21" customHeight="1" thickBot="1">
      <c r="A107" s="317"/>
      <c r="B107" s="64"/>
      <c r="C107" s="65"/>
      <c r="D107" s="486" t="s">
        <v>587</v>
      </c>
      <c r="E107" s="487"/>
      <c r="F107" s="241"/>
      <c r="G107" s="194"/>
      <c r="H107" s="242"/>
      <c r="I107" s="194"/>
      <c r="J107" s="242"/>
      <c r="K107" s="194"/>
      <c r="L107" s="242"/>
      <c r="M107" s="194"/>
      <c r="N107" s="242"/>
      <c r="O107" s="194"/>
      <c r="P107" s="242"/>
      <c r="Q107" s="194"/>
      <c r="R107" s="242"/>
      <c r="S107" s="194"/>
      <c r="T107" s="242"/>
      <c r="U107" s="194"/>
      <c r="V107" s="242"/>
      <c r="W107" s="194"/>
      <c r="X107" s="242"/>
      <c r="Y107" s="194"/>
      <c r="Z107" s="242"/>
      <c r="AA107" s="194"/>
      <c r="AB107" s="242"/>
      <c r="AC107" s="194"/>
      <c r="AD107" s="242"/>
      <c r="AE107" s="194"/>
      <c r="AF107" s="104">
        <v>2023</v>
      </c>
      <c r="AG107" s="194"/>
      <c r="AH107" s="104">
        <v>2023</v>
      </c>
      <c r="AI107" s="194"/>
      <c r="AJ107" s="104">
        <v>2023</v>
      </c>
      <c r="AK107" s="194"/>
      <c r="AL107" s="104">
        <v>2023</v>
      </c>
      <c r="AM107" s="194"/>
      <c r="AN107" s="104">
        <v>2023</v>
      </c>
      <c r="AO107" s="194"/>
      <c r="AP107" s="104">
        <v>2023</v>
      </c>
      <c r="AQ107" s="194"/>
      <c r="AR107" s="104">
        <v>2023</v>
      </c>
      <c r="AS107" s="194"/>
      <c r="AT107" s="104">
        <v>2023</v>
      </c>
      <c r="AU107" s="194"/>
      <c r="AV107" s="104">
        <v>2023</v>
      </c>
      <c r="AW107" s="194"/>
      <c r="AX107" s="105">
        <v>2023</v>
      </c>
      <c r="AY107" s="194"/>
      <c r="AZ107" s="105">
        <v>2023</v>
      </c>
      <c r="BA107" s="194"/>
      <c r="BB107" s="105">
        <v>2023</v>
      </c>
      <c r="BC107" s="194"/>
      <c r="BD107" s="105">
        <v>2023</v>
      </c>
      <c r="BE107" s="194"/>
      <c r="BF107" s="105">
        <v>2023</v>
      </c>
      <c r="BG107" s="194"/>
      <c r="BH107" s="243"/>
      <c r="BI107" s="195"/>
      <c r="CJ107" s="150"/>
      <c r="CK107" s="150"/>
      <c r="CL107" s="150"/>
      <c r="CM107" s="154"/>
      <c r="CN107" s="150"/>
      <c r="CO107" s="150"/>
      <c r="CP107" s="150"/>
      <c r="CQ107" s="150"/>
      <c r="CR107" s="150"/>
      <c r="CS107" s="150"/>
      <c r="CT107" s="150"/>
    </row>
    <row r="108" spans="1:98">
      <c r="CJ108" s="155"/>
      <c r="CK108" s="155"/>
      <c r="CL108" s="155"/>
      <c r="CM108" s="156"/>
      <c r="CN108" s="155"/>
      <c r="CO108" s="155"/>
      <c r="CP108" s="155"/>
      <c r="CQ108" s="155"/>
      <c r="CR108" s="155"/>
      <c r="CS108" s="155"/>
      <c r="CT108" s="155"/>
    </row>
    <row r="109" spans="1:98">
      <c r="B109" s="202" t="s">
        <v>1161</v>
      </c>
      <c r="CJ109" s="155"/>
      <c r="CK109" s="155"/>
      <c r="CL109" s="155"/>
      <c r="CM109" s="156"/>
      <c r="CN109" s="155"/>
      <c r="CO109" s="155"/>
      <c r="CP109" s="155"/>
      <c r="CQ109" s="155"/>
      <c r="CR109" s="155"/>
      <c r="CS109" s="155"/>
      <c r="CT109" s="155"/>
    </row>
    <row r="110" spans="1:98">
      <c r="B110" s="203">
        <v>1</v>
      </c>
      <c r="C110" t="s">
        <v>1162</v>
      </c>
      <c r="CJ110" s="155"/>
      <c r="CK110" s="155"/>
      <c r="CL110" s="155"/>
      <c r="CM110" s="156"/>
      <c r="CN110" s="155"/>
      <c r="CO110" s="155"/>
      <c r="CP110" s="155"/>
      <c r="CQ110" s="155"/>
      <c r="CR110" s="155"/>
      <c r="CS110" s="155"/>
      <c r="CT110" s="155"/>
    </row>
    <row r="111" spans="1:98">
      <c r="B111" s="203"/>
      <c r="CJ111" s="155"/>
      <c r="CK111" s="155"/>
      <c r="CL111" s="155"/>
      <c r="CM111" s="156"/>
      <c r="CN111" s="155"/>
      <c r="CO111" s="155"/>
      <c r="CP111" s="155"/>
      <c r="CQ111" s="155"/>
      <c r="CR111" s="155"/>
      <c r="CS111" s="155"/>
      <c r="CT111" s="155"/>
    </row>
    <row r="112" spans="1:98">
      <c r="B112">
        <v>2.1</v>
      </c>
      <c r="C112" s="36" t="s">
        <v>1163</v>
      </c>
      <c r="CJ112" s="155"/>
      <c r="CK112" s="155"/>
      <c r="CL112" s="155"/>
      <c r="CM112" s="156"/>
      <c r="CN112" s="155"/>
      <c r="CO112" s="155"/>
      <c r="CP112" s="155"/>
      <c r="CQ112" s="155"/>
      <c r="CR112" s="155"/>
      <c r="CS112" s="155"/>
      <c r="CT112" s="155"/>
    </row>
    <row r="113" spans="2:98">
      <c r="B113">
        <v>2.2000000000000002</v>
      </c>
      <c r="C113" s="36" t="s">
        <v>1164</v>
      </c>
      <c r="CJ113" s="155"/>
      <c r="CK113" s="155"/>
      <c r="CL113" s="155"/>
      <c r="CM113" s="156"/>
      <c r="CN113" s="155"/>
      <c r="CO113" s="155"/>
      <c r="CP113" s="155"/>
      <c r="CQ113" s="155"/>
      <c r="CR113" s="155"/>
      <c r="CS113" s="155"/>
      <c r="CT113" s="155"/>
    </row>
    <row r="114" spans="2:98">
      <c r="B114">
        <v>2.2999999999999998</v>
      </c>
      <c r="C114" s="36" t="s">
        <v>1165</v>
      </c>
      <c r="CJ114" s="155"/>
      <c r="CK114" s="155"/>
      <c r="CL114" s="155"/>
      <c r="CM114" s="156"/>
      <c r="CN114" s="155"/>
      <c r="CO114" s="155"/>
      <c r="CP114" s="155"/>
      <c r="CQ114" s="155"/>
      <c r="CR114" s="155"/>
      <c r="CS114" s="155"/>
      <c r="CT114" s="155"/>
    </row>
    <row r="115" spans="2:98">
      <c r="B115">
        <v>2.4</v>
      </c>
      <c r="C115" s="36" t="s">
        <v>1166</v>
      </c>
      <c r="CJ115" s="155"/>
      <c r="CK115" s="155"/>
      <c r="CL115" s="155"/>
      <c r="CM115" s="156"/>
      <c r="CN115" s="155"/>
      <c r="CO115" s="155"/>
      <c r="CP115" s="155"/>
      <c r="CQ115" s="155"/>
      <c r="CR115" s="155"/>
      <c r="CS115" s="155"/>
      <c r="CT115" s="155"/>
    </row>
    <row r="116" spans="2:98">
      <c r="CJ116" s="155"/>
      <c r="CK116" s="155"/>
      <c r="CL116" s="155"/>
      <c r="CM116" s="156"/>
      <c r="CN116" s="155"/>
      <c r="CO116" s="155"/>
      <c r="CP116" s="155"/>
      <c r="CQ116" s="155"/>
      <c r="CR116" s="155"/>
      <c r="CS116" s="155"/>
      <c r="CT116" s="155"/>
    </row>
    <row r="117" spans="2:98">
      <c r="B117">
        <v>3.1</v>
      </c>
      <c r="C117" s="36" t="s">
        <v>1167</v>
      </c>
      <c r="CJ117" s="155"/>
      <c r="CK117" s="155"/>
      <c r="CL117" s="155"/>
      <c r="CM117" s="156"/>
      <c r="CN117" s="155"/>
      <c r="CO117" s="155"/>
      <c r="CP117" s="155"/>
      <c r="CQ117" s="155"/>
      <c r="CR117" s="155"/>
      <c r="CS117" s="155"/>
      <c r="CT117" s="155"/>
    </row>
    <row r="118" spans="2:98">
      <c r="B118">
        <v>3.2</v>
      </c>
      <c r="C118" s="36" t="s">
        <v>1168</v>
      </c>
      <c r="CJ118" s="155"/>
      <c r="CK118" s="155"/>
      <c r="CL118" s="155"/>
      <c r="CM118" s="156"/>
      <c r="CN118" s="155"/>
      <c r="CO118" s="155"/>
      <c r="CP118" s="155"/>
      <c r="CQ118" s="155"/>
      <c r="CR118" s="155"/>
      <c r="CS118" s="155"/>
      <c r="CT118" s="155"/>
    </row>
    <row r="119" spans="2:98">
      <c r="B119">
        <v>3.3</v>
      </c>
      <c r="C119" s="36" t="s">
        <v>1169</v>
      </c>
      <c r="CJ119" s="155"/>
      <c r="CK119" s="155"/>
      <c r="CL119" s="155"/>
      <c r="CM119" s="156"/>
      <c r="CN119" s="155"/>
      <c r="CO119" s="155"/>
      <c r="CP119" s="155"/>
      <c r="CQ119" s="155"/>
      <c r="CR119" s="155"/>
      <c r="CS119" s="155"/>
      <c r="CT119" s="155"/>
    </row>
    <row r="120" spans="2:98">
      <c r="CJ120" s="155"/>
      <c r="CK120" s="155"/>
      <c r="CL120" s="155"/>
      <c r="CM120" s="156"/>
      <c r="CN120" s="155"/>
      <c r="CO120" s="155"/>
      <c r="CP120" s="155"/>
      <c r="CQ120" s="155"/>
      <c r="CR120" s="155"/>
      <c r="CS120" s="155"/>
      <c r="CT120" s="155"/>
    </row>
    <row r="121" spans="2:98">
      <c r="B121" s="203">
        <v>5</v>
      </c>
      <c r="C121" s="36" t="s">
        <v>1170</v>
      </c>
      <c r="CJ121" s="155"/>
      <c r="CK121" s="155"/>
      <c r="CL121" s="155"/>
      <c r="CM121" s="156"/>
      <c r="CN121" s="155"/>
      <c r="CO121" s="155"/>
      <c r="CP121" s="155"/>
      <c r="CQ121" s="155"/>
      <c r="CR121" s="155"/>
      <c r="CS121" s="155"/>
      <c r="CT121" s="155"/>
    </row>
    <row r="122" spans="2:98">
      <c r="CJ122" s="155"/>
      <c r="CK122" s="155"/>
      <c r="CL122" s="155"/>
      <c r="CM122" s="156"/>
      <c r="CN122" s="155"/>
      <c r="CO122" s="155"/>
      <c r="CP122" s="155"/>
      <c r="CQ122" s="155"/>
      <c r="CR122" s="155"/>
      <c r="CS122" s="155"/>
      <c r="CT122" s="155"/>
    </row>
    <row r="123" spans="2:98">
      <c r="CJ123" s="155"/>
      <c r="CK123" s="155"/>
      <c r="CL123" s="155"/>
      <c r="CM123" s="156"/>
      <c r="CN123" s="155"/>
      <c r="CO123" s="155"/>
      <c r="CP123" s="155"/>
      <c r="CQ123" s="155"/>
      <c r="CR123" s="155"/>
      <c r="CS123" s="155"/>
      <c r="CT123" s="155"/>
    </row>
    <row r="124" spans="2:98">
      <c r="CJ124" s="155"/>
      <c r="CK124" s="155"/>
      <c r="CL124" s="155"/>
      <c r="CM124" s="156"/>
      <c r="CN124" s="155"/>
      <c r="CO124" s="155"/>
      <c r="CP124" s="155"/>
      <c r="CQ124" s="155"/>
      <c r="CR124" s="155"/>
      <c r="CS124" s="155"/>
      <c r="CT124" s="155"/>
    </row>
    <row r="125" spans="2:98">
      <c r="CJ125" s="155"/>
      <c r="CK125" s="155"/>
      <c r="CL125" s="155"/>
      <c r="CM125" s="156"/>
      <c r="CN125" s="155"/>
      <c r="CO125" s="155"/>
      <c r="CP125" s="155"/>
      <c r="CQ125" s="155"/>
      <c r="CR125" s="155"/>
      <c r="CS125" s="155"/>
      <c r="CT125" s="155"/>
    </row>
    <row r="126" spans="2:98">
      <c r="CJ126" s="155"/>
      <c r="CK126" s="155"/>
      <c r="CL126" s="155"/>
      <c r="CM126" s="156"/>
      <c r="CN126" s="155"/>
      <c r="CO126" s="155"/>
      <c r="CP126" s="155"/>
      <c r="CQ126" s="155"/>
      <c r="CR126" s="155"/>
      <c r="CS126" s="155"/>
      <c r="CT126" s="155"/>
    </row>
    <row r="127" spans="2:98">
      <c r="CJ127" s="155"/>
      <c r="CK127" s="155"/>
      <c r="CL127" s="155"/>
      <c r="CM127" s="156"/>
      <c r="CN127" s="155"/>
      <c r="CO127" s="155"/>
      <c r="CP127" s="155"/>
      <c r="CQ127" s="155"/>
      <c r="CR127" s="155"/>
      <c r="CS127" s="155"/>
      <c r="CT127" s="155"/>
    </row>
    <row r="128" spans="2:98">
      <c r="CJ128" s="155"/>
      <c r="CK128" s="155"/>
      <c r="CL128" s="155"/>
      <c r="CM128" s="156"/>
      <c r="CN128" s="155"/>
      <c r="CO128" s="155"/>
      <c r="CP128" s="155"/>
      <c r="CQ128" s="155"/>
      <c r="CR128" s="155"/>
      <c r="CS128" s="155"/>
      <c r="CT128" s="155"/>
    </row>
    <row r="129" spans="88:98">
      <c r="CJ129" s="155"/>
      <c r="CK129" s="155"/>
      <c r="CL129" s="155"/>
      <c r="CM129" s="156"/>
      <c r="CN129" s="155"/>
      <c r="CO129" s="155"/>
      <c r="CP129" s="155"/>
      <c r="CQ129" s="155"/>
      <c r="CR129" s="155"/>
      <c r="CS129" s="155"/>
      <c r="CT129" s="155"/>
    </row>
    <row r="130" spans="88:98">
      <c r="CJ130" s="155"/>
      <c r="CK130" s="155"/>
      <c r="CL130" s="155"/>
      <c r="CM130" s="156"/>
      <c r="CN130" s="155"/>
      <c r="CO130" s="155"/>
      <c r="CP130" s="155"/>
      <c r="CQ130" s="155"/>
      <c r="CR130" s="155"/>
      <c r="CS130" s="155"/>
      <c r="CT130" s="155"/>
    </row>
    <row r="131" spans="88:98">
      <c r="CJ131" s="155"/>
      <c r="CK131" s="155"/>
      <c r="CL131" s="155"/>
      <c r="CM131" s="156"/>
      <c r="CN131" s="155"/>
      <c r="CO131" s="155"/>
      <c r="CP131" s="155"/>
      <c r="CQ131" s="155"/>
      <c r="CR131" s="155"/>
      <c r="CS131" s="155"/>
      <c r="CT131" s="155"/>
    </row>
    <row r="132" spans="88:98">
      <c r="CJ132" s="155"/>
      <c r="CK132" s="155"/>
      <c r="CL132" s="155"/>
      <c r="CM132" s="156"/>
      <c r="CN132" s="155"/>
      <c r="CO132" s="155"/>
      <c r="CP132" s="155"/>
      <c r="CQ132" s="155"/>
      <c r="CR132" s="155"/>
      <c r="CS132" s="155"/>
      <c r="CT132" s="155"/>
    </row>
    <row r="133" spans="88:98">
      <c r="CJ133" s="155"/>
      <c r="CK133" s="155"/>
      <c r="CL133" s="155"/>
      <c r="CM133" s="156"/>
      <c r="CN133" s="155"/>
      <c r="CO133" s="155"/>
      <c r="CP133" s="155"/>
      <c r="CQ133" s="155"/>
      <c r="CR133" s="155"/>
      <c r="CS133" s="155"/>
      <c r="CT133" s="155"/>
    </row>
    <row r="134" spans="88:98">
      <c r="CJ134" s="155"/>
      <c r="CK134" s="155"/>
      <c r="CL134" s="155"/>
      <c r="CM134" s="156"/>
      <c r="CN134" s="155"/>
      <c r="CO134" s="155"/>
      <c r="CP134" s="155"/>
      <c r="CQ134" s="155"/>
      <c r="CR134" s="155"/>
      <c r="CS134" s="155"/>
      <c r="CT134" s="155"/>
    </row>
    <row r="135" spans="88:98">
      <c r="CJ135" s="155"/>
      <c r="CK135" s="155"/>
      <c r="CL135" s="155"/>
      <c r="CM135" s="156"/>
      <c r="CN135" s="155"/>
      <c r="CO135" s="155"/>
      <c r="CP135" s="155"/>
      <c r="CQ135" s="155"/>
      <c r="CR135" s="155"/>
      <c r="CS135" s="155"/>
      <c r="CT135" s="155"/>
    </row>
    <row r="136" spans="88:98">
      <c r="CJ136" s="155"/>
      <c r="CK136" s="155"/>
      <c r="CL136" s="155"/>
      <c r="CM136" s="156"/>
      <c r="CN136" s="155"/>
      <c r="CO136" s="155"/>
      <c r="CP136" s="155"/>
      <c r="CQ136" s="155"/>
      <c r="CR136" s="155"/>
      <c r="CS136" s="155"/>
      <c r="CT136" s="155"/>
    </row>
    <row r="137" spans="88:98">
      <c r="CJ137" s="155"/>
      <c r="CK137" s="155"/>
      <c r="CL137" s="155"/>
      <c r="CM137" s="156"/>
      <c r="CN137" s="155"/>
      <c r="CO137" s="155"/>
      <c r="CP137" s="155"/>
      <c r="CQ137" s="155"/>
      <c r="CR137" s="155"/>
      <c r="CS137" s="155"/>
      <c r="CT137" s="155"/>
    </row>
    <row r="138" spans="88:98">
      <c r="CJ138" s="155"/>
      <c r="CK138" s="155"/>
      <c r="CL138" s="155"/>
      <c r="CM138" s="156"/>
      <c r="CN138" s="155"/>
      <c r="CO138" s="155"/>
      <c r="CP138" s="155"/>
      <c r="CQ138" s="155"/>
      <c r="CR138" s="155"/>
      <c r="CS138" s="155"/>
      <c r="CT138" s="155"/>
    </row>
    <row r="139" spans="88:98">
      <c r="CJ139" s="155"/>
      <c r="CK139" s="155"/>
      <c r="CL139" s="155"/>
      <c r="CM139" s="156"/>
      <c r="CN139" s="155"/>
      <c r="CO139" s="155"/>
      <c r="CP139" s="155"/>
      <c r="CQ139" s="155"/>
      <c r="CR139" s="155"/>
      <c r="CS139" s="155"/>
      <c r="CT139" s="155"/>
    </row>
    <row r="140" spans="88:98">
      <c r="CJ140" s="155"/>
      <c r="CK140" s="155"/>
      <c r="CL140" s="155"/>
      <c r="CM140" s="156"/>
      <c r="CN140" s="155"/>
      <c r="CO140" s="155"/>
      <c r="CP140" s="155"/>
      <c r="CQ140" s="155"/>
      <c r="CR140" s="155"/>
      <c r="CS140" s="155"/>
      <c r="CT140" s="155"/>
    </row>
    <row r="141" spans="88:98">
      <c r="CJ141" s="155"/>
      <c r="CK141" s="155"/>
      <c r="CL141" s="155"/>
      <c r="CM141" s="156"/>
      <c r="CN141" s="155"/>
      <c r="CO141" s="155"/>
      <c r="CP141" s="155"/>
      <c r="CQ141" s="155"/>
      <c r="CR141" s="155"/>
      <c r="CS141" s="155"/>
      <c r="CT141" s="155"/>
    </row>
    <row r="142" spans="88:98">
      <c r="CJ142" s="156"/>
      <c r="CK142" s="156"/>
      <c r="CL142" s="156"/>
      <c r="CM142" s="156"/>
      <c r="CN142" s="156"/>
      <c r="CO142" s="156"/>
      <c r="CP142" s="156"/>
      <c r="CQ142" s="156"/>
      <c r="CR142" s="156"/>
      <c r="CS142" s="156"/>
      <c r="CT142" s="156"/>
    </row>
    <row r="143" spans="88:98">
      <c r="CJ143" s="156"/>
      <c r="CK143" s="156"/>
      <c r="CL143" s="156"/>
      <c r="CM143" s="156"/>
      <c r="CN143" s="156"/>
      <c r="CO143" s="156"/>
      <c r="CP143" s="156"/>
      <c r="CQ143" s="156"/>
      <c r="CR143" s="156"/>
      <c r="CS143" s="156"/>
      <c r="CT143" s="156"/>
    </row>
    <row r="144" spans="88:98">
      <c r="CJ144" s="156"/>
      <c r="CK144" s="156"/>
      <c r="CL144" s="156"/>
      <c r="CM144" s="156"/>
      <c r="CN144" s="156"/>
      <c r="CO144" s="156"/>
      <c r="CP144" s="156"/>
      <c r="CQ144" s="156"/>
      <c r="CR144" s="156"/>
      <c r="CS144" s="156"/>
      <c r="CT144" s="156"/>
    </row>
  </sheetData>
  <dataConsolidate/>
  <mergeCells count="137">
    <mergeCell ref="D105:E105"/>
    <mergeCell ref="D106:E106"/>
    <mergeCell ref="D107:E107"/>
    <mergeCell ref="D99:E99"/>
    <mergeCell ref="D100:E100"/>
    <mergeCell ref="D101:E101"/>
    <mergeCell ref="D102:E102"/>
    <mergeCell ref="D103:E103"/>
    <mergeCell ref="D104:E104"/>
    <mergeCell ref="D93:E93"/>
    <mergeCell ref="D94:E94"/>
    <mergeCell ref="B95:E95"/>
    <mergeCell ref="D96:E96"/>
    <mergeCell ref="D97:E97"/>
    <mergeCell ref="D98:E98"/>
    <mergeCell ref="D87:E87"/>
    <mergeCell ref="D88:E88"/>
    <mergeCell ref="D89:E89"/>
    <mergeCell ref="D90:E90"/>
    <mergeCell ref="B91:E91"/>
    <mergeCell ref="D92:E92"/>
    <mergeCell ref="D81:E81"/>
    <mergeCell ref="D82:E82"/>
    <mergeCell ref="D83:E83"/>
    <mergeCell ref="D84:E84"/>
    <mergeCell ref="D85:E85"/>
    <mergeCell ref="D86:E86"/>
    <mergeCell ref="D75:E75"/>
    <mergeCell ref="D76:E76"/>
    <mergeCell ref="D77:E77"/>
    <mergeCell ref="D78:E78"/>
    <mergeCell ref="D79:E79"/>
    <mergeCell ref="D80:E80"/>
    <mergeCell ref="D69:E69"/>
    <mergeCell ref="D70:E70"/>
    <mergeCell ref="D71:E71"/>
    <mergeCell ref="D72:E72"/>
    <mergeCell ref="D73:E73"/>
    <mergeCell ref="D74:E74"/>
    <mergeCell ref="D63:E63"/>
    <mergeCell ref="D64:E64"/>
    <mergeCell ref="D65:E65"/>
    <mergeCell ref="D66:E66"/>
    <mergeCell ref="D67:E67"/>
    <mergeCell ref="D68:E68"/>
    <mergeCell ref="D57:E57"/>
    <mergeCell ref="D58:E58"/>
    <mergeCell ref="D59:E59"/>
    <mergeCell ref="D60:E60"/>
    <mergeCell ref="D61:E61"/>
    <mergeCell ref="D62:E62"/>
    <mergeCell ref="D51:E51"/>
    <mergeCell ref="D52:E52"/>
    <mergeCell ref="D53:E53"/>
    <mergeCell ref="D54:E54"/>
    <mergeCell ref="D55:E55"/>
    <mergeCell ref="D56:E56"/>
    <mergeCell ref="D45:E45"/>
    <mergeCell ref="D46:E46"/>
    <mergeCell ref="D47:E47"/>
    <mergeCell ref="D48:E48"/>
    <mergeCell ref="D49:E49"/>
    <mergeCell ref="D50:E50"/>
    <mergeCell ref="D39:E39"/>
    <mergeCell ref="D40:E40"/>
    <mergeCell ref="D41:E41"/>
    <mergeCell ref="D42:E42"/>
    <mergeCell ref="D43:E43"/>
    <mergeCell ref="D44:E44"/>
    <mergeCell ref="D33:E33"/>
    <mergeCell ref="D34:E34"/>
    <mergeCell ref="D35:E35"/>
    <mergeCell ref="D36:E36"/>
    <mergeCell ref="D37:E37"/>
    <mergeCell ref="D38:E38"/>
    <mergeCell ref="D27:E27"/>
    <mergeCell ref="D28:E28"/>
    <mergeCell ref="D29:E29"/>
    <mergeCell ref="D30:E30"/>
    <mergeCell ref="D31:E31"/>
    <mergeCell ref="D32:E32"/>
    <mergeCell ref="D21:E21"/>
    <mergeCell ref="D22:E22"/>
    <mergeCell ref="D23:E23"/>
    <mergeCell ref="D24:E24"/>
    <mergeCell ref="D25:E25"/>
    <mergeCell ref="D26:E26"/>
    <mergeCell ref="D15:E15"/>
    <mergeCell ref="D16:E16"/>
    <mergeCell ref="D17:E17"/>
    <mergeCell ref="D18:E18"/>
    <mergeCell ref="D19:E19"/>
    <mergeCell ref="D20:E20"/>
    <mergeCell ref="D9:E9"/>
    <mergeCell ref="D10:E10"/>
    <mergeCell ref="D11:E11"/>
    <mergeCell ref="D12:E12"/>
    <mergeCell ref="D13:E13"/>
    <mergeCell ref="D14:E14"/>
    <mergeCell ref="B4:E4"/>
    <mergeCell ref="B5:C5"/>
    <mergeCell ref="D5:E5"/>
    <mergeCell ref="D6:E6"/>
    <mergeCell ref="D7:E7"/>
    <mergeCell ref="D8:E8"/>
    <mergeCell ref="CQ1:CQ3"/>
    <mergeCell ref="CR1:CR3"/>
    <mergeCell ref="CS1:CS3"/>
    <mergeCell ref="CT1:CT3"/>
    <mergeCell ref="B2:C2"/>
    <mergeCell ref="B3:C3"/>
    <mergeCell ref="D3:E3"/>
    <mergeCell ref="AV3:AW3"/>
    <mergeCell ref="CK1:CK3"/>
    <mergeCell ref="CL1:CL3"/>
    <mergeCell ref="CM1:CM3"/>
    <mergeCell ref="CN1:CN3"/>
    <mergeCell ref="CO1:CO3"/>
    <mergeCell ref="CP1:CP3"/>
    <mergeCell ref="AB1:AC3"/>
    <mergeCell ref="AD1:AE3"/>
    <mergeCell ref="AF1:AG3"/>
    <mergeCell ref="AH1:AI3"/>
    <mergeCell ref="AJ1:AK3"/>
    <mergeCell ref="CJ1:CJ3"/>
    <mergeCell ref="P1:Q3"/>
    <mergeCell ref="R1:S3"/>
    <mergeCell ref="T1:U3"/>
    <mergeCell ref="V1:W3"/>
    <mergeCell ref="X1:Y3"/>
    <mergeCell ref="Z1:AA3"/>
    <mergeCell ref="B1:C1"/>
    <mergeCell ref="F1:G3"/>
    <mergeCell ref="H1:I3"/>
    <mergeCell ref="J1:K3"/>
    <mergeCell ref="L1:M3"/>
    <mergeCell ref="N1:O3"/>
  </mergeCells>
  <dataValidations count="4">
    <dataValidation type="custom" allowBlank="1" showInputMessage="1" showErrorMessage="1" errorTitle="Wrong data input" error="Data entry is limited to numbers._x000d__x000a_: symbol can be used for not available data." sqref="BH105 BH96:BH100 BF105 BF96:BF100 BD105 BD96:BD100 BB105 BB96:BB100 AZ105 AZ96:AZ100 AX105 AX96:AX100 AV105 AV96:AV100 AT105 AT96:AT100 AR105 AR96:AR100 AP105 AP96:AP100 AN105 AN96:AN100 AL105 AL96:AL100 AJ105 AJ96:AJ100 AH105 AH96:AH100 AF105 AF96:AF100 AD105 AD96:AD100 AB105 AB96:AB100 Z105 Z96:Z100 X105 X96:X100 V105 V96:V100 T105 T96:T100 R105 R96:R100 P105 P96:P100 N105 N96:N100 L105 L96:L100 J105 J96:J100 H105 H96:H100 F105 F96:F100" xr:uid="{27FBD893-0D11-4194-94A3-F971E5593028}">
      <formula1>OR(ISNUMBER(F96),F96=":")</formula1>
    </dataValidation>
    <dataValidation type="custom" allowBlank="1" showInputMessage="1" showErrorMessage="1" errorTitle="Wrong data input" error="Data entry is limited to positive values or zero._x000d__x000a_: symbol can be used for not available data." sqref="BH4:BH95 BH101:BH104 BH106:BH107 BF4:BF95 BF101:BF104 BF106:BF107 BD4:BD95 BD101:BD104 BD106:BD107 BB4:BB95 BB101:BB104 BB106:BB107 AZ4:AZ95 AZ101:AZ104 AZ106:AZ107 AX4:AX95 AX101:AX104 AX106:AX107 AV4:AV95 AV101:AV104 AV106:AV107 AT4:AT95 AT101:AT104 AT106:AT107 AR4:AR95 AR101:AR104 AR106:AR107 AP4:AP95 AP101:AP104 AP106:AP107 AN4:AN95 AN101:AN104 AN106:AN107 AL4:AL95 AL101:AL104 AL106:AL107 AJ4:AJ95 AJ101:AJ104 AJ106:AJ107 AH4:AH95 AH101:AH104 AH106:AH107 AF4:AF95 AF101:AF104 AF106:AF107 AD4:AD95 AD101:AD104 AD106:AD107 AB4:AB95 AB101:AB104 AB106:AB107 Z4:Z95 Z101:Z104 Z106:Z107 X4:X95 X101:X104 X106:X107 V4:V95 V101:V104 V106:V107 T4:T95 T101:T104 T106:T107 R4:R95 R101:R104 R106:R107 P4:P95 P101:P104 P106:P107 N4:N95 N101:N104 N106:N107 L4:L95 L101:L104 L106:L107 J4:J95 J101:J104 J106:J107 H4:H95 H101:H104 H106:H107 F4:F95 F101:F104 F106:F107" xr:uid="{FD7DAC6B-A6D3-4DB1-B0F0-A808DC9E9F09}">
      <formula1>OR(AND(ISNUMBER(F4),F4&gt;=0),F4=":")</formula1>
    </dataValidation>
    <dataValidation type="textLength" allowBlank="1" showInputMessage="1" showErrorMessage="1" prompt="Please select your country in worksheet &quot;Intro&quot; (for all pollutant sheets)" sqref="D1" xr:uid="{B7CCBA9E-7397-4FCB-988E-18736552414F}">
      <formula1>2</formula1>
      <formula2>2</formula2>
    </dataValidation>
    <dataValidation allowBlank="1" showErrorMessage="1" sqref="E1" xr:uid="{A2E1F126-8C91-4AE1-9D88-45E3D80B1510}"/>
  </dataValidations>
  <printOptions headings="1" gridLines="1"/>
  <pageMargins left="0.2" right="0.39370078740157499" top="0.17" bottom="0.47" header="0" footer="0"/>
  <pageSetup paperSize="9" scale="60" fitToHeight="3" pageOrder="overThenDown" orientation="portrait" r:id="rId1"/>
  <headerFooter alignWithMargins="0">
    <oddFooter>&amp;L&amp;A&amp;C&amp;P&amp;R&amp;F</oddFooter>
  </headerFooter>
  <rowBreaks count="1" manualBreakCount="1">
    <brk id="94" min="1" max="22" man="1"/>
  </rowBreaks>
  <drawing r:id="rId2"/>
  <legacyDrawing r:id="rId3"/>
  <mc:AlternateContent xmlns:mc="http://schemas.openxmlformats.org/markup-compatibility/2006">
    <mc:Choice Requires="x14">
      <controls>
        <mc:AlternateContent xmlns:mc="http://schemas.openxmlformats.org/markup-compatibility/2006">
          <mc:Choice Requires="x14">
            <control shapeId="827393" r:id="rId4" name="Button 1">
              <controlPr defaultSize="0" print="0" autoFill="0" autoPict="0" macro="[0]!CheckThisSheet">
                <anchor moveWithCells="1" sizeWithCells="1">
                  <from>
                    <xdr:col>4</xdr:col>
                    <xdr:colOff>3105150</xdr:colOff>
                    <xdr:row>1</xdr:row>
                    <xdr:rowOff>76200</xdr:rowOff>
                  </from>
                  <to>
                    <xdr:col>4</xdr:col>
                    <xdr:colOff>3810000</xdr:colOff>
                    <xdr:row>2</xdr:row>
                    <xdr:rowOff>304800</xdr:rowOff>
                  </to>
                </anchor>
              </controlPr>
            </control>
          </mc:Choice>
        </mc:AlternateContent>
        <mc:AlternateContent xmlns:mc="http://schemas.openxmlformats.org/markup-compatibility/2006">
          <mc:Choice Requires="x14">
            <control shapeId="827394" r:id="rId5" name="Button 2">
              <controlPr defaultSize="0" print="0" autoFill="0" autoPict="0" macro="[0]!Interface.SetPinkColor">
                <anchor moveWithCells="1" sizeWithCells="1">
                  <from>
                    <xdr:col>4</xdr:col>
                    <xdr:colOff>2914650</xdr:colOff>
                    <xdr:row>3</xdr:row>
                    <xdr:rowOff>76200</xdr:rowOff>
                  </from>
                  <to>
                    <xdr:col>4</xdr:col>
                    <xdr:colOff>3162300</xdr:colOff>
                    <xdr:row>3</xdr:row>
                    <xdr:rowOff>323850</xdr:rowOff>
                  </to>
                </anchor>
              </controlPr>
            </control>
          </mc:Choice>
        </mc:AlternateContent>
        <mc:AlternateContent xmlns:mc="http://schemas.openxmlformats.org/markup-compatibility/2006">
          <mc:Choice Requires="x14">
            <control shapeId="827395" r:id="rId6" name="Button 3">
              <controlPr defaultSize="0" print="0" autoFill="0" autoPict="0" macro="[0]!Interface.SetGreyColor">
                <anchor moveWithCells="1" sizeWithCells="1">
                  <from>
                    <xdr:col>4</xdr:col>
                    <xdr:colOff>3257550</xdr:colOff>
                    <xdr:row>3</xdr:row>
                    <xdr:rowOff>76200</xdr:rowOff>
                  </from>
                  <to>
                    <xdr:col>4</xdr:col>
                    <xdr:colOff>3505200</xdr:colOff>
                    <xdr:row>3</xdr:row>
                    <xdr:rowOff>323850</xdr:rowOff>
                  </to>
                </anchor>
              </controlPr>
            </control>
          </mc:Choice>
        </mc:AlternateContent>
        <mc:AlternateContent xmlns:mc="http://schemas.openxmlformats.org/markup-compatibility/2006">
          <mc:Choice Requires="x14">
            <control shapeId="827396" r:id="rId7" name="Button 4">
              <controlPr defaultSize="0" print="0" autoFill="0" autoPict="0" macro="[0]!Interface.SetBlankColor">
                <anchor moveWithCells="1" sizeWithCells="1">
                  <from>
                    <xdr:col>4</xdr:col>
                    <xdr:colOff>3600450</xdr:colOff>
                    <xdr:row>3</xdr:row>
                    <xdr:rowOff>66675</xdr:rowOff>
                  </from>
                  <to>
                    <xdr:col>4</xdr:col>
                    <xdr:colOff>3838575</xdr:colOff>
                    <xdr:row>3</xdr:row>
                    <xdr:rowOff>323850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7E75A-187E-404A-8767-DC9C8968EAE7}">
  <dimension ref="A1:E8"/>
  <sheetViews>
    <sheetView workbookViewId="0">
      <selection activeCell="D16" sqref="D16"/>
    </sheetView>
  </sheetViews>
  <sheetFormatPr defaultRowHeight="12.75"/>
  <sheetData>
    <row r="1" spans="1:5" ht="30">
      <c r="A1" s="559" t="s">
        <v>1180</v>
      </c>
      <c r="B1" s="559" t="s">
        <v>1181</v>
      </c>
      <c r="C1" s="559" t="s">
        <v>1182</v>
      </c>
      <c r="D1" s="559" t="s">
        <v>1183</v>
      </c>
      <c r="E1" s="559" t="s">
        <v>1184</v>
      </c>
    </row>
    <row r="2" spans="1:5">
      <c r="A2" t="s">
        <v>195</v>
      </c>
      <c r="B2" t="s">
        <v>1185</v>
      </c>
      <c r="C2" s="560">
        <v>1</v>
      </c>
      <c r="D2" t="s">
        <v>1186</v>
      </c>
      <c r="E2" t="s">
        <v>1186</v>
      </c>
    </row>
    <row r="3" spans="1:5">
      <c r="A3" t="s">
        <v>197</v>
      </c>
      <c r="B3" t="s">
        <v>1185</v>
      </c>
      <c r="C3">
        <v>0</v>
      </c>
      <c r="D3" t="s">
        <v>1186</v>
      </c>
      <c r="E3" t="s">
        <v>1186</v>
      </c>
    </row>
    <row r="4" spans="1:5">
      <c r="A4" t="s">
        <v>53</v>
      </c>
      <c r="B4" t="s">
        <v>1185</v>
      </c>
      <c r="C4">
        <v>0.26500000000000001</v>
      </c>
      <c r="D4" t="s">
        <v>1186</v>
      </c>
      <c r="E4" t="s">
        <v>1187</v>
      </c>
    </row>
    <row r="5" spans="1:5">
      <c r="A5" t="s">
        <v>68</v>
      </c>
      <c r="B5" t="s">
        <v>1185</v>
      </c>
      <c r="C5">
        <v>1E-3</v>
      </c>
      <c r="D5" t="s">
        <v>1186</v>
      </c>
      <c r="E5" t="s">
        <v>1187</v>
      </c>
    </row>
    <row r="6" spans="1:5">
      <c r="A6" t="s">
        <v>57</v>
      </c>
      <c r="B6" t="s">
        <v>1185</v>
      </c>
      <c r="C6">
        <v>2.8000000000000001E-2</v>
      </c>
      <c r="D6" t="s">
        <v>1186</v>
      </c>
      <c r="E6" t="s">
        <v>1187</v>
      </c>
    </row>
    <row r="7" spans="1:5">
      <c r="A7" t="s">
        <v>60</v>
      </c>
      <c r="B7" t="s">
        <v>1185</v>
      </c>
      <c r="C7">
        <v>1E-3</v>
      </c>
      <c r="D7" t="s">
        <v>1186</v>
      </c>
      <c r="E7" t="s">
        <v>1187</v>
      </c>
    </row>
    <row r="8" spans="1:5">
      <c r="A8" t="s">
        <v>64</v>
      </c>
      <c r="B8" t="s">
        <v>1185</v>
      </c>
      <c r="C8">
        <v>1E-3</v>
      </c>
      <c r="D8" t="s">
        <v>1186</v>
      </c>
      <c r="E8" t="s">
        <v>1187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C462C1AFC984D74F8975112885812652" ma:contentTypeVersion="5" ma:contentTypeDescription="Opprett et nytt dokument." ma:contentTypeScope="" ma:versionID="b0b1a1b7511cf2e9058b9b26f191ff7c">
  <xsd:schema xmlns:xsd="http://www.w3.org/2001/XMLSchema" xmlns:xs="http://www.w3.org/2001/XMLSchema" xmlns:p="http://schemas.microsoft.com/office/2006/metadata/properties" xmlns:ns2="b6faa0cf-53d2-4de3-85bc-484e2fffa324" xmlns:ns3="12cc013c-3560-40ca-987c-a6f882a31fdf" targetNamespace="http://schemas.microsoft.com/office/2006/metadata/properties" ma:root="true" ma:fieldsID="eef045a05bdb6c005246a23710e38e50" ns2:_="" ns3:_="">
    <xsd:import namespace="b6faa0cf-53d2-4de3-85bc-484e2fffa324"/>
    <xsd:import namespace="12cc013c-3560-40ca-987c-a6f882a31fdf"/>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faa0cf-53d2-4de3-85bc-484e2fffa3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2cc013c-3560-40ca-987c-a6f882a31fdf" elementFormDefault="qualified">
    <xsd:import namespace="http://schemas.microsoft.com/office/2006/documentManagement/types"/>
    <xsd:import namespace="http://schemas.microsoft.com/office/infopath/2007/PartnerControls"/>
    <xsd:element name="SharedWithUsers" ma:index="11"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lingsdetaljer"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4681567-BA97-412A-B181-14D52F7124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faa0cf-53d2-4de3-85bc-484e2fffa324"/>
    <ds:schemaRef ds:uri="12cc013c-3560-40ca-987c-a6f882a31f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F052D7D-7982-4874-827A-C83003951475}">
  <ds:schemaRefs>
    <ds:schemaRef ds:uri="http://schemas.microsoft.com/sharepoint/v3/contenttype/forms"/>
  </ds:schemaRefs>
</ds:datastoreItem>
</file>

<file path=customXml/itemProps3.xml><?xml version="1.0" encoding="utf-8"?>
<ds:datastoreItem xmlns:ds="http://schemas.openxmlformats.org/officeDocument/2006/customXml" ds:itemID="{88C5A808-2AAB-49FD-A377-15605199728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intro</vt:lpstr>
      <vt:lpstr>structure</vt:lpstr>
      <vt:lpstr>instructions</vt:lpstr>
      <vt:lpstr>Parameter_mapping</vt:lpstr>
      <vt:lpstr>Parameters_SDMX_Converter</vt:lpstr>
      <vt:lpstr>Transcoding</vt:lpstr>
      <vt:lpstr>instructions for ROAD sheets</vt:lpstr>
      <vt:lpstr>footnote instructions</vt:lpstr>
      <vt:lpstr>footnote_list</vt:lpstr>
      <vt:lpstr>Model</vt:lpstr>
      <vt:lpstr>Parameters</vt:lpstr>
      <vt:lpstr>CO2</vt:lpstr>
      <vt:lpstr>Biomass CO2</vt:lpstr>
      <vt:lpstr>N2O</vt:lpstr>
      <vt:lpstr>SF6_NF3</vt:lpstr>
      <vt:lpstr>CH4</vt:lpstr>
      <vt:lpstr>HFC</vt:lpstr>
      <vt:lpstr>PFC</vt:lpstr>
      <vt:lpstr>GHG</vt:lpstr>
      <vt:lpstr>char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ESTAT</dc:creator>
  <cp:keywords/>
  <dc:description/>
  <cp:lastModifiedBy>Richard Wood</cp:lastModifiedBy>
  <cp:revision/>
  <dcterms:created xsi:type="dcterms:W3CDTF">2014-04-25T14:25:51Z</dcterms:created>
  <dcterms:modified xsi:type="dcterms:W3CDTF">2023-11-19T10:06:31Z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0x010100C462C1AFC984D74F8975112885812652</vt:lpwstr>
  </property>
</Properties>
</file>